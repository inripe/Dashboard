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5.xml.rels" ContentType="application/vnd.openxmlformats-package.relationships+xml"/>
  <Override PartName="/xl/worksheets/_rels/sheet4.xml.rels" ContentType="application/vnd.openxmlformats-package.relationship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5.xml" ContentType="application/vnd.openxmlformats-officedocument.spreadsheetml.table+xml"/>
  <Override PartName="/xl/tables/table1.xml" ContentType="application/vnd.openxmlformats-officedocument.spreadsheetml.table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GUIDE" sheetId="1" state="visible" r:id="rId3"/>
    <sheet name="MASTER" sheetId="2" state="visible" r:id="rId4"/>
    <sheet name="SHIPMENTS" sheetId="3" state="visible" r:id="rId5"/>
    <sheet name="MOVES" sheetId="4" state="visible" r:id="rId6"/>
    <sheet name="COUNT" sheetId="5" state="visible" r:id="rId7"/>
  </sheets>
  <definedNames>
    <definedName function="false" hidden="false" name="cfgAsOf" vbProcedure="false">MASTER!$C$5</definedName>
    <definedName function="false" hidden="false" name="cfgClearTarget" vbProcedure="false">MASTER!$C$7</definedName>
    <definedName function="false" hidden="false" name="cfgCourierLimit" vbProcedure="false">MASTER!$C$6</definedName>
    <definedName function="false" hidden="false" name="cfgLossTarget" vbProcedure="false">MASTER!$C$8</definedName>
    <definedName function="false" hidden="false" name="cfgVarTol" vbProcedure="false">MASTER!$C$9</definedName>
    <definedName function="false" hidden="false" name="cfgVer" vbProcedure="false">MASTER!$C$10</definedName>
    <definedName function="false" hidden="false" name="lstCouriers" vbProcedure="false">tblCouriers[Courier]</definedName>
    <definedName function="false" hidden="false" name="lstItems" vbProcedure="false">tblItems[Item Code]</definedName>
    <definedName function="false" hidden="false" name="lstMarkets" vbProcedure="false">tblMarkets[Market]</definedName>
    <definedName function="false" hidden="false" name="lstMoves" vbProcedure="false">tblMoveTypes[Movement]</definedName>
    <definedName function="false" hidden="false" name="lstReasons" vbProcedure="false">tblReasons[Reason]</definedName>
    <definedName function="false" hidden="false" name="lstShip" vbProcedure="false">tblShipment[Shipment ID]</definedName>
    <definedName function="false" hidden="false" name="lstSource" vbProcedure="false">MASTER!$W$16:$W$17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<sst xmlns="http://schemas.openxmlformats.org/spreadsheetml/2006/main" count="379" uniqueCount="134">
  <si>
    <t xml:space="preserve">GUIDE</t>
  </si>
  <si>
    <t xml:space="preserve">One page. Read once.</t>
  </si>
  <si>
    <t xml:space="preserve">GOLDEN RULE:   type only what physically happened.   Stock only ever moves through MOVES.</t>
  </si>
  <si>
    <t xml:space="preserve">BLUE  =  you type here</t>
  </si>
  <si>
    <t xml:space="preserve">GREY  =  the workbook checks it</t>
  </si>
  <si>
    <t xml:space="preserve">YELLOW  =  a setting you may change</t>
  </si>
  <si>
    <t xml:space="preserve">RED  =  fix this row</t>
  </si>
  <si>
    <t xml:space="preserve">Sheet</t>
  </si>
  <si>
    <t xml:space="preserve">How often</t>
  </si>
  <si>
    <t xml:space="preserve">What it holds</t>
  </si>
  <si>
    <t xml:space="preserve">MASTER</t>
  </si>
  <si>
    <t xml:space="preserve">Rarely</t>
  </si>
  <si>
    <t xml:space="preserve">Items, markets, couriers, reasons, movement types, settings</t>
  </si>
  <si>
    <t xml:space="preserve">SHIPMENTS</t>
  </si>
  <si>
    <t xml:space="preserve">Per shipment</t>
  </si>
  <si>
    <t xml:space="preserve">What was sent: shipment, dates, source, item, qty</t>
  </si>
  <si>
    <t xml:space="preserve">MOVES</t>
  </si>
  <si>
    <t xml:space="preserve">Daily</t>
  </si>
  <si>
    <t xml:space="preserve">Every physical event. The main log.</t>
  </si>
  <si>
    <t xml:space="preserve">COUNT</t>
  </si>
  <si>
    <t xml:space="preserve">Weekly</t>
  </si>
  <si>
    <t xml:space="preserve">Physical stock count</t>
  </si>
  <si>
    <t xml:space="preserve">Your daily routine  -  about 10 minutes</t>
  </si>
  <si>
    <t xml:space="preserve">   1.  Open MOVES. Filter Market to the one you are transcribing.</t>
  </si>
  <si>
    <t xml:space="preserve">   2.  Type today's rows from the notebook. Add rows at the bottom.</t>
  </si>
  <si>
    <t xml:space="preserve">   3.  Check the last column is green on every new row.</t>
  </si>
  <si>
    <t xml:space="preserve">   4.  Repeat for the next market. Save the file. The dashboard updates itself.</t>
  </si>
  <si>
    <t xml:space="preserve">When a shipment lands</t>
  </si>
  <si>
    <t xml:space="preserve">   Go to SHIPMENTS first and add its lines - one row per item. Only then can MOVES accept events for it.</t>
  </si>
  <si>
    <t xml:space="preserve">Filling MOVES</t>
  </si>
  <si>
    <t xml:space="preserve">   Pick the Movement first. The Check column then names any field that is missing or should be blank.</t>
  </si>
  <si>
    <t xml:space="preserve">   Items are tracked inside the store. Once boxes go to a courier, quantities are tracked by shipment, not by item.</t>
  </si>
  <si>
    <t xml:space="preserve">   Returns: enter Returned (no item), then the same day split it into Return to Saleable and Return to Scrap (with item).</t>
  </si>
  <si>
    <t xml:space="preserve">   Orders are counts, never order numbers.</t>
  </si>
  <si>
    <t xml:space="preserve">Two rules with no exceptions</t>
  </si>
  <si>
    <t xml:space="preserve">   A physical count never changes stock. Post a Count Adjustment in MOVES with a reason instead.</t>
  </si>
  <si>
    <t xml:space="preserve">   Never delete a row. Post the opposite movement.</t>
  </si>
  <si>
    <t xml:space="preserve">Growing this file</t>
  </si>
  <si>
    <t xml:space="preserve">   New item, market, courier or reason  -&gt;  add a row on MASTER.</t>
  </si>
  <si>
    <t xml:space="preserve">   New kind of movement  -&gt;  add a row to the Movement Types table on MASTER. Nothing else changes.</t>
  </si>
  <si>
    <t xml:space="preserve">   The dashboard reads events, not formulas - new charts never need a new column here.</t>
  </si>
  <si>
    <t xml:space="preserve">MASTER  -  standards</t>
  </si>
  <si>
    <t xml:space="preserve">Set once. Everything else reads from here.</t>
  </si>
  <si>
    <t xml:space="preserve">SETTINGS</t>
  </si>
  <si>
    <t xml:space="preserve">As-Of Date</t>
  </si>
  <si>
    <t xml:space="preserve">Courier holding limit (days)</t>
  </si>
  <si>
    <t xml:space="preserve">Shipment clearance target (days)</t>
  </si>
  <si>
    <t xml:space="preserve">Loss % target</t>
  </si>
  <si>
    <t xml:space="preserve">Count variance tolerance</t>
  </si>
  <si>
    <t xml:space="preserve">Version</t>
  </si>
  <si>
    <t xml:space="preserve">v1.0</t>
  </si>
  <si>
    <t xml:space="preserve">Yellow = the only cells you change here. The two targets feed the dashboard.</t>
  </si>
  <si>
    <t xml:space="preserve">MASTER TABLES</t>
  </si>
  <si>
    <t xml:space="preserve">Item Code</t>
  </si>
  <si>
    <t xml:space="preserve">Item Name</t>
  </si>
  <si>
    <t xml:space="preserve">Active</t>
  </si>
  <si>
    <t xml:space="preserve">Market</t>
  </si>
  <si>
    <t xml:space="preserve">Courier</t>
  </si>
  <si>
    <t xml:space="preserve">Reason</t>
  </si>
  <si>
    <t xml:space="preserve">Type</t>
  </si>
  <si>
    <t xml:space="preserve">Movement</t>
  </si>
  <si>
    <t xml:space="preserve">Item?</t>
  </si>
  <si>
    <t xml:space="preserve">Courier?</t>
  </si>
  <si>
    <t xml:space="preserve">Orders?</t>
  </si>
  <si>
    <t xml:space="preserve">Reason?</t>
  </si>
  <si>
    <t xml:space="preserve">Qty?</t>
  </si>
  <si>
    <t xml:space="preserve">Source</t>
  </si>
  <si>
    <t xml:space="preserve">MK-KEITT</t>
  </si>
  <si>
    <t xml:space="preserve">Mango Keitt</t>
  </si>
  <si>
    <t xml:space="preserve">Yes</t>
  </si>
  <si>
    <t xml:space="preserve">Egypt</t>
  </si>
  <si>
    <t xml:space="preserve">Courier A</t>
  </si>
  <si>
    <t xml:space="preserve">UAE</t>
  </si>
  <si>
    <t xml:space="preserve">Quality</t>
  </si>
  <si>
    <t xml:space="preserve">Scrap</t>
  </si>
  <si>
    <t xml:space="preserve">Received</t>
  </si>
  <si>
    <t xml:space="preserve">No</t>
  </si>
  <si>
    <t xml:space="preserve">MK-KENT</t>
  </si>
  <si>
    <t xml:space="preserve">Mango Kent</t>
  </si>
  <si>
    <t xml:space="preserve">Courier B</t>
  </si>
  <si>
    <t xml:space="preserve">Damage</t>
  </si>
  <si>
    <t xml:space="preserve">Customs / Loss</t>
  </si>
  <si>
    <t xml:space="preserve">Local</t>
  </si>
  <si>
    <t xml:space="preserve">AV-HASS</t>
  </si>
  <si>
    <t xml:space="preserve">Avocado Hass</t>
  </si>
  <si>
    <t xml:space="preserve">KSA</t>
  </si>
  <si>
    <t xml:space="preserve">Courier C</t>
  </si>
  <si>
    <t xml:space="preserve">Overstay</t>
  </si>
  <si>
    <t xml:space="preserve">Qatar</t>
  </si>
  <si>
    <t xml:space="preserve">Count Adjustment</t>
  </si>
  <si>
    <t xml:space="preserve">To Courier</t>
  </si>
  <si>
    <t xml:space="preserve">Other</t>
  </si>
  <si>
    <t xml:space="preserve">Orders Assigned</t>
  </si>
  <si>
    <t xml:space="preserve">Customer Unavailable</t>
  </si>
  <si>
    <t xml:space="preserve">Return</t>
  </si>
  <si>
    <t xml:space="preserve">Courier Handover</t>
  </si>
  <si>
    <t xml:space="preserve">Customer Refused</t>
  </si>
  <si>
    <t xml:space="preserve">Delivered</t>
  </si>
  <si>
    <t xml:space="preserve">Wrong Address</t>
  </si>
  <si>
    <t xml:space="preserve">Returned</t>
  </si>
  <si>
    <t xml:space="preserve">Quality Complaint</t>
  </si>
  <si>
    <t xml:space="preserve">Return to Saleable</t>
  </si>
  <si>
    <t xml:space="preserve">Cancelled</t>
  </si>
  <si>
    <t xml:space="preserve">Return to Scrap</t>
  </si>
  <si>
    <t xml:space="preserve">Other Return</t>
  </si>
  <si>
    <t xml:space="preserve">Add a row here and the MOVES log accepts the new movement type. Nothing else changes.</t>
  </si>
  <si>
    <t xml:space="preserve">SHIPMENTS  -  what was sent</t>
  </si>
  <si>
    <t xml:space="preserve">One row per shipment and item. Filled once when a shipment lands, not daily.</t>
  </si>
  <si>
    <t xml:space="preserve">BLUE = you type it.   GREY = the workbook checks it.   RED = fix that row before uploading.</t>
  </si>
  <si>
    <t xml:space="preserve">Shipment ID</t>
  </si>
  <si>
    <t xml:space="preserve">Ship Date</t>
  </si>
  <si>
    <t xml:space="preserve">Arrival Date</t>
  </si>
  <si>
    <t xml:space="preserve">Shipped Qty</t>
  </si>
  <si>
    <t xml:space="preserve">Note</t>
  </si>
  <si>
    <t xml:space="preserve">Check</t>
  </si>
  <si>
    <t xml:space="preserve">SH-001</t>
  </si>
  <si>
    <t xml:space="preserve">Sourced in UAE</t>
  </si>
  <si>
    <t xml:space="preserve">SH-002</t>
  </si>
  <si>
    <t xml:space="preserve">MOVES  -  the daily log</t>
  </si>
  <si>
    <t xml:space="preserve">One row per physical event. Pick the Movement first - the Check column tells you which fields it needs.</t>
  </si>
  <si>
    <t xml:space="preserve">Filter by Market while you transcribe. Save, then the dashboard picks it up automatically.</t>
  </si>
  <si>
    <t xml:space="preserve">Date</t>
  </si>
  <si>
    <t xml:space="preserve">Shipment</t>
  </si>
  <si>
    <t xml:space="preserve">Item</t>
  </si>
  <si>
    <t xml:space="preserve">Qty</t>
  </si>
  <si>
    <t xml:space="preserve">Orders</t>
  </si>
  <si>
    <t xml:space="preserve">Customs</t>
  </si>
  <si>
    <t xml:space="preserve">Back to stock, age kept</t>
  </si>
  <si>
    <t xml:space="preserve">COUNT  -  physical stock check</t>
  </si>
  <si>
    <t xml:space="preserve">Weekly or spot check. A count never changes stock - to correct it, post a Count Adjustment in MOVES.</t>
  </si>
  <si>
    <t xml:space="preserve">System qty and variance are calculated on the dashboard, not here.</t>
  </si>
  <si>
    <t xml:space="preserve">Physical Qty</t>
  </si>
  <si>
    <t xml:space="preserve">Counted By</t>
  </si>
  <si>
    <t xml:space="preserve">S. Hassan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</si>
</sst>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dd\-mmm\-yy"/>
    <numFmt numFmtId="166" formatCode="#,##0"/>
    <numFmt numFmtId="167" formatCode="0.0%"/>
  </numFmts>
  <fonts count="1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8"/>
      <color rgb="FF1F3864"/>
      <name val="Arial"/>
      <family val="0"/>
      <charset val="1"/>
    </font>
    <font>
      <i val="true"/>
      <sz val="9"/>
      <color rgb="FF808080"/>
      <name val="Arial"/>
      <family val="0"/>
      <charset val="1"/>
    </font>
    <font>
      <b val="true"/>
      <sz val="12"/>
      <color rgb="FFFFFFFF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9"/>
      <color rgb="FFFFFFFF"/>
      <name val="Arial"/>
      <family val="0"/>
      <charset val="1"/>
    </font>
    <font>
      <b val="true"/>
      <sz val="9"/>
      <name val="Arial"/>
      <family val="0"/>
      <charset val="1"/>
    </font>
    <font>
      <sz val="9"/>
      <name val="Arial"/>
      <family val="0"/>
      <charset val="1"/>
    </font>
    <font>
      <b val="true"/>
      <sz val="11"/>
      <color rgb="FF1F3864"/>
      <name val="Arial"/>
      <family val="0"/>
      <charset val="1"/>
    </font>
    <font>
      <sz val="9"/>
      <color rgb="FF000000"/>
      <name val="Arial"/>
      <family val="0"/>
      <charset val="1"/>
    </font>
    <font>
      <b val="true"/>
      <sz val="12"/>
      <color rgb="FF1F3864"/>
      <name val="Arial"/>
      <family val="0"/>
      <charset val="1"/>
    </font>
    <font>
      <b val="true"/>
      <sz val="10"/>
      <color rgb="FF0000FF"/>
      <name val="Arial"/>
      <family val="0"/>
      <charset val="1"/>
    </font>
    <font>
      <i val="true"/>
      <sz val="8"/>
      <color rgb="FF808080"/>
      <name val="Arial"/>
      <family val="0"/>
      <charset val="1"/>
    </font>
    <font>
      <sz val="8"/>
      <color rgb="FF808080"/>
      <name val="Arial"/>
      <family val="0"/>
      <charset val="1"/>
    </font>
    <font>
      <sz val="10"/>
      <color rgb="FF000000"/>
      <name val="Arial"/>
      <family val="0"/>
      <charset val="1"/>
    </font>
    <font>
      <sz val="10"/>
      <color rgb="FF404040"/>
      <name val="Arial"/>
      <family val="0"/>
      <charset val="1"/>
    </font>
  </fonts>
  <fills count="11">
    <fill>
      <patternFill patternType="none"/>
    </fill>
    <fill>
      <patternFill patternType="gray125"/>
    </fill>
    <fill>
      <patternFill patternType="solid">
        <fgColor rgb="FF1F3864"/>
        <bgColor rgb="FF333399"/>
      </patternFill>
    </fill>
    <fill>
      <patternFill patternType="solid">
        <fgColor rgb="FFDDEBF7"/>
        <bgColor rgb="FFEAF1F8"/>
      </patternFill>
    </fill>
    <fill>
      <patternFill patternType="solid">
        <fgColor rgb="FFF2F2F2"/>
        <bgColor rgb="FFEAF1F8"/>
      </patternFill>
    </fill>
    <fill>
      <patternFill patternType="solid">
        <fgColor rgb="FFFFF2CC"/>
        <bgColor rgb="FFF2F2F2"/>
      </patternFill>
    </fill>
    <fill>
      <patternFill patternType="solid">
        <fgColor rgb="FFFFC7CE"/>
        <bgColor rgb="FFCCCCFF"/>
      </patternFill>
    </fill>
    <fill>
      <patternFill patternType="solid">
        <fgColor rgb="FF2E75B6"/>
        <bgColor rgb="FF0066CC"/>
      </patternFill>
    </fill>
    <fill>
      <patternFill patternType="solid">
        <fgColor rgb="FFFFFFFF"/>
        <bgColor rgb="FFF2F2F2"/>
      </patternFill>
    </fill>
    <fill>
      <patternFill patternType="solid">
        <fgColor rgb="FFEAF1F8"/>
        <bgColor rgb="FFF2F2F2"/>
      </patternFill>
    </fill>
    <fill>
      <patternFill patternType="solid">
        <fgColor rgb="FF808080"/>
        <bgColor rgb="FF969696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3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5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6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8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0" fillId="8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9" fillId="9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0" fillId="9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4" fillId="5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14" fillId="5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14" fillId="5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4" fillId="5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6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1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7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17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17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8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9">
    <dxf>
      <fill>
        <patternFill patternType="solid">
          <fgColor rgb="FF2E75B6"/>
          <bgColor rgb="FF000000"/>
        </patternFill>
      </fill>
    </dxf>
    <dxf>
      <fill>
        <patternFill patternType="solid">
          <fgColor rgb="FFDDEBF7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808080"/>
          <bgColor rgb="FF000000"/>
        </patternFill>
      </fill>
    </dxf>
    <dxf>
      <fill>
        <patternFill patternType="solid">
          <fgColor rgb="FFF2F2F2"/>
          <bgColor rgb="FF000000"/>
        </patternFill>
      </fill>
    </dxf>
    <dxf>
      <fill>
        <patternFill patternType="solid">
          <fgColor rgb="FF404040"/>
          <bgColor rgb="FF000000"/>
        </patternFill>
      </fill>
    </dxf>
    <dxf>
      <font>
        <name val="Arial"/>
        <charset val="1"/>
        <family val="0"/>
        <b val="1"/>
        <color rgb="FFC00000"/>
        <sz val="10"/>
      </font>
      <fill>
        <patternFill>
          <bgColor rgb="FFFFC7CE"/>
        </patternFill>
      </fill>
    </dxf>
  </dxf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DDEB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AF1F8"/>
      <rgbColor rgb="FFF2F2F2"/>
      <rgbColor rgb="FFFFFF99"/>
      <rgbColor rgb="FF99CCFF"/>
      <rgbColor rgb="FFFF99CC"/>
      <rgbColor rgb="FFCC99FF"/>
      <rgbColor rgb="FFFFC7CE"/>
      <rgbColor rgb="FF2E75B6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40404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ables/table1.xml><?xml version="1.0" encoding="utf-8"?>
<table xmlns="http://schemas.openxmlformats.org/spreadsheetml/2006/main" id="1" name="tblCount" displayName="tblCount" ref="A6:G9" headerRowCount="1" totalsRowCount="0" totalsRowShown="0">
  <autoFilter ref="A6:G9"/>
  <tableColumns count="7">
    <tableColumn id="1" name="Date"/>
    <tableColumn id="2" name="Shipment"/>
    <tableColumn id="3" name="Item"/>
    <tableColumn id="4" name="Physical Qty"/>
    <tableColumn id="5" name="Counted By"/>
    <tableColumn id="6" name="Note"/>
    <tableColumn id="7" name="Check"/>
  </tableColumns>
</table>
</file>

<file path=xl/tables/table2.xml><?xml version="1.0" encoding="utf-8"?>
<table xmlns="http://schemas.openxmlformats.org/spreadsheetml/2006/main" id="2" name="tblCouriers" displayName="tblCouriers" ref="I15:K18" headerRowCount="1" totalsRowCount="0" totalsRowShown="0">
  <autoFilter ref="I15:K18"/>
  <tableColumns count="3">
    <tableColumn id="1" name="Courier"/>
    <tableColumn id="2" name="Market"/>
    <tableColumn id="3" name="Active"/>
  </tableColumns>
</table>
</file>

<file path=xl/tables/table3.xml><?xml version="1.0" encoding="utf-8"?>
<table xmlns="http://schemas.openxmlformats.org/spreadsheetml/2006/main" id="3" name="tblItems" displayName="tblItems" ref="B15:D18" headerRowCount="1" totalsRowCount="0" totalsRowShown="0">
  <autoFilter ref="B15:D18"/>
  <tableColumns count="3">
    <tableColumn id="1" name="Item Code"/>
    <tableColumn id="2" name="Item Name"/>
    <tableColumn id="3" name="Active"/>
  </tableColumns>
</table>
</file>

<file path=xl/tables/table4.xml><?xml version="1.0" encoding="utf-8"?>
<table xmlns="http://schemas.openxmlformats.org/spreadsheetml/2006/main" id="4" name="tblMarkets" displayName="tblMarkets" ref="F15:G19" headerRowCount="1" totalsRowCount="0" totalsRowShown="0">
  <autoFilter ref="F15:G19"/>
  <tableColumns count="2">
    <tableColumn id="1" name="Market"/>
    <tableColumn id="2" name="Active"/>
  </tableColumns>
</table>
</file>

<file path=xl/tables/table5.xml><?xml version="1.0" encoding="utf-8"?>
<table xmlns="http://schemas.openxmlformats.org/spreadsheetml/2006/main" id="5" name="tblMoves" displayName="tblMoves" ref="A6:K35" headerRowCount="1" totalsRowCount="0" totalsRowShown="0">
  <autoFilter ref="A6:K35"/>
  <tableColumns count="11">
    <tableColumn id="1" name="Date"/>
    <tableColumn id="2" name="Market"/>
    <tableColumn id="3" name="Shipment"/>
    <tableColumn id="4" name="Item"/>
    <tableColumn id="5" name="Movement"/>
    <tableColumn id="6" name="Qty"/>
    <tableColumn id="7" name="Orders"/>
    <tableColumn id="8" name="Courier"/>
    <tableColumn id="9" name="Reason"/>
    <tableColumn id="10" name="Note"/>
    <tableColumn id="11" name="Check"/>
  </tableColumns>
</table>
</file>

<file path=xl/tables/table6.xml><?xml version="1.0" encoding="utf-8"?>
<table xmlns="http://schemas.openxmlformats.org/spreadsheetml/2006/main" id="6" name="tblMoveTypes" displayName="tblMoveTypes" ref="P15:U26" headerRowCount="1" totalsRowCount="0" totalsRowShown="0">
  <autoFilter ref="P15:U26"/>
  <tableColumns count="6">
    <tableColumn id="1" name="Movement"/>
    <tableColumn id="2" name="Item?"/>
    <tableColumn id="3" name="Courier?"/>
    <tableColumn id="4" name="Orders?"/>
    <tableColumn id="5" name="Reason?"/>
    <tableColumn id="6" name="Qty?"/>
  </tableColumns>
</table>
</file>

<file path=xl/tables/table7.xml><?xml version="1.0" encoding="utf-8"?>
<table xmlns="http://schemas.openxmlformats.org/spreadsheetml/2006/main" id="7" name="tblReasons" displayName="tblReasons" ref="M15:N26" headerRowCount="1" totalsRowCount="0" totalsRowShown="0">
  <autoFilter ref="M15:N26"/>
  <tableColumns count="2">
    <tableColumn id="1" name="Reason"/>
    <tableColumn id="2" name="Type"/>
  </tableColumns>
</table>
</file>

<file path=xl/tables/table8.xml><?xml version="1.0" encoding="utf-8"?>
<table xmlns="http://schemas.openxmlformats.org/spreadsheetml/2006/main" id="8" name="tblShipment" displayName="tblShipment" ref="A6:I11" headerRowCount="1" totalsRowCount="0" totalsRowShown="0">
  <autoFilter ref="A6:I11"/>
  <tableColumns count="9">
    <tableColumn id="1" name="Shipment ID"/>
    <tableColumn id="2" name="Market"/>
    <tableColumn id="3" name="Ship Date"/>
    <tableColumn id="4" name="Arrival Date"/>
    <tableColumn id="5" name="Source"/>
    <tableColumn id="6" name="Item Code"/>
    <tableColumn id="7" name="Shipped Qty"/>
    <tableColumn id="8" name="Note"/>
    <tableColumn id="9" name="Check"/>
  </tableColumns>
</table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table" Target="../tables/table2.xml"/><Relationship Id="rId2" Type="http://schemas.openxmlformats.org/officeDocument/2006/relationships/table" Target="../tables/table3.xml"/><Relationship Id="rId3" Type="http://schemas.openxmlformats.org/officeDocument/2006/relationships/table" Target="../tables/table4.xml"/><Relationship Id="rId4" Type="http://schemas.openxmlformats.org/officeDocument/2006/relationships/table" Target="../tables/table6.xml"/><Relationship Id="rId5" Type="http://schemas.openxmlformats.org/officeDocument/2006/relationships/table" Target="../tables/table7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table" Target="../tables/table8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table" Target="../tables/table5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table" Target="../tables/table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3864"/>
    <pageSetUpPr fitToPage="false"/>
  </sheetPr>
  <dimension ref="A1:F41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16"/>
    <col collapsed="false" customWidth="true" hidden="false" outlineLevel="0" max="3" min="3" style="0" width="11"/>
    <col collapsed="false" customWidth="true" hidden="false" outlineLevel="0" max="4" min="4" style="0" width="40"/>
    <col collapsed="false" customWidth="true" hidden="false" outlineLevel="0" max="5" min="5" style="0" width="36"/>
    <col collapsed="false" customWidth="true" hidden="false" outlineLevel="0" max="6" min="6" style="0" width="30"/>
  </cols>
  <sheetData>
    <row r="1" customFormat="false" ht="25.5" hidden="false" customHeight="tru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27.75" hidden="false" customHeight="true" outlineLevel="0" collapsed="false">
      <c r="B4" s="3" t="s">
        <v>2</v>
      </c>
      <c r="C4" s="3"/>
      <c r="D4" s="3"/>
      <c r="E4" s="3"/>
      <c r="F4" s="3"/>
    </row>
    <row r="6" customFormat="false" ht="15" hidden="false" customHeight="false" outlineLevel="0" collapsed="false">
      <c r="B6" s="4"/>
      <c r="C6" s="5" t="s">
        <v>3</v>
      </c>
      <c r="D6" s="5"/>
    </row>
    <row r="7" customFormat="false" ht="15" hidden="false" customHeight="false" outlineLevel="0" collapsed="false">
      <c r="B7" s="6"/>
      <c r="C7" s="5" t="s">
        <v>4</v>
      </c>
      <c r="D7" s="5"/>
    </row>
    <row r="8" customFormat="false" ht="15" hidden="false" customHeight="false" outlineLevel="0" collapsed="false">
      <c r="B8" s="7"/>
      <c r="C8" s="5" t="s">
        <v>5</v>
      </c>
      <c r="D8" s="5"/>
    </row>
    <row r="9" customFormat="false" ht="15" hidden="false" customHeight="false" outlineLevel="0" collapsed="false">
      <c r="B9" s="8"/>
      <c r="C9" s="5" t="s">
        <v>6</v>
      </c>
      <c r="D9" s="5"/>
    </row>
    <row r="12" customFormat="false" ht="24" hidden="false" customHeight="true" outlineLevel="0" collapsed="false">
      <c r="B12" s="9" t="s">
        <v>7</v>
      </c>
      <c r="C12" s="9" t="s">
        <v>8</v>
      </c>
      <c r="D12" s="9" t="s">
        <v>9</v>
      </c>
    </row>
    <row r="13" customFormat="false" ht="15" hidden="false" customHeight="true" outlineLevel="0" collapsed="false">
      <c r="B13" s="10" t="s">
        <v>10</v>
      </c>
      <c r="C13" s="11" t="s">
        <v>11</v>
      </c>
      <c r="D13" s="11" t="s">
        <v>12</v>
      </c>
      <c r="E13" s="11"/>
      <c r="F13" s="11"/>
    </row>
    <row r="14" customFormat="false" ht="15" hidden="false" customHeight="true" outlineLevel="0" collapsed="false">
      <c r="B14" s="12" t="s">
        <v>13</v>
      </c>
      <c r="C14" s="13" t="s">
        <v>14</v>
      </c>
      <c r="D14" s="13" t="s">
        <v>15</v>
      </c>
      <c r="E14" s="13"/>
      <c r="F14" s="13"/>
    </row>
    <row r="15" customFormat="false" ht="15" hidden="false" customHeight="true" outlineLevel="0" collapsed="false">
      <c r="B15" s="10" t="s">
        <v>16</v>
      </c>
      <c r="C15" s="11" t="s">
        <v>17</v>
      </c>
      <c r="D15" s="11" t="s">
        <v>18</v>
      </c>
      <c r="E15" s="11"/>
      <c r="F15" s="11"/>
    </row>
    <row r="16" customFormat="false" ht="15" hidden="false" customHeight="true" outlineLevel="0" collapsed="false">
      <c r="B16" s="12" t="s">
        <v>19</v>
      </c>
      <c r="C16" s="13" t="s">
        <v>20</v>
      </c>
      <c r="D16" s="13" t="s">
        <v>21</v>
      </c>
      <c r="E16" s="13"/>
      <c r="F16" s="13"/>
    </row>
    <row r="19" customFormat="false" ht="15" hidden="false" customHeight="false" outlineLevel="0" collapsed="false">
      <c r="B19" s="14" t="s">
        <v>22</v>
      </c>
    </row>
    <row r="20" customFormat="false" ht="15" hidden="false" customHeight="false" outlineLevel="0" collapsed="false">
      <c r="B20" s="15" t="s">
        <v>23</v>
      </c>
    </row>
    <row r="21" customFormat="false" ht="15" hidden="false" customHeight="false" outlineLevel="0" collapsed="false">
      <c r="B21" s="15" t="s">
        <v>24</v>
      </c>
    </row>
    <row r="22" customFormat="false" ht="15" hidden="false" customHeight="false" outlineLevel="0" collapsed="false">
      <c r="B22" s="15" t="s">
        <v>25</v>
      </c>
    </row>
    <row r="23" customFormat="false" ht="15" hidden="false" customHeight="false" outlineLevel="0" collapsed="false">
      <c r="B23" s="15" t="s">
        <v>26</v>
      </c>
    </row>
    <row r="24" customFormat="false" ht="15" hidden="false" customHeight="false" outlineLevel="0" collapsed="false">
      <c r="B24" s="15"/>
    </row>
    <row r="25" customFormat="false" ht="15" hidden="false" customHeight="false" outlineLevel="0" collapsed="false">
      <c r="B25" s="14" t="s">
        <v>27</v>
      </c>
    </row>
    <row r="26" customFormat="false" ht="15" hidden="false" customHeight="false" outlineLevel="0" collapsed="false">
      <c r="B26" s="15" t="s">
        <v>28</v>
      </c>
    </row>
    <row r="27" customFormat="false" ht="15" hidden="false" customHeight="false" outlineLevel="0" collapsed="false">
      <c r="B27" s="15"/>
    </row>
    <row r="28" customFormat="false" ht="15" hidden="false" customHeight="false" outlineLevel="0" collapsed="false">
      <c r="B28" s="14" t="s">
        <v>29</v>
      </c>
    </row>
    <row r="29" customFormat="false" ht="15" hidden="false" customHeight="false" outlineLevel="0" collapsed="false">
      <c r="B29" s="15" t="s">
        <v>30</v>
      </c>
    </row>
    <row r="30" customFormat="false" ht="15" hidden="false" customHeight="false" outlineLevel="0" collapsed="false">
      <c r="B30" s="15" t="s">
        <v>31</v>
      </c>
    </row>
    <row r="31" customFormat="false" ht="15" hidden="false" customHeight="false" outlineLevel="0" collapsed="false">
      <c r="B31" s="15" t="s">
        <v>32</v>
      </c>
    </row>
    <row r="32" customFormat="false" ht="15" hidden="false" customHeight="false" outlineLevel="0" collapsed="false">
      <c r="B32" s="15" t="s">
        <v>33</v>
      </c>
    </row>
    <row r="33" customFormat="false" ht="15" hidden="false" customHeight="false" outlineLevel="0" collapsed="false">
      <c r="B33" s="15"/>
    </row>
    <row r="34" customFormat="false" ht="15" hidden="false" customHeight="false" outlineLevel="0" collapsed="false">
      <c r="B34" s="14" t="s">
        <v>34</v>
      </c>
    </row>
    <row r="35" customFormat="false" ht="15" hidden="false" customHeight="false" outlineLevel="0" collapsed="false">
      <c r="B35" s="15" t="s">
        <v>35</v>
      </c>
    </row>
    <row r="36" customFormat="false" ht="15" hidden="false" customHeight="false" outlineLevel="0" collapsed="false">
      <c r="B36" s="15" t="s">
        <v>36</v>
      </c>
    </row>
    <row r="37" customFormat="false" ht="15" hidden="false" customHeight="false" outlineLevel="0" collapsed="false">
      <c r="B37" s="15"/>
    </row>
    <row r="38" customFormat="false" ht="15" hidden="false" customHeight="false" outlineLevel="0" collapsed="false">
      <c r="B38" s="14" t="s">
        <v>37</v>
      </c>
    </row>
    <row r="39" customFormat="false" ht="15" hidden="false" customHeight="false" outlineLevel="0" collapsed="false">
      <c r="B39" s="15" t="s">
        <v>38</v>
      </c>
    </row>
    <row r="40" customFormat="false" ht="15" hidden="false" customHeight="false" outlineLevel="0" collapsed="false">
      <c r="B40" s="15" t="s">
        <v>39</v>
      </c>
    </row>
    <row r="41" customFormat="false" ht="15" hidden="false" customHeight="false" outlineLevel="0" collapsed="false">
      <c r="B41" s="15" t="s">
        <v>40</v>
      </c>
    </row>
  </sheetData>
  <mergeCells count="9">
    <mergeCell ref="B4:F4"/>
    <mergeCell ref="C6:D6"/>
    <mergeCell ref="C7:D7"/>
    <mergeCell ref="C8:D8"/>
    <mergeCell ref="C9:D9"/>
    <mergeCell ref="D13:F13"/>
    <mergeCell ref="D14:F14"/>
    <mergeCell ref="D15:F15"/>
    <mergeCell ref="D16:F1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3864"/>
    <pageSetUpPr fitToPage="false"/>
  </sheetPr>
  <dimension ref="A1:W2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4" topLeftCell="A1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3" min="2" style="0" width="22"/>
    <col collapsed="false" customWidth="true" hidden="false" outlineLevel="0" max="4" min="4" style="0" width="9"/>
    <col collapsed="false" customWidth="true" hidden="false" outlineLevel="0" max="5" min="5" style="0" width="2"/>
    <col collapsed="false" customWidth="true" hidden="false" outlineLevel="0" max="6" min="6" style="0" width="12"/>
    <col collapsed="false" customWidth="true" hidden="false" outlineLevel="0" max="7" min="7" style="0" width="9"/>
    <col collapsed="false" customWidth="true" hidden="false" outlineLevel="0" max="8" min="8" style="0" width="2"/>
    <col collapsed="false" customWidth="true" hidden="false" outlineLevel="0" max="9" min="9" style="0" width="13"/>
    <col collapsed="false" customWidth="true" hidden="false" outlineLevel="0" max="10" min="10" style="0" width="10"/>
    <col collapsed="false" customWidth="true" hidden="false" outlineLevel="0" max="11" min="11" style="0" width="9"/>
    <col collapsed="false" customWidth="true" hidden="false" outlineLevel="0" max="12" min="12" style="0" width="2"/>
    <col collapsed="false" customWidth="true" hidden="false" outlineLevel="0" max="13" min="13" style="0" width="22"/>
    <col collapsed="false" customWidth="true" hidden="false" outlineLevel="0" max="14" min="14" style="0" width="10"/>
    <col collapsed="false" customWidth="true" hidden="false" outlineLevel="0" max="15" min="15" style="0" width="2"/>
    <col collapsed="false" customWidth="true" hidden="false" outlineLevel="0" max="16" min="16" style="0" width="21"/>
    <col collapsed="false" customWidth="true" hidden="false" outlineLevel="0" max="17" min="17" style="0" width="7"/>
    <col collapsed="false" customWidth="true" hidden="false" outlineLevel="0" max="18" min="18" style="0" width="9"/>
    <col collapsed="false" customWidth="true" hidden="false" outlineLevel="0" max="20" min="19" style="0" width="8"/>
    <col collapsed="false" customWidth="true" hidden="false" outlineLevel="0" max="21" min="21" style="0" width="7"/>
    <col collapsed="false" customWidth="true" hidden="false" outlineLevel="0" max="22" min="22" style="0" width="2"/>
    <col collapsed="false" customWidth="true" hidden="false" outlineLevel="0" max="23" min="23" style="0" width="10"/>
  </cols>
  <sheetData>
    <row r="1" customFormat="false" ht="25.5" hidden="false" customHeight="true" outlineLevel="0" collapsed="false">
      <c r="A1" s="1" t="s">
        <v>41</v>
      </c>
    </row>
    <row r="2" customFormat="false" ht="15" hidden="false" customHeight="false" outlineLevel="0" collapsed="false">
      <c r="A2" s="2" t="s">
        <v>42</v>
      </c>
    </row>
    <row r="4" customFormat="false" ht="15" hidden="false" customHeight="false" outlineLevel="0" collapsed="false">
      <c r="B4" s="16" t="s">
        <v>43</v>
      </c>
    </row>
    <row r="5" customFormat="false" ht="15" hidden="false" customHeight="false" outlineLevel="0" collapsed="false">
      <c r="B5" s="17" t="s">
        <v>44</v>
      </c>
      <c r="C5" s="18" t="n">
        <v>46250</v>
      </c>
    </row>
    <row r="6" customFormat="false" ht="15" hidden="false" customHeight="false" outlineLevel="0" collapsed="false">
      <c r="B6" s="17" t="s">
        <v>45</v>
      </c>
      <c r="C6" s="19" t="n">
        <v>3</v>
      </c>
    </row>
    <row r="7" customFormat="false" ht="15" hidden="false" customHeight="false" outlineLevel="0" collapsed="false">
      <c r="B7" s="17" t="s">
        <v>46</v>
      </c>
      <c r="C7" s="19" t="n">
        <v>4</v>
      </c>
    </row>
    <row r="8" customFormat="false" ht="15" hidden="false" customHeight="false" outlineLevel="0" collapsed="false">
      <c r="B8" s="17" t="s">
        <v>47</v>
      </c>
      <c r="C8" s="20" t="n">
        <v>0.03</v>
      </c>
    </row>
    <row r="9" customFormat="false" ht="15" hidden="false" customHeight="false" outlineLevel="0" collapsed="false">
      <c r="B9" s="17" t="s">
        <v>48</v>
      </c>
      <c r="C9" s="20" t="n">
        <v>0.02</v>
      </c>
    </row>
    <row r="10" customFormat="false" ht="15" hidden="false" customHeight="false" outlineLevel="0" collapsed="false">
      <c r="B10" s="17" t="s">
        <v>49</v>
      </c>
      <c r="C10" s="21" t="s">
        <v>50</v>
      </c>
    </row>
    <row r="12" customFormat="false" ht="15" hidden="false" customHeight="false" outlineLevel="0" collapsed="false">
      <c r="B12" s="22" t="s">
        <v>51</v>
      </c>
    </row>
    <row r="14" customFormat="false" ht="15" hidden="false" customHeight="false" outlineLevel="0" collapsed="false">
      <c r="B14" s="16" t="s">
        <v>52</v>
      </c>
    </row>
    <row r="15" customFormat="false" ht="30" hidden="false" customHeight="true" outlineLevel="0" collapsed="false">
      <c r="B15" s="9" t="s">
        <v>53</v>
      </c>
      <c r="C15" s="9" t="s">
        <v>54</v>
      </c>
      <c r="D15" s="9" t="s">
        <v>55</v>
      </c>
      <c r="F15" s="9" t="s">
        <v>56</v>
      </c>
      <c r="G15" s="9" t="s">
        <v>55</v>
      </c>
      <c r="I15" s="9" t="s">
        <v>57</v>
      </c>
      <c r="J15" s="9" t="s">
        <v>56</v>
      </c>
      <c r="K15" s="9" t="s">
        <v>55</v>
      </c>
      <c r="M15" s="9" t="s">
        <v>58</v>
      </c>
      <c r="N15" s="9" t="s">
        <v>59</v>
      </c>
      <c r="P15" s="9" t="s">
        <v>60</v>
      </c>
      <c r="Q15" s="9" t="s">
        <v>61</v>
      </c>
      <c r="R15" s="9" t="s">
        <v>62</v>
      </c>
      <c r="S15" s="9" t="s">
        <v>63</v>
      </c>
      <c r="T15" s="9" t="s">
        <v>64</v>
      </c>
      <c r="U15" s="9" t="s">
        <v>65</v>
      </c>
      <c r="W15" s="9" t="s">
        <v>66</v>
      </c>
    </row>
    <row r="16" customFormat="false" ht="15" hidden="false" customHeight="false" outlineLevel="0" collapsed="false">
      <c r="B16" s="23" t="s">
        <v>67</v>
      </c>
      <c r="C16" s="23" t="s">
        <v>68</v>
      </c>
      <c r="D16" s="23" t="s">
        <v>69</v>
      </c>
      <c r="F16" s="23" t="s">
        <v>70</v>
      </c>
      <c r="G16" s="23" t="s">
        <v>69</v>
      </c>
      <c r="I16" s="23" t="s">
        <v>71</v>
      </c>
      <c r="J16" s="23" t="s">
        <v>72</v>
      </c>
      <c r="K16" s="23" t="s">
        <v>69</v>
      </c>
      <c r="M16" s="23" t="s">
        <v>73</v>
      </c>
      <c r="N16" s="23" t="s">
        <v>74</v>
      </c>
      <c r="P16" s="23" t="s">
        <v>75</v>
      </c>
      <c r="Q16" s="23" t="s">
        <v>69</v>
      </c>
      <c r="R16" s="23" t="s">
        <v>76</v>
      </c>
      <c r="S16" s="23" t="s">
        <v>76</v>
      </c>
      <c r="T16" s="23" t="s">
        <v>76</v>
      </c>
      <c r="U16" s="23" t="s">
        <v>69</v>
      </c>
      <c r="W16" s="24" t="s">
        <v>70</v>
      </c>
    </row>
    <row r="17" customFormat="false" ht="15" hidden="false" customHeight="false" outlineLevel="0" collapsed="false">
      <c r="B17" s="23" t="s">
        <v>77</v>
      </c>
      <c r="C17" s="23" t="s">
        <v>78</v>
      </c>
      <c r="D17" s="23" t="s">
        <v>69</v>
      </c>
      <c r="F17" s="23" t="s">
        <v>72</v>
      </c>
      <c r="G17" s="23" t="s">
        <v>69</v>
      </c>
      <c r="I17" s="23" t="s">
        <v>79</v>
      </c>
      <c r="J17" s="23" t="s">
        <v>72</v>
      </c>
      <c r="K17" s="23" t="s">
        <v>69</v>
      </c>
      <c r="M17" s="23" t="s">
        <v>80</v>
      </c>
      <c r="N17" s="23" t="s">
        <v>74</v>
      </c>
      <c r="P17" s="23" t="s">
        <v>81</v>
      </c>
      <c r="Q17" s="23" t="s">
        <v>69</v>
      </c>
      <c r="R17" s="23" t="s">
        <v>76</v>
      </c>
      <c r="S17" s="23" t="s">
        <v>76</v>
      </c>
      <c r="T17" s="23" t="s">
        <v>76</v>
      </c>
      <c r="U17" s="23" t="s">
        <v>69</v>
      </c>
      <c r="W17" s="24" t="s">
        <v>82</v>
      </c>
    </row>
    <row r="18" customFormat="false" ht="15" hidden="false" customHeight="false" outlineLevel="0" collapsed="false">
      <c r="B18" s="23" t="s">
        <v>83</v>
      </c>
      <c r="C18" s="23" t="s">
        <v>84</v>
      </c>
      <c r="D18" s="23" t="s">
        <v>69</v>
      </c>
      <c r="F18" s="23" t="s">
        <v>85</v>
      </c>
      <c r="G18" s="23" t="s">
        <v>69</v>
      </c>
      <c r="I18" s="23" t="s">
        <v>86</v>
      </c>
      <c r="J18" s="23" t="s">
        <v>85</v>
      </c>
      <c r="K18" s="23" t="s">
        <v>69</v>
      </c>
      <c r="M18" s="23" t="s">
        <v>87</v>
      </c>
      <c r="N18" s="23" t="s">
        <v>74</v>
      </c>
      <c r="P18" s="23" t="s">
        <v>74</v>
      </c>
      <c r="Q18" s="23" t="s">
        <v>69</v>
      </c>
      <c r="R18" s="23" t="s">
        <v>76</v>
      </c>
      <c r="S18" s="23" t="s">
        <v>76</v>
      </c>
      <c r="T18" s="23" t="s">
        <v>69</v>
      </c>
      <c r="U18" s="23" t="s">
        <v>69</v>
      </c>
    </row>
    <row r="19" customFormat="false" ht="15" hidden="false" customHeight="false" outlineLevel="0" collapsed="false">
      <c r="F19" s="23" t="s">
        <v>88</v>
      </c>
      <c r="G19" s="23" t="s">
        <v>69</v>
      </c>
      <c r="M19" s="23" t="s">
        <v>89</v>
      </c>
      <c r="N19" s="23" t="s">
        <v>74</v>
      </c>
      <c r="P19" s="23" t="s">
        <v>90</v>
      </c>
      <c r="Q19" s="23" t="s">
        <v>69</v>
      </c>
      <c r="R19" s="23" t="s">
        <v>69</v>
      </c>
      <c r="S19" s="23" t="s">
        <v>76</v>
      </c>
      <c r="T19" s="23" t="s">
        <v>76</v>
      </c>
      <c r="U19" s="23" t="s">
        <v>69</v>
      </c>
    </row>
    <row r="20" customFormat="false" ht="15" hidden="false" customHeight="false" outlineLevel="0" collapsed="false">
      <c r="M20" s="23" t="s">
        <v>91</v>
      </c>
      <c r="N20" s="23" t="s">
        <v>74</v>
      </c>
      <c r="P20" s="23" t="s">
        <v>92</v>
      </c>
      <c r="Q20" s="23" t="s">
        <v>76</v>
      </c>
      <c r="R20" s="23" t="s">
        <v>76</v>
      </c>
      <c r="S20" s="23" t="s">
        <v>69</v>
      </c>
      <c r="T20" s="23" t="s">
        <v>76</v>
      </c>
      <c r="U20" s="23" t="s">
        <v>76</v>
      </c>
    </row>
    <row r="21" customFormat="false" ht="15" hidden="false" customHeight="false" outlineLevel="0" collapsed="false">
      <c r="M21" s="23" t="s">
        <v>93</v>
      </c>
      <c r="N21" s="23" t="s">
        <v>94</v>
      </c>
      <c r="P21" s="23" t="s">
        <v>95</v>
      </c>
      <c r="Q21" s="23" t="s">
        <v>76</v>
      </c>
      <c r="R21" s="23" t="s">
        <v>69</v>
      </c>
      <c r="S21" s="23" t="s">
        <v>69</v>
      </c>
      <c r="T21" s="23" t="s">
        <v>76</v>
      </c>
      <c r="U21" s="23" t="s">
        <v>76</v>
      </c>
    </row>
    <row r="22" customFormat="false" ht="15" hidden="false" customHeight="false" outlineLevel="0" collapsed="false">
      <c r="M22" s="23" t="s">
        <v>96</v>
      </c>
      <c r="N22" s="23" t="s">
        <v>94</v>
      </c>
      <c r="P22" s="23" t="s">
        <v>97</v>
      </c>
      <c r="Q22" s="23" t="s">
        <v>76</v>
      </c>
      <c r="R22" s="23" t="s">
        <v>69</v>
      </c>
      <c r="S22" s="23" t="s">
        <v>69</v>
      </c>
      <c r="T22" s="23" t="s">
        <v>76</v>
      </c>
      <c r="U22" s="23" t="s">
        <v>69</v>
      </c>
    </row>
    <row r="23" customFormat="false" ht="15" hidden="false" customHeight="false" outlineLevel="0" collapsed="false">
      <c r="M23" s="23" t="s">
        <v>98</v>
      </c>
      <c r="N23" s="23" t="s">
        <v>94</v>
      </c>
      <c r="P23" s="23" t="s">
        <v>99</v>
      </c>
      <c r="Q23" s="23" t="s">
        <v>76</v>
      </c>
      <c r="R23" s="23" t="s">
        <v>69</v>
      </c>
      <c r="S23" s="23" t="s">
        <v>69</v>
      </c>
      <c r="T23" s="23" t="s">
        <v>69</v>
      </c>
      <c r="U23" s="23" t="s">
        <v>69</v>
      </c>
    </row>
    <row r="24" customFormat="false" ht="15" hidden="false" customHeight="false" outlineLevel="0" collapsed="false">
      <c r="M24" s="23" t="s">
        <v>100</v>
      </c>
      <c r="N24" s="23" t="s">
        <v>94</v>
      </c>
      <c r="P24" s="23" t="s">
        <v>101</v>
      </c>
      <c r="Q24" s="23" t="s">
        <v>69</v>
      </c>
      <c r="R24" s="23" t="s">
        <v>76</v>
      </c>
      <c r="S24" s="23" t="s">
        <v>76</v>
      </c>
      <c r="T24" s="23" t="s">
        <v>76</v>
      </c>
      <c r="U24" s="23" t="s">
        <v>69</v>
      </c>
    </row>
    <row r="25" customFormat="false" ht="15" hidden="false" customHeight="false" outlineLevel="0" collapsed="false">
      <c r="M25" s="23" t="s">
        <v>102</v>
      </c>
      <c r="N25" s="23" t="s">
        <v>94</v>
      </c>
      <c r="P25" s="23" t="s">
        <v>103</v>
      </c>
      <c r="Q25" s="23" t="s">
        <v>69</v>
      </c>
      <c r="R25" s="23" t="s">
        <v>76</v>
      </c>
      <c r="S25" s="23" t="s">
        <v>76</v>
      </c>
      <c r="T25" s="23" t="s">
        <v>69</v>
      </c>
      <c r="U25" s="23" t="s">
        <v>69</v>
      </c>
    </row>
    <row r="26" customFormat="false" ht="15" hidden="false" customHeight="false" outlineLevel="0" collapsed="false">
      <c r="M26" s="23" t="s">
        <v>104</v>
      </c>
      <c r="N26" s="23" t="s">
        <v>94</v>
      </c>
      <c r="P26" s="23" t="s">
        <v>89</v>
      </c>
      <c r="Q26" s="23" t="s">
        <v>69</v>
      </c>
      <c r="R26" s="23" t="s">
        <v>76</v>
      </c>
      <c r="S26" s="23" t="s">
        <v>76</v>
      </c>
      <c r="T26" s="23" t="s">
        <v>69</v>
      </c>
      <c r="U26" s="23" t="s">
        <v>69</v>
      </c>
    </row>
    <row r="28" customFormat="false" ht="15" hidden="false" customHeight="false" outlineLevel="0" collapsed="false">
      <c r="P28" s="22" t="s">
        <v>105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  <tablePart r:id="rId2"/>
    <tablePart r:id="rId3"/>
    <tablePart r:id="rId4"/>
    <tablePart r:id="rId5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E75B6"/>
    <pageSetUpPr fitToPage="false"/>
  </sheetPr>
  <dimension ref="A1:I1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6" topLeftCell="A7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10"/>
    <col collapsed="false" customWidth="true" hidden="false" outlineLevel="0" max="4" min="3" style="0" width="13"/>
    <col collapsed="false" customWidth="true" hidden="false" outlineLevel="0" max="5" min="5" style="0" width="10"/>
    <col collapsed="false" customWidth="true" hidden="false" outlineLevel="0" max="7" min="6" style="0" width="13"/>
    <col collapsed="false" customWidth="true" hidden="false" outlineLevel="0" max="8" min="8" style="0" width="24"/>
    <col collapsed="false" customWidth="true" hidden="false" outlineLevel="0" max="9" min="9" style="0" width="26"/>
  </cols>
  <sheetData>
    <row r="1" customFormat="false" ht="25.5" hidden="false" customHeight="true" outlineLevel="0" collapsed="false">
      <c r="A1" s="1" t="s">
        <v>106</v>
      </c>
    </row>
    <row r="2" customFormat="false" ht="15" hidden="false" customHeight="false" outlineLevel="0" collapsed="false">
      <c r="A2" s="2" t="s">
        <v>107</v>
      </c>
    </row>
    <row r="4" customFormat="false" ht="15" hidden="false" customHeight="false" outlineLevel="0" collapsed="false">
      <c r="A4" s="2" t="s">
        <v>108</v>
      </c>
    </row>
    <row r="6" customFormat="false" ht="30" hidden="false" customHeight="true" outlineLevel="0" collapsed="false">
      <c r="A6" s="9" t="s">
        <v>109</v>
      </c>
      <c r="B6" s="9" t="s">
        <v>56</v>
      </c>
      <c r="C6" s="9" t="s">
        <v>110</v>
      </c>
      <c r="D6" s="9" t="s">
        <v>111</v>
      </c>
      <c r="E6" s="9" t="s">
        <v>66</v>
      </c>
      <c r="F6" s="9" t="s">
        <v>53</v>
      </c>
      <c r="G6" s="9" t="s">
        <v>112</v>
      </c>
      <c r="H6" s="9" t="s">
        <v>113</v>
      </c>
      <c r="I6" s="25" t="s">
        <v>114</v>
      </c>
    </row>
    <row r="7" customFormat="false" ht="15" hidden="false" customHeight="false" outlineLevel="0" collapsed="false">
      <c r="A7" s="26" t="s">
        <v>115</v>
      </c>
      <c r="B7" s="26" t="s">
        <v>72</v>
      </c>
      <c r="C7" s="27" t="n">
        <v>46244</v>
      </c>
      <c r="D7" s="27" t="n">
        <v>46246</v>
      </c>
      <c r="E7" s="26" t="s">
        <v>70</v>
      </c>
      <c r="F7" s="26" t="s">
        <v>67</v>
      </c>
      <c r="G7" s="28" t="n">
        <v>100</v>
      </c>
      <c r="H7" s="26"/>
      <c r="I7" s="29" t="str">
        <f aca="false">IF($A7="","",IF(COUNTIFS(tblShipment[Shipment ID],$A7,tblShipment[Item Code],$F7)&gt;1,"Item listed twice",IF(COUNTIFS(tblShipment[Shipment ID],$A7,tblShipment[Market],"&lt;&gt;"&amp;$B7)&gt;0,"Market differs on same shipment",IF($D7&lt;$C7,"Arrival before ship date",IF(AND($E7="Local",$D7&lt;&gt;$C7),"Local: dates must match",IF(N($G7)&lt;=0,"Qty must be more than 0","OK"))))))</f>
        <v>OK</v>
      </c>
    </row>
    <row r="8" customFormat="false" ht="15" hidden="false" customHeight="false" outlineLevel="0" collapsed="false">
      <c r="A8" s="26" t="s">
        <v>115</v>
      </c>
      <c r="B8" s="26" t="s">
        <v>72</v>
      </c>
      <c r="C8" s="27" t="n">
        <v>46244</v>
      </c>
      <c r="D8" s="27" t="n">
        <v>46246</v>
      </c>
      <c r="E8" s="26" t="s">
        <v>70</v>
      </c>
      <c r="F8" s="26" t="s">
        <v>77</v>
      </c>
      <c r="G8" s="28" t="n">
        <v>80</v>
      </c>
      <c r="H8" s="26"/>
      <c r="I8" s="29" t="str">
        <f aca="false">IF($A8="","",IF(COUNTIFS(tblShipment[Shipment ID],$A8,tblShipment[Item Code],$F8)&gt;1,"Item listed twice",IF(COUNTIFS(tblShipment[Shipment ID],$A8,tblShipment[Market],"&lt;&gt;"&amp;$B8)&gt;0,"Market differs on same shipment",IF($D8&lt;$C8,"Arrival before ship date",IF(AND($E8="Local",$D8&lt;&gt;$C8),"Local: dates must match",IF(N($G8)&lt;=0,"Qty must be more than 0","OK"))))))</f>
        <v>OK</v>
      </c>
    </row>
    <row r="9" customFormat="false" ht="15" hidden="false" customHeight="false" outlineLevel="0" collapsed="false">
      <c r="A9" s="26" t="s">
        <v>115</v>
      </c>
      <c r="B9" s="26" t="s">
        <v>72</v>
      </c>
      <c r="C9" s="27" t="n">
        <v>46246</v>
      </c>
      <c r="D9" s="27" t="n">
        <v>46246</v>
      </c>
      <c r="E9" s="26" t="s">
        <v>82</v>
      </c>
      <c r="F9" s="26" t="s">
        <v>83</v>
      </c>
      <c r="G9" s="28" t="n">
        <v>50</v>
      </c>
      <c r="H9" s="26" t="s">
        <v>116</v>
      </c>
      <c r="I9" s="29" t="str">
        <f aca="false">IF($A9="","",IF(COUNTIFS(tblShipment[Shipment ID],$A9,tblShipment[Item Code],$F9)&gt;1,"Item listed twice",IF(COUNTIFS(tblShipment[Shipment ID],$A9,tblShipment[Market],"&lt;&gt;"&amp;$B9)&gt;0,"Market differs on same shipment",IF($D9&lt;$C9,"Arrival before ship date",IF(AND($E9="Local",$D9&lt;&gt;$C9),"Local: dates must match",IF(N($G9)&lt;=0,"Qty must be more than 0","OK"))))))</f>
        <v>OK</v>
      </c>
    </row>
    <row r="10" customFormat="false" ht="15" hidden="false" customHeight="false" outlineLevel="0" collapsed="false">
      <c r="A10" s="26" t="s">
        <v>117</v>
      </c>
      <c r="B10" s="26" t="s">
        <v>85</v>
      </c>
      <c r="C10" s="27" t="n">
        <v>46248</v>
      </c>
      <c r="D10" s="27" t="n">
        <v>46250</v>
      </c>
      <c r="E10" s="26" t="s">
        <v>70</v>
      </c>
      <c r="F10" s="26" t="s">
        <v>67</v>
      </c>
      <c r="G10" s="28" t="n">
        <v>60</v>
      </c>
      <c r="H10" s="26"/>
      <c r="I10" s="29" t="str">
        <f aca="false">IF($A10="","",IF(COUNTIFS(tblShipment[Shipment ID],$A10,tblShipment[Item Code],$F10)&gt;1,"Item listed twice",IF(COUNTIFS(tblShipment[Shipment ID],$A10,tblShipment[Market],"&lt;&gt;"&amp;$B10)&gt;0,"Market differs on same shipment",IF($D10&lt;$C10,"Arrival before ship date",IF(AND($E10="Local",$D10&lt;&gt;$C10),"Local: dates must match",IF(N($G10)&lt;=0,"Qty must be more than 0","OK"))))))</f>
        <v>OK</v>
      </c>
    </row>
    <row r="11" customFormat="false" ht="15" hidden="false" customHeight="false" outlineLevel="0" collapsed="false">
      <c r="A11" s="26" t="s">
        <v>117</v>
      </c>
      <c r="B11" s="26" t="s">
        <v>85</v>
      </c>
      <c r="C11" s="27" t="n">
        <v>46248</v>
      </c>
      <c r="D11" s="27" t="n">
        <v>46250</v>
      </c>
      <c r="E11" s="26" t="s">
        <v>70</v>
      </c>
      <c r="F11" s="26" t="s">
        <v>77</v>
      </c>
      <c r="G11" s="28" t="n">
        <v>40</v>
      </c>
      <c r="H11" s="26"/>
      <c r="I11" s="29" t="str">
        <f aca="false">IF($A11="","",IF(COUNTIFS(tblShipment[Shipment ID],$A11,tblShipment[Item Code],$F11)&gt;1,"Item listed twice",IF(COUNTIFS(tblShipment[Shipment ID],$A11,tblShipment[Market],"&lt;&gt;"&amp;$B11)&gt;0,"Market differs on same shipment",IF($D11&lt;$C11,"Arrival before ship date",IF(AND($E11="Local",$D11&lt;&gt;$C11),"Local: dates must match",IF(N($G11)&lt;=0,"Qty must be more than 0","OK"))))))</f>
        <v>OK</v>
      </c>
    </row>
  </sheetData>
  <conditionalFormatting sqref="I7:I8000">
    <cfRule type="expression" priority="2" aboveAverage="0" equalAverage="0" bottom="0" percent="0" rank="0" text="" dxfId="8">
      <formula>AND(I7&lt;&gt;"",I7&lt;&gt;"OK")</formula>
    </cfRule>
  </conditionalFormatting>
  <dataValidations count="3">
    <dataValidation allowBlank="true" errorStyle="stop" operator="between" showDropDown="false" showErrorMessage="false" showInputMessage="false" sqref="B7:B1011" type="list">
      <formula1>lstMarkets</formula1>
      <formula2>0</formula2>
    </dataValidation>
    <dataValidation allowBlank="true" errorStyle="stop" operator="between" showDropDown="false" showErrorMessage="false" showInputMessage="false" sqref="E7:E1011" type="list">
      <formula1>lstSource</formula1>
      <formula2>0</formula2>
    </dataValidation>
    <dataValidation allowBlank="true" errorStyle="stop" operator="between" showDropDown="false" showErrorMessage="false" showInputMessage="false" sqref="F7:F1011" type="list">
      <formula1>lstItems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E75B6"/>
    <pageSetUpPr fitToPage="false"/>
  </sheetPr>
  <dimension ref="A1:K3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6" topLeftCell="A7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10"/>
    <col collapsed="false" customWidth="true" hidden="false" outlineLevel="0" max="4" min="3" style="0" width="12"/>
    <col collapsed="false" customWidth="true" hidden="false" outlineLevel="0" max="5" min="5" style="0" width="18"/>
    <col collapsed="false" customWidth="true" hidden="false" outlineLevel="0" max="7" min="6" style="0" width="8"/>
    <col collapsed="false" customWidth="true" hidden="false" outlineLevel="0" max="8" min="8" style="0" width="12"/>
    <col collapsed="false" customWidth="true" hidden="false" outlineLevel="0" max="9" min="9" style="0" width="20"/>
    <col collapsed="false" customWidth="true" hidden="false" outlineLevel="0" max="10" min="10" style="0" width="24"/>
    <col collapsed="false" customWidth="true" hidden="false" outlineLevel="0" max="11" min="11" style="0" width="28"/>
  </cols>
  <sheetData>
    <row r="1" customFormat="false" ht="25.5" hidden="false" customHeight="true" outlineLevel="0" collapsed="false">
      <c r="A1" s="1" t="s">
        <v>118</v>
      </c>
    </row>
    <row r="2" customFormat="false" ht="15" hidden="false" customHeight="false" outlineLevel="0" collapsed="false">
      <c r="A2" s="2" t="s">
        <v>119</v>
      </c>
    </row>
    <row r="4" customFormat="false" ht="15" hidden="false" customHeight="false" outlineLevel="0" collapsed="false">
      <c r="A4" s="2" t="s">
        <v>120</v>
      </c>
    </row>
    <row r="6" customFormat="false" ht="30" hidden="false" customHeight="true" outlineLevel="0" collapsed="false">
      <c r="A6" s="9" t="s">
        <v>121</v>
      </c>
      <c r="B6" s="9" t="s">
        <v>56</v>
      </c>
      <c r="C6" s="9" t="s">
        <v>122</v>
      </c>
      <c r="D6" s="9" t="s">
        <v>123</v>
      </c>
      <c r="E6" s="9" t="s">
        <v>60</v>
      </c>
      <c r="F6" s="9" t="s">
        <v>124</v>
      </c>
      <c r="G6" s="9" t="s">
        <v>125</v>
      </c>
      <c r="H6" s="9" t="s">
        <v>57</v>
      </c>
      <c r="I6" s="9" t="s">
        <v>58</v>
      </c>
      <c r="J6" s="9" t="s">
        <v>113</v>
      </c>
      <c r="K6" s="25" t="s">
        <v>114</v>
      </c>
    </row>
    <row r="7" customFormat="false" ht="15" hidden="false" customHeight="false" outlineLevel="0" collapsed="false">
      <c r="A7" s="27" t="n">
        <v>46246</v>
      </c>
      <c r="B7" s="26" t="s">
        <v>72</v>
      </c>
      <c r="C7" s="26" t="s">
        <v>115</v>
      </c>
      <c r="D7" s="26" t="s">
        <v>67</v>
      </c>
      <c r="E7" s="26" t="s">
        <v>75</v>
      </c>
      <c r="F7" s="28" t="n">
        <v>98</v>
      </c>
      <c r="G7" s="28"/>
      <c r="H7" s="26"/>
      <c r="I7" s="26"/>
      <c r="J7" s="26"/>
      <c r="K7" s="29" t="str">
        <f aca="false">IF($A7="","",IF(COUNTIFS(tblMoveTypes[Movement],$E7)=0,"Unknown movement type",IF(COUNTIF(tblShipment[Shipment ID],$C7)=0,"Unknown shipment",IF(COUNTIFS(tblShipment[Shipment ID],$C7,tblShipment[Market],$B7)=0,"Market does not match shipment",IF(AND(IFERROR(INDEX(tblMoveTypes[Item?],MATCH($E7,tblMoveTypes[Movement],0)),"?")="Yes",$D7=""),"Item needed",IF(AND(IFERROR(INDEX(tblMoveTypes[Item?],MATCH($E7,tblMoveTypes[Movement],0)),"?")="No",$D7&lt;&gt;""),"Leave Item blank",IF(AND(IFERROR(INDEX(tblMoveTypes[Courier?],MATCH($E7,tblMoveTypes[Movement],0)),"?")="Yes",$H7=""),"Courier needed",IF(AND(IFERROR(INDEX(tblMoveTypes[Courier?],MATCH($E7,tblMoveTypes[Movement],0)),"?")="No",$H7&lt;&gt;""),"Leave Courier blank",IF(AND(IFERROR(INDEX(tblMoveTypes[Orders?],MATCH($E7,tblMoveTypes[Movement],0)),"?")="Yes",$G7=""),"Orders needed",IF(AND(IFERROR(INDEX(tblMoveTypes[Orders?],MATCH($E7,tblMoveTypes[Movement],0)),"?")="No",$G7&lt;&gt;""),"Leave Orders blank",IF(AND(IFERROR(INDEX(tblMoveTypes[Reason?],MATCH($E7,tblMoveTypes[Movement],0)),"?")="Yes",$I7=""),"Reason needed",IF(AND(IFERROR(INDEX(tblMoveTypes[Qty?],MATCH($E7,tblMoveTypes[Movement],0)),"?")="Yes",N($F7)&lt;=0),"Qty needed",IF($A7&lt;_xlfn.MINIFS(tblShipment[Arrival Date],tblShipment[Shipment ID],$C7),"Date before arrival",IF(AND($D7&lt;&gt;"",COUNTIFS(tblShipment[Shipment ID],$C7,tblShipment[Item Code],$D7)=0),"Item not in this shipment",IF(AND($H7&lt;&gt;"",COUNTIFS(tblCouriers[Courier],$H7,tblCouriers[Market],$B7)=0),"Courier not in this market","OK")))))))))))))))</f>
        <v>OK</v>
      </c>
    </row>
    <row r="8" customFormat="false" ht="15" hidden="false" customHeight="false" outlineLevel="0" collapsed="false">
      <c r="A8" s="27" t="n">
        <v>46246</v>
      </c>
      <c r="B8" s="26" t="s">
        <v>72</v>
      </c>
      <c r="C8" s="26" t="s">
        <v>115</v>
      </c>
      <c r="D8" s="26" t="s">
        <v>67</v>
      </c>
      <c r="E8" s="26" t="s">
        <v>81</v>
      </c>
      <c r="F8" s="28" t="n">
        <v>2</v>
      </c>
      <c r="G8" s="28"/>
      <c r="H8" s="26"/>
      <c r="I8" s="26"/>
      <c r="J8" s="26" t="s">
        <v>126</v>
      </c>
      <c r="K8" s="29" t="str">
        <f aca="false">IF($A8="","",IF(COUNTIFS(tblMoveTypes[Movement],$E8)=0,"Unknown movement type",IF(COUNTIF(tblShipment[Shipment ID],$C8)=0,"Unknown shipment",IF(COUNTIFS(tblShipment[Shipment ID],$C8,tblShipment[Market],$B8)=0,"Market does not match shipment",IF(AND(IFERROR(INDEX(tblMoveTypes[Item?],MATCH($E8,tblMoveTypes[Movement],0)),"?")="Yes",$D8=""),"Item needed",IF(AND(IFERROR(INDEX(tblMoveTypes[Item?],MATCH($E8,tblMoveTypes[Movement],0)),"?")="No",$D8&lt;&gt;""),"Leave Item blank",IF(AND(IFERROR(INDEX(tblMoveTypes[Courier?],MATCH($E8,tblMoveTypes[Movement],0)),"?")="Yes",$H8=""),"Courier needed",IF(AND(IFERROR(INDEX(tblMoveTypes[Courier?],MATCH($E8,tblMoveTypes[Movement],0)),"?")="No",$H8&lt;&gt;""),"Leave Courier blank",IF(AND(IFERROR(INDEX(tblMoveTypes[Orders?],MATCH($E8,tblMoveTypes[Movement],0)),"?")="Yes",$G8=""),"Orders needed",IF(AND(IFERROR(INDEX(tblMoveTypes[Orders?],MATCH($E8,tblMoveTypes[Movement],0)),"?")="No",$G8&lt;&gt;""),"Leave Orders blank",IF(AND(IFERROR(INDEX(tblMoveTypes[Reason?],MATCH($E8,tblMoveTypes[Movement],0)),"?")="Yes",$I8=""),"Reason needed",IF(AND(IFERROR(INDEX(tblMoveTypes[Qty?],MATCH($E8,tblMoveTypes[Movement],0)),"?")="Yes",N($F8)&lt;=0),"Qty needed",IF($A8&lt;_xlfn.MINIFS(tblShipment[Arrival Date],tblShipment[Shipment ID],$C8),"Date before arrival",IF(AND($D8&lt;&gt;"",COUNTIFS(tblShipment[Shipment ID],$C8,tblShipment[Item Code],$D8)=0),"Item not in this shipment",IF(AND($H8&lt;&gt;"",COUNTIFS(tblCouriers[Courier],$H8,tblCouriers[Market],$B8)=0),"Courier not in this market","OK")))))))))))))))</f>
        <v>OK</v>
      </c>
    </row>
    <row r="9" customFormat="false" ht="15" hidden="false" customHeight="false" outlineLevel="0" collapsed="false">
      <c r="A9" s="27" t="n">
        <v>46246</v>
      </c>
      <c r="B9" s="26" t="s">
        <v>72</v>
      </c>
      <c r="C9" s="26" t="s">
        <v>115</v>
      </c>
      <c r="D9" s="26" t="s">
        <v>77</v>
      </c>
      <c r="E9" s="26" t="s">
        <v>75</v>
      </c>
      <c r="F9" s="28" t="n">
        <v>80</v>
      </c>
      <c r="G9" s="28"/>
      <c r="H9" s="26"/>
      <c r="I9" s="26"/>
      <c r="J9" s="26"/>
      <c r="K9" s="29" t="str">
        <f aca="false">IF($A9="","",IF(COUNTIFS(tblMoveTypes[Movement],$E9)=0,"Unknown movement type",IF(COUNTIF(tblShipment[Shipment ID],$C9)=0,"Unknown shipment",IF(COUNTIFS(tblShipment[Shipment ID],$C9,tblShipment[Market],$B9)=0,"Market does not match shipment",IF(AND(IFERROR(INDEX(tblMoveTypes[Item?],MATCH($E9,tblMoveTypes[Movement],0)),"?")="Yes",$D9=""),"Item needed",IF(AND(IFERROR(INDEX(tblMoveTypes[Item?],MATCH($E9,tblMoveTypes[Movement],0)),"?")="No",$D9&lt;&gt;""),"Leave Item blank",IF(AND(IFERROR(INDEX(tblMoveTypes[Courier?],MATCH($E9,tblMoveTypes[Movement],0)),"?")="Yes",$H9=""),"Courier needed",IF(AND(IFERROR(INDEX(tblMoveTypes[Courier?],MATCH($E9,tblMoveTypes[Movement],0)),"?")="No",$H9&lt;&gt;""),"Leave Courier blank",IF(AND(IFERROR(INDEX(tblMoveTypes[Orders?],MATCH($E9,tblMoveTypes[Movement],0)),"?")="Yes",$G9=""),"Orders needed",IF(AND(IFERROR(INDEX(tblMoveTypes[Orders?],MATCH($E9,tblMoveTypes[Movement],0)),"?")="No",$G9&lt;&gt;""),"Leave Orders blank",IF(AND(IFERROR(INDEX(tblMoveTypes[Reason?],MATCH($E9,tblMoveTypes[Movement],0)),"?")="Yes",$I9=""),"Reason needed",IF(AND(IFERROR(INDEX(tblMoveTypes[Qty?],MATCH($E9,tblMoveTypes[Movement],0)),"?")="Yes",N($F9)&lt;=0),"Qty needed",IF($A9&lt;_xlfn.MINIFS(tblShipment[Arrival Date],tblShipment[Shipment ID],$C9),"Date before arrival",IF(AND($D9&lt;&gt;"",COUNTIFS(tblShipment[Shipment ID],$C9,tblShipment[Item Code],$D9)=0),"Item not in this shipment",IF(AND($H9&lt;&gt;"",COUNTIFS(tblCouriers[Courier],$H9,tblCouriers[Market],$B9)=0),"Courier not in this market","OK")))))))))))))))</f>
        <v>OK</v>
      </c>
    </row>
    <row r="10" customFormat="false" ht="15" hidden="false" customHeight="false" outlineLevel="0" collapsed="false">
      <c r="A10" s="27" t="n">
        <v>46246</v>
      </c>
      <c r="B10" s="26" t="s">
        <v>72</v>
      </c>
      <c r="C10" s="26" t="s">
        <v>115</v>
      </c>
      <c r="D10" s="26" t="s">
        <v>83</v>
      </c>
      <c r="E10" s="26" t="s">
        <v>75</v>
      </c>
      <c r="F10" s="28" t="n">
        <v>50</v>
      </c>
      <c r="G10" s="28"/>
      <c r="H10" s="26"/>
      <c r="I10" s="26"/>
      <c r="J10" s="26"/>
      <c r="K10" s="29" t="str">
        <f aca="false">IF($A10="","",IF(COUNTIFS(tblMoveTypes[Movement],$E10)=0,"Unknown movement type",IF(COUNTIF(tblShipment[Shipment ID],$C10)=0,"Unknown shipment",IF(COUNTIFS(tblShipment[Shipment ID],$C10,tblShipment[Market],$B10)=0,"Market does not match shipment",IF(AND(IFERROR(INDEX(tblMoveTypes[Item?],MATCH($E10,tblMoveTypes[Movement],0)),"?")="Yes",$D10=""),"Item needed",IF(AND(IFERROR(INDEX(tblMoveTypes[Item?],MATCH($E10,tblMoveTypes[Movement],0)),"?")="No",$D10&lt;&gt;""),"Leave Item blank",IF(AND(IFERROR(INDEX(tblMoveTypes[Courier?],MATCH($E10,tblMoveTypes[Movement],0)),"?")="Yes",$H10=""),"Courier needed",IF(AND(IFERROR(INDEX(tblMoveTypes[Courier?],MATCH($E10,tblMoveTypes[Movement],0)),"?")="No",$H10&lt;&gt;""),"Leave Courier blank",IF(AND(IFERROR(INDEX(tblMoveTypes[Orders?],MATCH($E10,tblMoveTypes[Movement],0)),"?")="Yes",$G10=""),"Orders needed",IF(AND(IFERROR(INDEX(tblMoveTypes[Orders?],MATCH($E10,tblMoveTypes[Movement],0)),"?")="No",$G10&lt;&gt;""),"Leave Orders blank",IF(AND(IFERROR(INDEX(tblMoveTypes[Reason?],MATCH($E10,tblMoveTypes[Movement],0)),"?")="Yes",$I10=""),"Reason needed",IF(AND(IFERROR(INDEX(tblMoveTypes[Qty?],MATCH($E10,tblMoveTypes[Movement],0)),"?")="Yes",N($F10)&lt;=0),"Qty needed",IF($A10&lt;_xlfn.MINIFS(tblShipment[Arrival Date],tblShipment[Shipment ID],$C10),"Date before arrival",IF(AND($D10&lt;&gt;"",COUNTIFS(tblShipment[Shipment ID],$C10,tblShipment[Item Code],$D10)=0),"Item not in this shipment",IF(AND($H10&lt;&gt;"",COUNTIFS(tblCouriers[Courier],$H10,tblCouriers[Market],$B10)=0),"Courier not in this market","OK")))))))))))))))</f>
        <v>OK</v>
      </c>
    </row>
    <row r="11" customFormat="false" ht="15" hidden="false" customHeight="false" outlineLevel="0" collapsed="false">
      <c r="A11" s="27" t="n">
        <v>46246</v>
      </c>
      <c r="B11" s="26" t="s">
        <v>72</v>
      </c>
      <c r="C11" s="26" t="s">
        <v>115</v>
      </c>
      <c r="D11" s="26" t="s">
        <v>67</v>
      </c>
      <c r="E11" s="26" t="s">
        <v>74</v>
      </c>
      <c r="F11" s="28" t="n">
        <v>8</v>
      </c>
      <c r="G11" s="28"/>
      <c r="H11" s="26"/>
      <c r="I11" s="26" t="s">
        <v>73</v>
      </c>
      <c r="J11" s="26"/>
      <c r="K11" s="29" t="str">
        <f aca="false">IF($A11="","",IF(COUNTIFS(tblMoveTypes[Movement],$E11)=0,"Unknown movement type",IF(COUNTIF(tblShipment[Shipment ID],$C11)=0,"Unknown shipment",IF(COUNTIFS(tblShipment[Shipment ID],$C11,tblShipment[Market],$B11)=0,"Market does not match shipment",IF(AND(IFERROR(INDEX(tblMoveTypes[Item?],MATCH($E11,tblMoveTypes[Movement],0)),"?")="Yes",$D11=""),"Item needed",IF(AND(IFERROR(INDEX(tblMoveTypes[Item?],MATCH($E11,tblMoveTypes[Movement],0)),"?")="No",$D11&lt;&gt;""),"Leave Item blank",IF(AND(IFERROR(INDEX(tblMoveTypes[Courier?],MATCH($E11,tblMoveTypes[Movement],0)),"?")="Yes",$H11=""),"Courier needed",IF(AND(IFERROR(INDEX(tblMoveTypes[Courier?],MATCH($E11,tblMoveTypes[Movement],0)),"?")="No",$H11&lt;&gt;""),"Leave Courier blank",IF(AND(IFERROR(INDEX(tblMoveTypes[Orders?],MATCH($E11,tblMoveTypes[Movement],0)),"?")="Yes",$G11=""),"Orders needed",IF(AND(IFERROR(INDEX(tblMoveTypes[Orders?],MATCH($E11,tblMoveTypes[Movement],0)),"?")="No",$G11&lt;&gt;""),"Leave Orders blank",IF(AND(IFERROR(INDEX(tblMoveTypes[Reason?],MATCH($E11,tblMoveTypes[Movement],0)),"?")="Yes",$I11=""),"Reason needed",IF(AND(IFERROR(INDEX(tblMoveTypes[Qty?],MATCH($E11,tblMoveTypes[Movement],0)),"?")="Yes",N($F11)&lt;=0),"Qty needed",IF($A11&lt;_xlfn.MINIFS(tblShipment[Arrival Date],tblShipment[Shipment ID],$C11),"Date before arrival",IF(AND($D11&lt;&gt;"",COUNTIFS(tblShipment[Shipment ID],$C11,tblShipment[Item Code],$D11)=0),"Item not in this shipment",IF(AND($H11&lt;&gt;"",COUNTIFS(tblCouriers[Courier],$H11,tblCouriers[Market],$B11)=0),"Courier not in this market","OK")))))))))))))))</f>
        <v>OK</v>
      </c>
    </row>
    <row r="12" customFormat="false" ht="15" hidden="false" customHeight="false" outlineLevel="0" collapsed="false">
      <c r="A12" s="27" t="n">
        <v>46246</v>
      </c>
      <c r="B12" s="26" t="s">
        <v>72</v>
      </c>
      <c r="C12" s="26" t="s">
        <v>115</v>
      </c>
      <c r="D12" s="26" t="s">
        <v>77</v>
      </c>
      <c r="E12" s="26" t="s">
        <v>74</v>
      </c>
      <c r="F12" s="28" t="n">
        <v>3</v>
      </c>
      <c r="G12" s="28"/>
      <c r="H12" s="26"/>
      <c r="I12" s="26" t="s">
        <v>73</v>
      </c>
      <c r="J12" s="26"/>
      <c r="K12" s="29" t="str">
        <f aca="false">IF($A12="","",IF(COUNTIFS(tblMoveTypes[Movement],$E12)=0,"Unknown movement type",IF(COUNTIF(tblShipment[Shipment ID],$C12)=0,"Unknown shipment",IF(COUNTIFS(tblShipment[Shipment ID],$C12,tblShipment[Market],$B12)=0,"Market does not match shipment",IF(AND(IFERROR(INDEX(tblMoveTypes[Item?],MATCH($E12,tblMoveTypes[Movement],0)),"?")="Yes",$D12=""),"Item needed",IF(AND(IFERROR(INDEX(tblMoveTypes[Item?],MATCH($E12,tblMoveTypes[Movement],0)),"?")="No",$D12&lt;&gt;""),"Leave Item blank",IF(AND(IFERROR(INDEX(tblMoveTypes[Courier?],MATCH($E12,tblMoveTypes[Movement],0)),"?")="Yes",$H12=""),"Courier needed",IF(AND(IFERROR(INDEX(tblMoveTypes[Courier?],MATCH($E12,tblMoveTypes[Movement],0)),"?")="No",$H12&lt;&gt;""),"Leave Courier blank",IF(AND(IFERROR(INDEX(tblMoveTypes[Orders?],MATCH($E12,tblMoveTypes[Movement],0)),"?")="Yes",$G12=""),"Orders needed",IF(AND(IFERROR(INDEX(tblMoveTypes[Orders?],MATCH($E12,tblMoveTypes[Movement],0)),"?")="No",$G12&lt;&gt;""),"Leave Orders blank",IF(AND(IFERROR(INDEX(tblMoveTypes[Reason?],MATCH($E12,tblMoveTypes[Movement],0)),"?")="Yes",$I12=""),"Reason needed",IF(AND(IFERROR(INDEX(tblMoveTypes[Qty?],MATCH($E12,tblMoveTypes[Movement],0)),"?")="Yes",N($F12)&lt;=0),"Qty needed",IF($A12&lt;_xlfn.MINIFS(tblShipment[Arrival Date],tblShipment[Shipment ID],$C12),"Date before arrival",IF(AND($D12&lt;&gt;"",COUNTIFS(tblShipment[Shipment ID],$C12,tblShipment[Item Code],$D12)=0),"Item not in this shipment",IF(AND($H12&lt;&gt;"",COUNTIFS(tblCouriers[Courier],$H12,tblCouriers[Market],$B12)=0),"Courier not in this market","OK")))))))))))))))</f>
        <v>OK</v>
      </c>
    </row>
    <row r="13" customFormat="false" ht="15" hidden="false" customHeight="false" outlineLevel="0" collapsed="false">
      <c r="A13" s="27" t="n">
        <v>46246</v>
      </c>
      <c r="B13" s="26" t="s">
        <v>72</v>
      </c>
      <c r="C13" s="26" t="s">
        <v>115</v>
      </c>
      <c r="D13" s="26" t="s">
        <v>83</v>
      </c>
      <c r="E13" s="26" t="s">
        <v>74</v>
      </c>
      <c r="F13" s="28" t="n">
        <v>1</v>
      </c>
      <c r="G13" s="28"/>
      <c r="H13" s="26"/>
      <c r="I13" s="26" t="s">
        <v>80</v>
      </c>
      <c r="J13" s="26"/>
      <c r="K13" s="29" t="str">
        <f aca="false">IF($A13="","",IF(COUNTIFS(tblMoveTypes[Movement],$E13)=0,"Unknown movement type",IF(COUNTIF(tblShipment[Shipment ID],$C13)=0,"Unknown shipment",IF(COUNTIFS(tblShipment[Shipment ID],$C13,tblShipment[Market],$B13)=0,"Market does not match shipment",IF(AND(IFERROR(INDEX(tblMoveTypes[Item?],MATCH($E13,tblMoveTypes[Movement],0)),"?")="Yes",$D13=""),"Item needed",IF(AND(IFERROR(INDEX(tblMoveTypes[Item?],MATCH($E13,tblMoveTypes[Movement],0)),"?")="No",$D13&lt;&gt;""),"Leave Item blank",IF(AND(IFERROR(INDEX(tblMoveTypes[Courier?],MATCH($E13,tblMoveTypes[Movement],0)),"?")="Yes",$H13=""),"Courier needed",IF(AND(IFERROR(INDEX(tblMoveTypes[Courier?],MATCH($E13,tblMoveTypes[Movement],0)),"?")="No",$H13&lt;&gt;""),"Leave Courier blank",IF(AND(IFERROR(INDEX(tblMoveTypes[Orders?],MATCH($E13,tblMoveTypes[Movement],0)),"?")="Yes",$G13=""),"Orders needed",IF(AND(IFERROR(INDEX(tblMoveTypes[Orders?],MATCH($E13,tblMoveTypes[Movement],0)),"?")="No",$G13&lt;&gt;""),"Leave Orders blank",IF(AND(IFERROR(INDEX(tblMoveTypes[Reason?],MATCH($E13,tblMoveTypes[Movement],0)),"?")="Yes",$I13=""),"Reason needed",IF(AND(IFERROR(INDEX(tblMoveTypes[Qty?],MATCH($E13,tblMoveTypes[Movement],0)),"?")="Yes",N($F13)&lt;=0),"Qty needed",IF($A13&lt;_xlfn.MINIFS(tblShipment[Arrival Date],tblShipment[Shipment ID],$C13),"Date before arrival",IF(AND($D13&lt;&gt;"",COUNTIFS(tblShipment[Shipment ID],$C13,tblShipment[Item Code],$D13)=0),"Item not in this shipment",IF(AND($H13&lt;&gt;"",COUNTIFS(tblCouriers[Courier],$H13,tblCouriers[Market],$B13)=0),"Courier not in this market","OK")))))))))))))))</f>
        <v>OK</v>
      </c>
    </row>
    <row r="14" customFormat="false" ht="15" hidden="false" customHeight="false" outlineLevel="0" collapsed="false">
      <c r="A14" s="27" t="n">
        <v>46246</v>
      </c>
      <c r="B14" s="26" t="s">
        <v>72</v>
      </c>
      <c r="C14" s="26" t="s">
        <v>115</v>
      </c>
      <c r="D14" s="26"/>
      <c r="E14" s="26" t="s">
        <v>92</v>
      </c>
      <c r="F14" s="28"/>
      <c r="G14" s="28" t="n">
        <v>23</v>
      </c>
      <c r="H14" s="26"/>
      <c r="I14" s="26"/>
      <c r="J14" s="26"/>
      <c r="K14" s="29" t="str">
        <f aca="false">IF($A14="","",IF(COUNTIFS(tblMoveTypes[Movement],$E14)=0,"Unknown movement type",IF(COUNTIF(tblShipment[Shipment ID],$C14)=0,"Unknown shipment",IF(COUNTIFS(tblShipment[Shipment ID],$C14,tblShipment[Market],$B14)=0,"Market does not match shipment",IF(AND(IFERROR(INDEX(tblMoveTypes[Item?],MATCH($E14,tblMoveTypes[Movement],0)),"?")="Yes",$D14=""),"Item needed",IF(AND(IFERROR(INDEX(tblMoveTypes[Item?],MATCH($E14,tblMoveTypes[Movement],0)),"?")="No",$D14&lt;&gt;""),"Leave Item blank",IF(AND(IFERROR(INDEX(tblMoveTypes[Courier?],MATCH($E14,tblMoveTypes[Movement],0)),"?")="Yes",$H14=""),"Courier needed",IF(AND(IFERROR(INDEX(tblMoveTypes[Courier?],MATCH($E14,tblMoveTypes[Movement],0)),"?")="No",$H14&lt;&gt;""),"Leave Courier blank",IF(AND(IFERROR(INDEX(tblMoveTypes[Orders?],MATCH($E14,tblMoveTypes[Movement],0)),"?")="Yes",$G14=""),"Orders needed",IF(AND(IFERROR(INDEX(tblMoveTypes[Orders?],MATCH($E14,tblMoveTypes[Movement],0)),"?")="No",$G14&lt;&gt;""),"Leave Orders blank",IF(AND(IFERROR(INDEX(tblMoveTypes[Reason?],MATCH($E14,tblMoveTypes[Movement],0)),"?")="Yes",$I14=""),"Reason needed",IF(AND(IFERROR(INDEX(tblMoveTypes[Qty?],MATCH($E14,tblMoveTypes[Movement],0)),"?")="Yes",N($F14)&lt;=0),"Qty needed",IF($A14&lt;_xlfn.MINIFS(tblShipment[Arrival Date],tblShipment[Shipment ID],$C14),"Date before arrival",IF(AND($D14&lt;&gt;"",COUNTIFS(tblShipment[Shipment ID],$C14,tblShipment[Item Code],$D14)=0),"Item not in this shipment",IF(AND($H14&lt;&gt;"",COUNTIFS(tblCouriers[Courier],$H14,tblCouriers[Market],$B14)=0),"Courier not in this market","OK")))))))))))))))</f>
        <v>OK</v>
      </c>
    </row>
    <row r="15" customFormat="false" ht="15" hidden="false" customHeight="false" outlineLevel="0" collapsed="false">
      <c r="A15" s="27" t="n">
        <v>46246</v>
      </c>
      <c r="B15" s="26" t="s">
        <v>72</v>
      </c>
      <c r="C15" s="26" t="s">
        <v>115</v>
      </c>
      <c r="D15" s="26" t="s">
        <v>67</v>
      </c>
      <c r="E15" s="26" t="s">
        <v>90</v>
      </c>
      <c r="F15" s="28" t="n">
        <v>28</v>
      </c>
      <c r="G15" s="28"/>
      <c r="H15" s="26" t="s">
        <v>71</v>
      </c>
      <c r="I15" s="26"/>
      <c r="J15" s="26"/>
      <c r="K15" s="29" t="str">
        <f aca="false">IF($A15="","",IF(COUNTIFS(tblMoveTypes[Movement],$E15)=0,"Unknown movement type",IF(COUNTIF(tblShipment[Shipment ID],$C15)=0,"Unknown shipment",IF(COUNTIFS(tblShipment[Shipment ID],$C15,tblShipment[Market],$B15)=0,"Market does not match shipment",IF(AND(IFERROR(INDEX(tblMoveTypes[Item?],MATCH($E15,tblMoveTypes[Movement],0)),"?")="Yes",$D15=""),"Item needed",IF(AND(IFERROR(INDEX(tblMoveTypes[Item?],MATCH($E15,tblMoveTypes[Movement],0)),"?")="No",$D15&lt;&gt;""),"Leave Item blank",IF(AND(IFERROR(INDEX(tblMoveTypes[Courier?],MATCH($E15,tblMoveTypes[Movement],0)),"?")="Yes",$H15=""),"Courier needed",IF(AND(IFERROR(INDEX(tblMoveTypes[Courier?],MATCH($E15,tblMoveTypes[Movement],0)),"?")="No",$H15&lt;&gt;""),"Leave Courier blank",IF(AND(IFERROR(INDEX(tblMoveTypes[Orders?],MATCH($E15,tblMoveTypes[Movement],0)),"?")="Yes",$G15=""),"Orders needed",IF(AND(IFERROR(INDEX(tblMoveTypes[Orders?],MATCH($E15,tblMoveTypes[Movement],0)),"?")="No",$G15&lt;&gt;""),"Leave Orders blank",IF(AND(IFERROR(INDEX(tblMoveTypes[Reason?],MATCH($E15,tblMoveTypes[Movement],0)),"?")="Yes",$I15=""),"Reason needed",IF(AND(IFERROR(INDEX(tblMoveTypes[Qty?],MATCH($E15,tblMoveTypes[Movement],0)),"?")="Yes",N($F15)&lt;=0),"Qty needed",IF($A15&lt;_xlfn.MINIFS(tblShipment[Arrival Date],tblShipment[Shipment ID],$C15),"Date before arrival",IF(AND($D15&lt;&gt;"",COUNTIFS(tblShipment[Shipment ID],$C15,tblShipment[Item Code],$D15)=0),"Item not in this shipment",IF(AND($H15&lt;&gt;"",COUNTIFS(tblCouriers[Courier],$H15,tblCouriers[Market],$B15)=0),"Courier not in this market","OK")))))))))))))))</f>
        <v>OK</v>
      </c>
    </row>
    <row r="16" customFormat="false" ht="15" hidden="false" customHeight="false" outlineLevel="0" collapsed="false">
      <c r="A16" s="27" t="n">
        <v>46246</v>
      </c>
      <c r="B16" s="26" t="s">
        <v>72</v>
      </c>
      <c r="C16" s="26" t="s">
        <v>115</v>
      </c>
      <c r="D16" s="26" t="s">
        <v>77</v>
      </c>
      <c r="E16" s="26" t="s">
        <v>90</v>
      </c>
      <c r="F16" s="28" t="n">
        <v>22</v>
      </c>
      <c r="G16" s="28"/>
      <c r="H16" s="26" t="s">
        <v>71</v>
      </c>
      <c r="I16" s="26"/>
      <c r="J16" s="26"/>
      <c r="K16" s="29" t="str">
        <f aca="false">IF($A16="","",IF(COUNTIFS(tblMoveTypes[Movement],$E16)=0,"Unknown movement type",IF(COUNTIF(tblShipment[Shipment ID],$C16)=0,"Unknown shipment",IF(COUNTIFS(tblShipment[Shipment ID],$C16,tblShipment[Market],$B16)=0,"Market does not match shipment",IF(AND(IFERROR(INDEX(tblMoveTypes[Item?],MATCH($E16,tblMoveTypes[Movement],0)),"?")="Yes",$D16=""),"Item needed",IF(AND(IFERROR(INDEX(tblMoveTypes[Item?],MATCH($E16,tblMoveTypes[Movement],0)),"?")="No",$D16&lt;&gt;""),"Leave Item blank",IF(AND(IFERROR(INDEX(tblMoveTypes[Courier?],MATCH($E16,tblMoveTypes[Movement],0)),"?")="Yes",$H16=""),"Courier needed",IF(AND(IFERROR(INDEX(tblMoveTypes[Courier?],MATCH($E16,tblMoveTypes[Movement],0)),"?")="No",$H16&lt;&gt;""),"Leave Courier blank",IF(AND(IFERROR(INDEX(tblMoveTypes[Orders?],MATCH($E16,tblMoveTypes[Movement],0)),"?")="Yes",$G16=""),"Orders needed",IF(AND(IFERROR(INDEX(tblMoveTypes[Orders?],MATCH($E16,tblMoveTypes[Movement],0)),"?")="No",$G16&lt;&gt;""),"Leave Orders blank",IF(AND(IFERROR(INDEX(tblMoveTypes[Reason?],MATCH($E16,tblMoveTypes[Movement],0)),"?")="Yes",$I16=""),"Reason needed",IF(AND(IFERROR(INDEX(tblMoveTypes[Qty?],MATCH($E16,tblMoveTypes[Movement],0)),"?")="Yes",N($F16)&lt;=0),"Qty needed",IF($A16&lt;_xlfn.MINIFS(tblShipment[Arrival Date],tblShipment[Shipment ID],$C16),"Date before arrival",IF(AND($D16&lt;&gt;"",COUNTIFS(tblShipment[Shipment ID],$C16,tblShipment[Item Code],$D16)=0),"Item not in this shipment",IF(AND($H16&lt;&gt;"",COUNTIFS(tblCouriers[Courier],$H16,tblCouriers[Market],$B16)=0),"Courier not in this market","OK")))))))))))))))</f>
        <v>OK</v>
      </c>
    </row>
    <row r="17" customFormat="false" ht="15" hidden="false" customHeight="false" outlineLevel="0" collapsed="false">
      <c r="A17" s="27" t="n">
        <v>46246</v>
      </c>
      <c r="B17" s="26" t="s">
        <v>72</v>
      </c>
      <c r="C17" s="26" t="s">
        <v>115</v>
      </c>
      <c r="D17" s="26" t="s">
        <v>83</v>
      </c>
      <c r="E17" s="26" t="s">
        <v>90</v>
      </c>
      <c r="F17" s="28" t="n">
        <v>15</v>
      </c>
      <c r="G17" s="28"/>
      <c r="H17" s="26" t="s">
        <v>79</v>
      </c>
      <c r="I17" s="26"/>
      <c r="J17" s="26"/>
      <c r="K17" s="29" t="str">
        <f aca="false">IF($A17="","",IF(COUNTIFS(tblMoveTypes[Movement],$E17)=0,"Unknown movement type",IF(COUNTIF(tblShipment[Shipment ID],$C17)=0,"Unknown shipment",IF(COUNTIFS(tblShipment[Shipment ID],$C17,tblShipment[Market],$B17)=0,"Market does not match shipment",IF(AND(IFERROR(INDEX(tblMoveTypes[Item?],MATCH($E17,tblMoveTypes[Movement],0)),"?")="Yes",$D17=""),"Item needed",IF(AND(IFERROR(INDEX(tblMoveTypes[Item?],MATCH($E17,tblMoveTypes[Movement],0)),"?")="No",$D17&lt;&gt;""),"Leave Item blank",IF(AND(IFERROR(INDEX(tblMoveTypes[Courier?],MATCH($E17,tblMoveTypes[Movement],0)),"?")="Yes",$H17=""),"Courier needed",IF(AND(IFERROR(INDEX(tblMoveTypes[Courier?],MATCH($E17,tblMoveTypes[Movement],0)),"?")="No",$H17&lt;&gt;""),"Leave Courier blank",IF(AND(IFERROR(INDEX(tblMoveTypes[Orders?],MATCH($E17,tblMoveTypes[Movement],0)),"?")="Yes",$G17=""),"Orders needed",IF(AND(IFERROR(INDEX(tblMoveTypes[Orders?],MATCH($E17,tblMoveTypes[Movement],0)),"?")="No",$G17&lt;&gt;""),"Leave Orders blank",IF(AND(IFERROR(INDEX(tblMoveTypes[Reason?],MATCH($E17,tblMoveTypes[Movement],0)),"?")="Yes",$I17=""),"Reason needed",IF(AND(IFERROR(INDEX(tblMoveTypes[Qty?],MATCH($E17,tblMoveTypes[Movement],0)),"?")="Yes",N($F17)&lt;=0),"Qty needed",IF($A17&lt;_xlfn.MINIFS(tblShipment[Arrival Date],tblShipment[Shipment ID],$C17),"Date before arrival",IF(AND($D17&lt;&gt;"",COUNTIFS(tblShipment[Shipment ID],$C17,tblShipment[Item Code],$D17)=0),"Item not in this shipment",IF(AND($H17&lt;&gt;"",COUNTIFS(tblCouriers[Courier],$H17,tblCouriers[Market],$B17)=0),"Courier not in this market","OK")))))))))))))))</f>
        <v>OK</v>
      </c>
    </row>
    <row r="18" customFormat="false" ht="15" hidden="false" customHeight="false" outlineLevel="0" collapsed="false">
      <c r="A18" s="27" t="n">
        <v>46246</v>
      </c>
      <c r="B18" s="26" t="s">
        <v>72</v>
      </c>
      <c r="C18" s="26" t="s">
        <v>115</v>
      </c>
      <c r="D18" s="26"/>
      <c r="E18" s="26" t="s">
        <v>95</v>
      </c>
      <c r="F18" s="28"/>
      <c r="G18" s="28" t="n">
        <v>15</v>
      </c>
      <c r="H18" s="26" t="s">
        <v>71</v>
      </c>
      <c r="I18" s="26"/>
      <c r="J18" s="26"/>
      <c r="K18" s="29" t="str">
        <f aca="false">IF($A18="","",IF(COUNTIFS(tblMoveTypes[Movement],$E18)=0,"Unknown movement type",IF(COUNTIF(tblShipment[Shipment ID],$C18)=0,"Unknown shipment",IF(COUNTIFS(tblShipment[Shipment ID],$C18,tblShipment[Market],$B18)=0,"Market does not match shipment",IF(AND(IFERROR(INDEX(tblMoveTypes[Item?],MATCH($E18,tblMoveTypes[Movement],0)),"?")="Yes",$D18=""),"Item needed",IF(AND(IFERROR(INDEX(tblMoveTypes[Item?],MATCH($E18,tblMoveTypes[Movement],0)),"?")="No",$D18&lt;&gt;""),"Leave Item blank",IF(AND(IFERROR(INDEX(tblMoveTypes[Courier?],MATCH($E18,tblMoveTypes[Movement],0)),"?")="Yes",$H18=""),"Courier needed",IF(AND(IFERROR(INDEX(tblMoveTypes[Courier?],MATCH($E18,tblMoveTypes[Movement],0)),"?")="No",$H18&lt;&gt;""),"Leave Courier blank",IF(AND(IFERROR(INDEX(tblMoveTypes[Orders?],MATCH($E18,tblMoveTypes[Movement],0)),"?")="Yes",$G18=""),"Orders needed",IF(AND(IFERROR(INDEX(tblMoveTypes[Orders?],MATCH($E18,tblMoveTypes[Movement],0)),"?")="No",$G18&lt;&gt;""),"Leave Orders blank",IF(AND(IFERROR(INDEX(tblMoveTypes[Reason?],MATCH($E18,tblMoveTypes[Movement],0)),"?")="Yes",$I18=""),"Reason needed",IF(AND(IFERROR(INDEX(tblMoveTypes[Qty?],MATCH($E18,tblMoveTypes[Movement],0)),"?")="Yes",N($F18)&lt;=0),"Qty needed",IF($A18&lt;_xlfn.MINIFS(tblShipment[Arrival Date],tblShipment[Shipment ID],$C18),"Date before arrival",IF(AND($D18&lt;&gt;"",COUNTIFS(tblShipment[Shipment ID],$C18,tblShipment[Item Code],$D18)=0),"Item not in this shipment",IF(AND($H18&lt;&gt;"",COUNTIFS(tblCouriers[Courier],$H18,tblCouriers[Market],$B18)=0),"Courier not in this market","OK")))))))))))))))</f>
        <v>OK</v>
      </c>
    </row>
    <row r="19" customFormat="false" ht="15" hidden="false" customHeight="false" outlineLevel="0" collapsed="false">
      <c r="A19" s="27" t="n">
        <v>46246</v>
      </c>
      <c r="B19" s="26" t="s">
        <v>72</v>
      </c>
      <c r="C19" s="26" t="s">
        <v>115</v>
      </c>
      <c r="D19" s="26"/>
      <c r="E19" s="26" t="s">
        <v>95</v>
      </c>
      <c r="F19" s="28"/>
      <c r="G19" s="28" t="n">
        <v>8</v>
      </c>
      <c r="H19" s="26" t="s">
        <v>79</v>
      </c>
      <c r="I19" s="26"/>
      <c r="J19" s="26"/>
      <c r="K19" s="29" t="str">
        <f aca="false">IF($A19="","",IF(COUNTIFS(tblMoveTypes[Movement],$E19)=0,"Unknown movement type",IF(COUNTIF(tblShipment[Shipment ID],$C19)=0,"Unknown shipment",IF(COUNTIFS(tblShipment[Shipment ID],$C19,tblShipment[Market],$B19)=0,"Market does not match shipment",IF(AND(IFERROR(INDEX(tblMoveTypes[Item?],MATCH($E19,tblMoveTypes[Movement],0)),"?")="Yes",$D19=""),"Item needed",IF(AND(IFERROR(INDEX(tblMoveTypes[Item?],MATCH($E19,tblMoveTypes[Movement],0)),"?")="No",$D19&lt;&gt;""),"Leave Item blank",IF(AND(IFERROR(INDEX(tblMoveTypes[Courier?],MATCH($E19,tblMoveTypes[Movement],0)),"?")="Yes",$H19=""),"Courier needed",IF(AND(IFERROR(INDEX(tblMoveTypes[Courier?],MATCH($E19,tblMoveTypes[Movement],0)),"?")="No",$H19&lt;&gt;""),"Leave Courier blank",IF(AND(IFERROR(INDEX(tblMoveTypes[Orders?],MATCH($E19,tblMoveTypes[Movement],0)),"?")="Yes",$G19=""),"Orders needed",IF(AND(IFERROR(INDEX(tblMoveTypes[Orders?],MATCH($E19,tblMoveTypes[Movement],0)),"?")="No",$G19&lt;&gt;""),"Leave Orders blank",IF(AND(IFERROR(INDEX(tblMoveTypes[Reason?],MATCH($E19,tblMoveTypes[Movement],0)),"?")="Yes",$I19=""),"Reason needed",IF(AND(IFERROR(INDEX(tblMoveTypes[Qty?],MATCH($E19,tblMoveTypes[Movement],0)),"?")="Yes",N($F19)&lt;=0),"Qty needed",IF($A19&lt;_xlfn.MINIFS(tblShipment[Arrival Date],tblShipment[Shipment ID],$C19),"Date before arrival",IF(AND($D19&lt;&gt;"",COUNTIFS(tblShipment[Shipment ID],$C19,tblShipment[Item Code],$D19)=0),"Item not in this shipment",IF(AND($H19&lt;&gt;"",COUNTIFS(tblCouriers[Courier],$H19,tblCouriers[Market],$B19)=0),"Courier not in this market","OK")))))))))))))))</f>
        <v>OK</v>
      </c>
    </row>
    <row r="20" customFormat="false" ht="15" hidden="false" customHeight="false" outlineLevel="0" collapsed="false">
      <c r="A20" s="27" t="n">
        <v>46246</v>
      </c>
      <c r="B20" s="26" t="s">
        <v>72</v>
      </c>
      <c r="C20" s="26" t="s">
        <v>115</v>
      </c>
      <c r="D20" s="26"/>
      <c r="E20" s="26" t="s">
        <v>97</v>
      </c>
      <c r="F20" s="28" t="n">
        <v>19</v>
      </c>
      <c r="G20" s="28" t="n">
        <v>5</v>
      </c>
      <c r="H20" s="26" t="s">
        <v>71</v>
      </c>
      <c r="I20" s="26"/>
      <c r="J20" s="26"/>
      <c r="K20" s="29" t="str">
        <f aca="false">IF($A20="","",IF(COUNTIFS(tblMoveTypes[Movement],$E20)=0,"Unknown movement type",IF(COUNTIF(tblShipment[Shipment ID],$C20)=0,"Unknown shipment",IF(COUNTIFS(tblShipment[Shipment ID],$C20,tblShipment[Market],$B20)=0,"Market does not match shipment",IF(AND(IFERROR(INDEX(tblMoveTypes[Item?],MATCH($E20,tblMoveTypes[Movement],0)),"?")="Yes",$D20=""),"Item needed",IF(AND(IFERROR(INDEX(tblMoveTypes[Item?],MATCH($E20,tblMoveTypes[Movement],0)),"?")="No",$D20&lt;&gt;""),"Leave Item blank",IF(AND(IFERROR(INDEX(tblMoveTypes[Courier?],MATCH($E20,tblMoveTypes[Movement],0)),"?")="Yes",$H20=""),"Courier needed",IF(AND(IFERROR(INDEX(tblMoveTypes[Courier?],MATCH($E20,tblMoveTypes[Movement],0)),"?")="No",$H20&lt;&gt;""),"Leave Courier blank",IF(AND(IFERROR(INDEX(tblMoveTypes[Orders?],MATCH($E20,tblMoveTypes[Movement],0)),"?")="Yes",$G20=""),"Orders needed",IF(AND(IFERROR(INDEX(tblMoveTypes[Orders?],MATCH($E20,tblMoveTypes[Movement],0)),"?")="No",$G20&lt;&gt;""),"Leave Orders blank",IF(AND(IFERROR(INDEX(tblMoveTypes[Reason?],MATCH($E20,tblMoveTypes[Movement],0)),"?")="Yes",$I20=""),"Reason needed",IF(AND(IFERROR(INDEX(tblMoveTypes[Qty?],MATCH($E20,tblMoveTypes[Movement],0)),"?")="Yes",N($F20)&lt;=0),"Qty needed",IF($A20&lt;_xlfn.MINIFS(tblShipment[Arrival Date],tblShipment[Shipment ID],$C20),"Date before arrival",IF(AND($D20&lt;&gt;"",COUNTIFS(tblShipment[Shipment ID],$C20,tblShipment[Item Code],$D20)=0),"Item not in this shipment",IF(AND($H20&lt;&gt;"",COUNTIFS(tblCouriers[Courier],$H20,tblCouriers[Market],$B20)=0),"Courier not in this market","OK")))))))))))))))</f>
        <v>OK</v>
      </c>
    </row>
    <row r="21" customFormat="false" ht="15" hidden="false" customHeight="false" outlineLevel="0" collapsed="false">
      <c r="A21" s="27" t="n">
        <v>46246</v>
      </c>
      <c r="B21" s="26" t="s">
        <v>72</v>
      </c>
      <c r="C21" s="26" t="s">
        <v>115</v>
      </c>
      <c r="D21" s="26"/>
      <c r="E21" s="26" t="s">
        <v>97</v>
      </c>
      <c r="F21" s="28" t="n">
        <v>4</v>
      </c>
      <c r="G21" s="28" t="n">
        <v>2</v>
      </c>
      <c r="H21" s="26" t="s">
        <v>79</v>
      </c>
      <c r="I21" s="26"/>
      <c r="J21" s="26"/>
      <c r="K21" s="29" t="str">
        <f aca="false">IF($A21="","",IF(COUNTIFS(tblMoveTypes[Movement],$E21)=0,"Unknown movement type",IF(COUNTIF(tblShipment[Shipment ID],$C21)=0,"Unknown shipment",IF(COUNTIFS(tblShipment[Shipment ID],$C21,tblShipment[Market],$B21)=0,"Market does not match shipment",IF(AND(IFERROR(INDEX(tblMoveTypes[Item?],MATCH($E21,tblMoveTypes[Movement],0)),"?")="Yes",$D21=""),"Item needed",IF(AND(IFERROR(INDEX(tblMoveTypes[Item?],MATCH($E21,tblMoveTypes[Movement],0)),"?")="No",$D21&lt;&gt;""),"Leave Item blank",IF(AND(IFERROR(INDEX(tblMoveTypes[Courier?],MATCH($E21,tblMoveTypes[Movement],0)),"?")="Yes",$H21=""),"Courier needed",IF(AND(IFERROR(INDEX(tblMoveTypes[Courier?],MATCH($E21,tblMoveTypes[Movement],0)),"?")="No",$H21&lt;&gt;""),"Leave Courier blank",IF(AND(IFERROR(INDEX(tblMoveTypes[Orders?],MATCH($E21,tblMoveTypes[Movement],0)),"?")="Yes",$G21=""),"Orders needed",IF(AND(IFERROR(INDEX(tblMoveTypes[Orders?],MATCH($E21,tblMoveTypes[Movement],0)),"?")="No",$G21&lt;&gt;""),"Leave Orders blank",IF(AND(IFERROR(INDEX(tblMoveTypes[Reason?],MATCH($E21,tblMoveTypes[Movement],0)),"?")="Yes",$I21=""),"Reason needed",IF(AND(IFERROR(INDEX(tblMoveTypes[Qty?],MATCH($E21,tblMoveTypes[Movement],0)),"?")="Yes",N($F21)&lt;=0),"Qty needed",IF($A21&lt;_xlfn.MINIFS(tblShipment[Arrival Date],tblShipment[Shipment ID],$C21),"Date before arrival",IF(AND($D21&lt;&gt;"",COUNTIFS(tblShipment[Shipment ID],$C21,tblShipment[Item Code],$D21)=0),"Item not in this shipment",IF(AND($H21&lt;&gt;"",COUNTIFS(tblCouriers[Courier],$H21,tblCouriers[Market],$B21)=0),"Courier not in this market","OK")))))))))))))))</f>
        <v>OK</v>
      </c>
    </row>
    <row r="22" customFormat="false" ht="15" hidden="false" customHeight="false" outlineLevel="0" collapsed="false">
      <c r="A22" s="27" t="n">
        <v>46247</v>
      </c>
      <c r="B22" s="26" t="s">
        <v>72</v>
      </c>
      <c r="C22" s="26" t="s">
        <v>115</v>
      </c>
      <c r="D22" s="26"/>
      <c r="E22" s="26" t="s">
        <v>97</v>
      </c>
      <c r="F22" s="28" t="n">
        <v>18</v>
      </c>
      <c r="G22" s="28" t="n">
        <v>6</v>
      </c>
      <c r="H22" s="26" t="s">
        <v>71</v>
      </c>
      <c r="I22" s="26"/>
      <c r="J22" s="26"/>
      <c r="K22" s="29" t="str">
        <f aca="false">IF($A22="","",IF(COUNTIFS(tblMoveTypes[Movement],$E22)=0,"Unknown movement type",IF(COUNTIF(tblShipment[Shipment ID],$C22)=0,"Unknown shipment",IF(COUNTIFS(tblShipment[Shipment ID],$C22,tblShipment[Market],$B22)=0,"Market does not match shipment",IF(AND(IFERROR(INDEX(tblMoveTypes[Item?],MATCH($E22,tblMoveTypes[Movement],0)),"?")="Yes",$D22=""),"Item needed",IF(AND(IFERROR(INDEX(tblMoveTypes[Item?],MATCH($E22,tblMoveTypes[Movement],0)),"?")="No",$D22&lt;&gt;""),"Leave Item blank",IF(AND(IFERROR(INDEX(tblMoveTypes[Courier?],MATCH($E22,tblMoveTypes[Movement],0)),"?")="Yes",$H22=""),"Courier needed",IF(AND(IFERROR(INDEX(tblMoveTypes[Courier?],MATCH($E22,tblMoveTypes[Movement],0)),"?")="No",$H22&lt;&gt;""),"Leave Courier blank",IF(AND(IFERROR(INDEX(tblMoveTypes[Orders?],MATCH($E22,tblMoveTypes[Movement],0)),"?")="Yes",$G22=""),"Orders needed",IF(AND(IFERROR(INDEX(tblMoveTypes[Orders?],MATCH($E22,tblMoveTypes[Movement],0)),"?")="No",$G22&lt;&gt;""),"Leave Orders blank",IF(AND(IFERROR(INDEX(tblMoveTypes[Reason?],MATCH($E22,tblMoveTypes[Movement],0)),"?")="Yes",$I22=""),"Reason needed",IF(AND(IFERROR(INDEX(tblMoveTypes[Qty?],MATCH($E22,tblMoveTypes[Movement],0)),"?")="Yes",N($F22)&lt;=0),"Qty needed",IF($A22&lt;_xlfn.MINIFS(tblShipment[Arrival Date],tblShipment[Shipment ID],$C22),"Date before arrival",IF(AND($D22&lt;&gt;"",COUNTIFS(tblShipment[Shipment ID],$C22,tblShipment[Item Code],$D22)=0),"Item not in this shipment",IF(AND($H22&lt;&gt;"",COUNTIFS(tblCouriers[Courier],$H22,tblCouriers[Market],$B22)=0),"Courier not in this market","OK")))))))))))))))</f>
        <v>OK</v>
      </c>
    </row>
    <row r="23" customFormat="false" ht="15" hidden="false" customHeight="false" outlineLevel="0" collapsed="false">
      <c r="A23" s="27" t="n">
        <v>46247</v>
      </c>
      <c r="B23" s="26" t="s">
        <v>72</v>
      </c>
      <c r="C23" s="26" t="s">
        <v>115</v>
      </c>
      <c r="D23" s="26"/>
      <c r="E23" s="26" t="s">
        <v>97</v>
      </c>
      <c r="F23" s="28" t="n">
        <v>6</v>
      </c>
      <c r="G23" s="28" t="n">
        <v>3</v>
      </c>
      <c r="H23" s="26" t="s">
        <v>79</v>
      </c>
      <c r="I23" s="26"/>
      <c r="J23" s="26"/>
      <c r="K23" s="29" t="str">
        <f aca="false">IF($A23="","",IF(COUNTIFS(tblMoveTypes[Movement],$E23)=0,"Unknown movement type",IF(COUNTIF(tblShipment[Shipment ID],$C23)=0,"Unknown shipment",IF(COUNTIFS(tblShipment[Shipment ID],$C23,tblShipment[Market],$B23)=0,"Market does not match shipment",IF(AND(IFERROR(INDEX(tblMoveTypes[Item?],MATCH($E23,tblMoveTypes[Movement],0)),"?")="Yes",$D23=""),"Item needed",IF(AND(IFERROR(INDEX(tblMoveTypes[Item?],MATCH($E23,tblMoveTypes[Movement],0)),"?")="No",$D23&lt;&gt;""),"Leave Item blank",IF(AND(IFERROR(INDEX(tblMoveTypes[Courier?],MATCH($E23,tblMoveTypes[Movement],0)),"?")="Yes",$H23=""),"Courier needed",IF(AND(IFERROR(INDEX(tblMoveTypes[Courier?],MATCH($E23,tblMoveTypes[Movement],0)),"?")="No",$H23&lt;&gt;""),"Leave Courier blank",IF(AND(IFERROR(INDEX(tblMoveTypes[Orders?],MATCH($E23,tblMoveTypes[Movement],0)),"?")="Yes",$G23=""),"Orders needed",IF(AND(IFERROR(INDEX(tblMoveTypes[Orders?],MATCH($E23,tblMoveTypes[Movement],0)),"?")="No",$G23&lt;&gt;""),"Leave Orders blank",IF(AND(IFERROR(INDEX(tblMoveTypes[Reason?],MATCH($E23,tblMoveTypes[Movement],0)),"?")="Yes",$I23=""),"Reason needed",IF(AND(IFERROR(INDEX(tblMoveTypes[Qty?],MATCH($E23,tblMoveTypes[Movement],0)),"?")="Yes",N($F23)&lt;=0),"Qty needed",IF($A23&lt;_xlfn.MINIFS(tblShipment[Arrival Date],tblShipment[Shipment ID],$C23),"Date before arrival",IF(AND($D23&lt;&gt;"",COUNTIFS(tblShipment[Shipment ID],$C23,tblShipment[Item Code],$D23)=0),"Item not in this shipment",IF(AND($H23&lt;&gt;"",COUNTIFS(tblCouriers[Courier],$H23,tblCouriers[Market],$B23)=0),"Courier not in this market","OK")))))))))))))))</f>
        <v>OK</v>
      </c>
    </row>
    <row r="24" customFormat="false" ht="15" hidden="false" customHeight="false" outlineLevel="0" collapsed="false">
      <c r="A24" s="27" t="n">
        <v>46248</v>
      </c>
      <c r="B24" s="26" t="s">
        <v>72</v>
      </c>
      <c r="C24" s="26" t="s">
        <v>115</v>
      </c>
      <c r="D24" s="26"/>
      <c r="E24" s="26" t="s">
        <v>97</v>
      </c>
      <c r="F24" s="28" t="n">
        <v>9</v>
      </c>
      <c r="G24" s="28" t="n">
        <v>3</v>
      </c>
      <c r="H24" s="26" t="s">
        <v>71</v>
      </c>
      <c r="I24" s="26"/>
      <c r="J24" s="26"/>
      <c r="K24" s="29" t="str">
        <f aca="false">IF($A24="","",IF(COUNTIFS(tblMoveTypes[Movement],$E24)=0,"Unknown movement type",IF(COUNTIF(tblShipment[Shipment ID],$C24)=0,"Unknown shipment",IF(COUNTIFS(tblShipment[Shipment ID],$C24,tblShipment[Market],$B24)=0,"Market does not match shipment",IF(AND(IFERROR(INDEX(tblMoveTypes[Item?],MATCH($E24,tblMoveTypes[Movement],0)),"?")="Yes",$D24=""),"Item needed",IF(AND(IFERROR(INDEX(tblMoveTypes[Item?],MATCH($E24,tblMoveTypes[Movement],0)),"?")="No",$D24&lt;&gt;""),"Leave Item blank",IF(AND(IFERROR(INDEX(tblMoveTypes[Courier?],MATCH($E24,tblMoveTypes[Movement],0)),"?")="Yes",$H24=""),"Courier needed",IF(AND(IFERROR(INDEX(tblMoveTypes[Courier?],MATCH($E24,tblMoveTypes[Movement],0)),"?")="No",$H24&lt;&gt;""),"Leave Courier blank",IF(AND(IFERROR(INDEX(tblMoveTypes[Orders?],MATCH($E24,tblMoveTypes[Movement],0)),"?")="Yes",$G24=""),"Orders needed",IF(AND(IFERROR(INDEX(tblMoveTypes[Orders?],MATCH($E24,tblMoveTypes[Movement],0)),"?")="No",$G24&lt;&gt;""),"Leave Orders blank",IF(AND(IFERROR(INDEX(tblMoveTypes[Reason?],MATCH($E24,tblMoveTypes[Movement],0)),"?")="Yes",$I24=""),"Reason needed",IF(AND(IFERROR(INDEX(tblMoveTypes[Qty?],MATCH($E24,tblMoveTypes[Movement],0)),"?")="Yes",N($F24)&lt;=0),"Qty needed",IF($A24&lt;_xlfn.MINIFS(tblShipment[Arrival Date],tblShipment[Shipment ID],$C24),"Date before arrival",IF(AND($D24&lt;&gt;"",COUNTIFS(tblShipment[Shipment ID],$C24,tblShipment[Item Code],$D24)=0),"Item not in this shipment",IF(AND($H24&lt;&gt;"",COUNTIFS(tblCouriers[Courier],$H24,tblCouriers[Market],$B24)=0),"Courier not in this market","OK")))))))))))))))</f>
        <v>OK</v>
      </c>
    </row>
    <row r="25" customFormat="false" ht="15" hidden="false" customHeight="false" outlineLevel="0" collapsed="false">
      <c r="A25" s="27" t="n">
        <v>46248</v>
      </c>
      <c r="B25" s="26" t="s">
        <v>72</v>
      </c>
      <c r="C25" s="26" t="s">
        <v>115</v>
      </c>
      <c r="D25" s="26"/>
      <c r="E25" s="26" t="s">
        <v>97</v>
      </c>
      <c r="F25" s="28" t="n">
        <v>2</v>
      </c>
      <c r="G25" s="28" t="n">
        <v>1</v>
      </c>
      <c r="H25" s="26" t="s">
        <v>79</v>
      </c>
      <c r="I25" s="26"/>
      <c r="J25" s="26"/>
      <c r="K25" s="29" t="str">
        <f aca="false">IF($A25="","",IF(COUNTIFS(tblMoveTypes[Movement],$E25)=0,"Unknown movement type",IF(COUNTIF(tblShipment[Shipment ID],$C25)=0,"Unknown shipment",IF(COUNTIFS(tblShipment[Shipment ID],$C25,tblShipment[Market],$B25)=0,"Market does not match shipment",IF(AND(IFERROR(INDEX(tblMoveTypes[Item?],MATCH($E25,tblMoveTypes[Movement],0)),"?")="Yes",$D25=""),"Item needed",IF(AND(IFERROR(INDEX(tblMoveTypes[Item?],MATCH($E25,tblMoveTypes[Movement],0)),"?")="No",$D25&lt;&gt;""),"Leave Item blank",IF(AND(IFERROR(INDEX(tblMoveTypes[Courier?],MATCH($E25,tblMoveTypes[Movement],0)),"?")="Yes",$H25=""),"Courier needed",IF(AND(IFERROR(INDEX(tblMoveTypes[Courier?],MATCH($E25,tblMoveTypes[Movement],0)),"?")="No",$H25&lt;&gt;""),"Leave Courier blank",IF(AND(IFERROR(INDEX(tblMoveTypes[Orders?],MATCH($E25,tblMoveTypes[Movement],0)),"?")="Yes",$G25=""),"Orders needed",IF(AND(IFERROR(INDEX(tblMoveTypes[Orders?],MATCH($E25,tblMoveTypes[Movement],0)),"?")="No",$G25&lt;&gt;""),"Leave Orders blank",IF(AND(IFERROR(INDEX(tblMoveTypes[Reason?],MATCH($E25,tblMoveTypes[Movement],0)),"?")="Yes",$I25=""),"Reason needed",IF(AND(IFERROR(INDEX(tblMoveTypes[Qty?],MATCH($E25,tblMoveTypes[Movement],0)),"?")="Yes",N($F25)&lt;=0),"Qty needed",IF($A25&lt;_xlfn.MINIFS(tblShipment[Arrival Date],tblShipment[Shipment ID],$C25),"Date before arrival",IF(AND($D25&lt;&gt;"",COUNTIFS(tblShipment[Shipment ID],$C25,tblShipment[Item Code],$D25)=0),"Item not in this shipment",IF(AND($H25&lt;&gt;"",COUNTIFS(tblCouriers[Courier],$H25,tblCouriers[Market],$B25)=0),"Courier not in this market","OK")))))))))))))))</f>
        <v>OK</v>
      </c>
    </row>
    <row r="26" customFormat="false" ht="15" hidden="false" customHeight="false" outlineLevel="0" collapsed="false">
      <c r="A26" s="27" t="n">
        <v>46249</v>
      </c>
      <c r="B26" s="26" t="s">
        <v>72</v>
      </c>
      <c r="C26" s="26" t="s">
        <v>115</v>
      </c>
      <c r="D26" s="26"/>
      <c r="E26" s="26" t="s">
        <v>99</v>
      </c>
      <c r="F26" s="28" t="n">
        <v>4</v>
      </c>
      <c r="G26" s="28" t="n">
        <v>1</v>
      </c>
      <c r="H26" s="26" t="s">
        <v>71</v>
      </c>
      <c r="I26" s="26" t="s">
        <v>93</v>
      </c>
      <c r="J26" s="26"/>
      <c r="K26" s="29" t="str">
        <f aca="false">IF($A26="","",IF(COUNTIFS(tblMoveTypes[Movement],$E26)=0,"Unknown movement type",IF(COUNTIF(tblShipment[Shipment ID],$C26)=0,"Unknown shipment",IF(COUNTIFS(tblShipment[Shipment ID],$C26,tblShipment[Market],$B26)=0,"Market does not match shipment",IF(AND(IFERROR(INDEX(tblMoveTypes[Item?],MATCH($E26,tblMoveTypes[Movement],0)),"?")="Yes",$D26=""),"Item needed",IF(AND(IFERROR(INDEX(tblMoveTypes[Item?],MATCH($E26,tblMoveTypes[Movement],0)),"?")="No",$D26&lt;&gt;""),"Leave Item blank",IF(AND(IFERROR(INDEX(tblMoveTypes[Courier?],MATCH($E26,tblMoveTypes[Movement],0)),"?")="Yes",$H26=""),"Courier needed",IF(AND(IFERROR(INDEX(tblMoveTypes[Courier?],MATCH($E26,tblMoveTypes[Movement],0)),"?")="No",$H26&lt;&gt;""),"Leave Courier blank",IF(AND(IFERROR(INDEX(tblMoveTypes[Orders?],MATCH($E26,tblMoveTypes[Movement],0)),"?")="Yes",$G26=""),"Orders needed",IF(AND(IFERROR(INDEX(tblMoveTypes[Orders?],MATCH($E26,tblMoveTypes[Movement],0)),"?")="No",$G26&lt;&gt;""),"Leave Orders blank",IF(AND(IFERROR(INDEX(tblMoveTypes[Reason?],MATCH($E26,tblMoveTypes[Movement],0)),"?")="Yes",$I26=""),"Reason needed",IF(AND(IFERROR(INDEX(tblMoveTypes[Qty?],MATCH($E26,tblMoveTypes[Movement],0)),"?")="Yes",N($F26)&lt;=0),"Qty needed",IF($A26&lt;_xlfn.MINIFS(tblShipment[Arrival Date],tblShipment[Shipment ID],$C26),"Date before arrival",IF(AND($D26&lt;&gt;"",COUNTIFS(tblShipment[Shipment ID],$C26,tblShipment[Item Code],$D26)=0),"Item not in this shipment",IF(AND($H26&lt;&gt;"",COUNTIFS(tblCouriers[Courier],$H26,tblCouriers[Market],$B26)=0),"Courier not in this market","OK")))))))))))))))</f>
        <v>OK</v>
      </c>
    </row>
    <row r="27" customFormat="false" ht="15" hidden="false" customHeight="false" outlineLevel="0" collapsed="false">
      <c r="A27" s="27" t="n">
        <v>46249</v>
      </c>
      <c r="B27" s="26" t="s">
        <v>72</v>
      </c>
      <c r="C27" s="26" t="s">
        <v>115</v>
      </c>
      <c r="D27" s="26" t="s">
        <v>77</v>
      </c>
      <c r="E27" s="26" t="s">
        <v>101</v>
      </c>
      <c r="F27" s="28" t="n">
        <v>3</v>
      </c>
      <c r="G27" s="28"/>
      <c r="H27" s="26"/>
      <c r="I27" s="26"/>
      <c r="J27" s="26" t="s">
        <v>127</v>
      </c>
      <c r="K27" s="29" t="str">
        <f aca="false">IF($A27="","",IF(COUNTIFS(tblMoveTypes[Movement],$E27)=0,"Unknown movement type",IF(COUNTIF(tblShipment[Shipment ID],$C27)=0,"Unknown shipment",IF(COUNTIFS(tblShipment[Shipment ID],$C27,tblShipment[Market],$B27)=0,"Market does not match shipment",IF(AND(IFERROR(INDEX(tblMoveTypes[Item?],MATCH($E27,tblMoveTypes[Movement],0)),"?")="Yes",$D27=""),"Item needed",IF(AND(IFERROR(INDEX(tblMoveTypes[Item?],MATCH($E27,tblMoveTypes[Movement],0)),"?")="No",$D27&lt;&gt;""),"Leave Item blank",IF(AND(IFERROR(INDEX(tblMoveTypes[Courier?],MATCH($E27,tblMoveTypes[Movement],0)),"?")="Yes",$H27=""),"Courier needed",IF(AND(IFERROR(INDEX(tblMoveTypes[Courier?],MATCH($E27,tblMoveTypes[Movement],0)),"?")="No",$H27&lt;&gt;""),"Leave Courier blank",IF(AND(IFERROR(INDEX(tblMoveTypes[Orders?],MATCH($E27,tblMoveTypes[Movement],0)),"?")="Yes",$G27=""),"Orders needed",IF(AND(IFERROR(INDEX(tblMoveTypes[Orders?],MATCH($E27,tblMoveTypes[Movement],0)),"?")="No",$G27&lt;&gt;""),"Leave Orders blank",IF(AND(IFERROR(INDEX(tblMoveTypes[Reason?],MATCH($E27,tblMoveTypes[Movement],0)),"?")="Yes",$I27=""),"Reason needed",IF(AND(IFERROR(INDEX(tblMoveTypes[Qty?],MATCH($E27,tblMoveTypes[Movement],0)),"?")="Yes",N($F27)&lt;=0),"Qty needed",IF($A27&lt;_xlfn.MINIFS(tblShipment[Arrival Date],tblShipment[Shipment ID],$C27),"Date before arrival",IF(AND($D27&lt;&gt;"",COUNTIFS(tblShipment[Shipment ID],$C27,tblShipment[Item Code],$D27)=0),"Item not in this shipment",IF(AND($H27&lt;&gt;"",COUNTIFS(tblCouriers[Courier],$H27,tblCouriers[Market],$B27)=0),"Courier not in this market","OK")))))))))))))))</f>
        <v>OK</v>
      </c>
    </row>
    <row r="28" customFormat="false" ht="15" hidden="false" customHeight="false" outlineLevel="0" collapsed="false">
      <c r="A28" s="27" t="n">
        <v>46249</v>
      </c>
      <c r="B28" s="26" t="s">
        <v>72</v>
      </c>
      <c r="C28" s="26" t="s">
        <v>115</v>
      </c>
      <c r="D28" s="26" t="s">
        <v>77</v>
      </c>
      <c r="E28" s="26" t="s">
        <v>103</v>
      </c>
      <c r="F28" s="28" t="n">
        <v>1</v>
      </c>
      <c r="G28" s="28"/>
      <c r="H28" s="26"/>
      <c r="I28" s="26" t="s">
        <v>80</v>
      </c>
      <c r="J28" s="26"/>
      <c r="K28" s="29" t="str">
        <f aca="false">IF($A28="","",IF(COUNTIFS(tblMoveTypes[Movement],$E28)=0,"Unknown movement type",IF(COUNTIF(tblShipment[Shipment ID],$C28)=0,"Unknown shipment",IF(COUNTIFS(tblShipment[Shipment ID],$C28,tblShipment[Market],$B28)=0,"Market does not match shipment",IF(AND(IFERROR(INDEX(tblMoveTypes[Item?],MATCH($E28,tblMoveTypes[Movement],0)),"?")="Yes",$D28=""),"Item needed",IF(AND(IFERROR(INDEX(tblMoveTypes[Item?],MATCH($E28,tblMoveTypes[Movement],0)),"?")="No",$D28&lt;&gt;""),"Leave Item blank",IF(AND(IFERROR(INDEX(tblMoveTypes[Courier?],MATCH($E28,tblMoveTypes[Movement],0)),"?")="Yes",$H28=""),"Courier needed",IF(AND(IFERROR(INDEX(tblMoveTypes[Courier?],MATCH($E28,tblMoveTypes[Movement],0)),"?")="No",$H28&lt;&gt;""),"Leave Courier blank",IF(AND(IFERROR(INDEX(tblMoveTypes[Orders?],MATCH($E28,tblMoveTypes[Movement],0)),"?")="Yes",$G28=""),"Orders needed",IF(AND(IFERROR(INDEX(tblMoveTypes[Orders?],MATCH($E28,tblMoveTypes[Movement],0)),"?")="No",$G28&lt;&gt;""),"Leave Orders blank",IF(AND(IFERROR(INDEX(tblMoveTypes[Reason?],MATCH($E28,tblMoveTypes[Movement],0)),"?")="Yes",$I28=""),"Reason needed",IF(AND(IFERROR(INDEX(tblMoveTypes[Qty?],MATCH($E28,tblMoveTypes[Movement],0)),"?")="Yes",N($F28)&lt;=0),"Qty needed",IF($A28&lt;_xlfn.MINIFS(tblShipment[Arrival Date],tblShipment[Shipment ID],$C28),"Date before arrival",IF(AND($D28&lt;&gt;"",COUNTIFS(tblShipment[Shipment ID],$C28,tblShipment[Item Code],$D28)=0),"Item not in this shipment",IF(AND($H28&lt;&gt;"",COUNTIFS(tblCouriers[Courier],$H28,tblCouriers[Market],$B28)=0),"Courier not in this market","OK")))))))))))))))</f>
        <v>OK</v>
      </c>
    </row>
    <row r="29" customFormat="false" ht="15" hidden="false" customHeight="false" outlineLevel="0" collapsed="false">
      <c r="A29" s="27" t="n">
        <v>46250</v>
      </c>
      <c r="B29" s="26" t="s">
        <v>72</v>
      </c>
      <c r="C29" s="26" t="s">
        <v>115</v>
      </c>
      <c r="D29" s="26"/>
      <c r="E29" s="26" t="s">
        <v>97</v>
      </c>
      <c r="F29" s="28" t="n">
        <v>2</v>
      </c>
      <c r="G29" s="28" t="n">
        <v>1</v>
      </c>
      <c r="H29" s="26" t="s">
        <v>79</v>
      </c>
      <c r="I29" s="26"/>
      <c r="J29" s="26"/>
      <c r="K29" s="29" t="str">
        <f aca="false">IF($A29="","",IF(COUNTIFS(tblMoveTypes[Movement],$E29)=0,"Unknown movement type",IF(COUNTIF(tblShipment[Shipment ID],$C29)=0,"Unknown shipment",IF(COUNTIFS(tblShipment[Shipment ID],$C29,tblShipment[Market],$B29)=0,"Market does not match shipment",IF(AND(IFERROR(INDEX(tblMoveTypes[Item?],MATCH($E29,tblMoveTypes[Movement],0)),"?")="Yes",$D29=""),"Item needed",IF(AND(IFERROR(INDEX(tblMoveTypes[Item?],MATCH($E29,tblMoveTypes[Movement],0)),"?")="No",$D29&lt;&gt;""),"Leave Item blank",IF(AND(IFERROR(INDEX(tblMoveTypes[Courier?],MATCH($E29,tblMoveTypes[Movement],0)),"?")="Yes",$H29=""),"Courier needed",IF(AND(IFERROR(INDEX(tblMoveTypes[Courier?],MATCH($E29,tblMoveTypes[Movement],0)),"?")="No",$H29&lt;&gt;""),"Leave Courier blank",IF(AND(IFERROR(INDEX(tblMoveTypes[Orders?],MATCH($E29,tblMoveTypes[Movement],0)),"?")="Yes",$G29=""),"Orders needed",IF(AND(IFERROR(INDEX(tblMoveTypes[Orders?],MATCH($E29,tblMoveTypes[Movement],0)),"?")="No",$G29&lt;&gt;""),"Leave Orders blank",IF(AND(IFERROR(INDEX(tblMoveTypes[Reason?],MATCH($E29,tblMoveTypes[Movement],0)),"?")="Yes",$I29=""),"Reason needed",IF(AND(IFERROR(INDEX(tblMoveTypes[Qty?],MATCH($E29,tblMoveTypes[Movement],0)),"?")="Yes",N($F29)&lt;=0),"Qty needed",IF($A29&lt;_xlfn.MINIFS(tblShipment[Arrival Date],tblShipment[Shipment ID],$C29),"Date before arrival",IF(AND($D29&lt;&gt;"",COUNTIFS(tblShipment[Shipment ID],$C29,tblShipment[Item Code],$D29)=0),"Item not in this shipment",IF(AND($H29&lt;&gt;"",COUNTIFS(tblCouriers[Courier],$H29,tblCouriers[Market],$B29)=0),"Courier not in this market","OK")))))))))))))))</f>
        <v>OK</v>
      </c>
    </row>
    <row r="30" customFormat="false" ht="15" hidden="false" customHeight="false" outlineLevel="0" collapsed="false">
      <c r="A30" s="27" t="n">
        <v>46250</v>
      </c>
      <c r="B30" s="26" t="s">
        <v>85</v>
      </c>
      <c r="C30" s="26" t="s">
        <v>117</v>
      </c>
      <c r="D30" s="26" t="s">
        <v>67</v>
      </c>
      <c r="E30" s="26" t="s">
        <v>75</v>
      </c>
      <c r="F30" s="28" t="n">
        <v>60</v>
      </c>
      <c r="G30" s="28"/>
      <c r="H30" s="26"/>
      <c r="I30" s="26"/>
      <c r="J30" s="26"/>
      <c r="K30" s="29" t="str">
        <f aca="false">IF($A30="","",IF(COUNTIFS(tblMoveTypes[Movement],$E30)=0,"Unknown movement type",IF(COUNTIF(tblShipment[Shipment ID],$C30)=0,"Unknown shipment",IF(COUNTIFS(tblShipment[Shipment ID],$C30,tblShipment[Market],$B30)=0,"Market does not match shipment",IF(AND(IFERROR(INDEX(tblMoveTypes[Item?],MATCH($E30,tblMoveTypes[Movement],0)),"?")="Yes",$D30=""),"Item needed",IF(AND(IFERROR(INDEX(tblMoveTypes[Item?],MATCH($E30,tblMoveTypes[Movement],0)),"?")="No",$D30&lt;&gt;""),"Leave Item blank",IF(AND(IFERROR(INDEX(tblMoveTypes[Courier?],MATCH($E30,tblMoveTypes[Movement],0)),"?")="Yes",$H30=""),"Courier needed",IF(AND(IFERROR(INDEX(tblMoveTypes[Courier?],MATCH($E30,tblMoveTypes[Movement],0)),"?")="No",$H30&lt;&gt;""),"Leave Courier blank",IF(AND(IFERROR(INDEX(tblMoveTypes[Orders?],MATCH($E30,tblMoveTypes[Movement],0)),"?")="Yes",$G30=""),"Orders needed",IF(AND(IFERROR(INDEX(tblMoveTypes[Orders?],MATCH($E30,tblMoveTypes[Movement],0)),"?")="No",$G30&lt;&gt;""),"Leave Orders blank",IF(AND(IFERROR(INDEX(tblMoveTypes[Reason?],MATCH($E30,tblMoveTypes[Movement],0)),"?")="Yes",$I30=""),"Reason needed",IF(AND(IFERROR(INDEX(tblMoveTypes[Qty?],MATCH($E30,tblMoveTypes[Movement],0)),"?")="Yes",N($F30)&lt;=0),"Qty needed",IF($A30&lt;_xlfn.MINIFS(tblShipment[Arrival Date],tblShipment[Shipment ID],$C30),"Date before arrival",IF(AND($D30&lt;&gt;"",COUNTIFS(tblShipment[Shipment ID],$C30,tblShipment[Item Code],$D30)=0),"Item not in this shipment",IF(AND($H30&lt;&gt;"",COUNTIFS(tblCouriers[Courier],$H30,tblCouriers[Market],$B30)=0),"Courier not in this market","OK")))))))))))))))</f>
        <v>OK</v>
      </c>
    </row>
    <row r="31" customFormat="false" ht="15" hidden="false" customHeight="false" outlineLevel="0" collapsed="false">
      <c r="A31" s="27" t="n">
        <v>46250</v>
      </c>
      <c r="B31" s="26" t="s">
        <v>85</v>
      </c>
      <c r="C31" s="26" t="s">
        <v>117</v>
      </c>
      <c r="D31" s="26" t="s">
        <v>77</v>
      </c>
      <c r="E31" s="26" t="s">
        <v>75</v>
      </c>
      <c r="F31" s="28" t="n">
        <v>40</v>
      </c>
      <c r="G31" s="28"/>
      <c r="H31" s="26"/>
      <c r="I31" s="26"/>
      <c r="J31" s="26"/>
      <c r="K31" s="29" t="str">
        <f aca="false">IF($A31="","",IF(COUNTIFS(tblMoveTypes[Movement],$E31)=0,"Unknown movement type",IF(COUNTIF(tblShipment[Shipment ID],$C31)=0,"Unknown shipment",IF(COUNTIFS(tblShipment[Shipment ID],$C31,tblShipment[Market],$B31)=0,"Market does not match shipment",IF(AND(IFERROR(INDEX(tblMoveTypes[Item?],MATCH($E31,tblMoveTypes[Movement],0)),"?")="Yes",$D31=""),"Item needed",IF(AND(IFERROR(INDEX(tblMoveTypes[Item?],MATCH($E31,tblMoveTypes[Movement],0)),"?")="No",$D31&lt;&gt;""),"Leave Item blank",IF(AND(IFERROR(INDEX(tblMoveTypes[Courier?],MATCH($E31,tblMoveTypes[Movement],0)),"?")="Yes",$H31=""),"Courier needed",IF(AND(IFERROR(INDEX(tblMoveTypes[Courier?],MATCH($E31,tblMoveTypes[Movement],0)),"?")="No",$H31&lt;&gt;""),"Leave Courier blank",IF(AND(IFERROR(INDEX(tblMoveTypes[Orders?],MATCH($E31,tblMoveTypes[Movement],0)),"?")="Yes",$G31=""),"Orders needed",IF(AND(IFERROR(INDEX(tblMoveTypes[Orders?],MATCH($E31,tblMoveTypes[Movement],0)),"?")="No",$G31&lt;&gt;""),"Leave Orders blank",IF(AND(IFERROR(INDEX(tblMoveTypes[Reason?],MATCH($E31,tblMoveTypes[Movement],0)),"?")="Yes",$I31=""),"Reason needed",IF(AND(IFERROR(INDEX(tblMoveTypes[Qty?],MATCH($E31,tblMoveTypes[Movement],0)),"?")="Yes",N($F31)&lt;=0),"Qty needed",IF($A31&lt;_xlfn.MINIFS(tblShipment[Arrival Date],tblShipment[Shipment ID],$C31),"Date before arrival",IF(AND($D31&lt;&gt;"",COUNTIFS(tblShipment[Shipment ID],$C31,tblShipment[Item Code],$D31)=0),"Item not in this shipment",IF(AND($H31&lt;&gt;"",COUNTIFS(tblCouriers[Courier],$H31,tblCouriers[Market],$B31)=0),"Courier not in this market","OK")))))))))))))))</f>
        <v>OK</v>
      </c>
    </row>
    <row r="32" customFormat="false" ht="15" hidden="false" customHeight="false" outlineLevel="0" collapsed="false">
      <c r="A32" s="27" t="n">
        <v>46250</v>
      </c>
      <c r="B32" s="26" t="s">
        <v>85</v>
      </c>
      <c r="C32" s="26" t="s">
        <v>117</v>
      </c>
      <c r="D32" s="26"/>
      <c r="E32" s="26" t="s">
        <v>92</v>
      </c>
      <c r="F32" s="28"/>
      <c r="G32" s="28" t="n">
        <v>12</v>
      </c>
      <c r="H32" s="26"/>
      <c r="I32" s="26"/>
      <c r="J32" s="26"/>
      <c r="K32" s="29" t="str">
        <f aca="false">IF($A32="","",IF(COUNTIFS(tblMoveTypes[Movement],$E32)=0,"Unknown movement type",IF(COUNTIF(tblShipment[Shipment ID],$C32)=0,"Unknown shipment",IF(COUNTIFS(tblShipment[Shipment ID],$C32,tblShipment[Market],$B32)=0,"Market does not match shipment",IF(AND(IFERROR(INDEX(tblMoveTypes[Item?],MATCH($E32,tblMoveTypes[Movement],0)),"?")="Yes",$D32=""),"Item needed",IF(AND(IFERROR(INDEX(tblMoveTypes[Item?],MATCH($E32,tblMoveTypes[Movement],0)),"?")="No",$D32&lt;&gt;""),"Leave Item blank",IF(AND(IFERROR(INDEX(tblMoveTypes[Courier?],MATCH($E32,tblMoveTypes[Movement],0)),"?")="Yes",$H32=""),"Courier needed",IF(AND(IFERROR(INDEX(tblMoveTypes[Courier?],MATCH($E32,tblMoveTypes[Movement],0)),"?")="No",$H32&lt;&gt;""),"Leave Courier blank",IF(AND(IFERROR(INDEX(tblMoveTypes[Orders?],MATCH($E32,tblMoveTypes[Movement],0)),"?")="Yes",$G32=""),"Orders needed",IF(AND(IFERROR(INDEX(tblMoveTypes[Orders?],MATCH($E32,tblMoveTypes[Movement],0)),"?")="No",$G32&lt;&gt;""),"Leave Orders blank",IF(AND(IFERROR(INDEX(tblMoveTypes[Reason?],MATCH($E32,tblMoveTypes[Movement],0)),"?")="Yes",$I32=""),"Reason needed",IF(AND(IFERROR(INDEX(tblMoveTypes[Qty?],MATCH($E32,tblMoveTypes[Movement],0)),"?")="Yes",N($F32)&lt;=0),"Qty needed",IF($A32&lt;_xlfn.MINIFS(tblShipment[Arrival Date],tblShipment[Shipment ID],$C32),"Date before arrival",IF(AND($D32&lt;&gt;"",COUNTIFS(tblShipment[Shipment ID],$C32,tblShipment[Item Code],$D32)=0),"Item not in this shipment",IF(AND($H32&lt;&gt;"",COUNTIFS(tblCouriers[Courier],$H32,tblCouriers[Market],$B32)=0),"Courier not in this market","OK")))))))))))))))</f>
        <v>OK</v>
      </c>
    </row>
    <row r="33" customFormat="false" ht="15" hidden="false" customHeight="false" outlineLevel="0" collapsed="false">
      <c r="A33" s="27" t="n">
        <v>46250</v>
      </c>
      <c r="B33" s="26" t="s">
        <v>85</v>
      </c>
      <c r="C33" s="26" t="s">
        <v>117</v>
      </c>
      <c r="D33" s="26" t="s">
        <v>67</v>
      </c>
      <c r="E33" s="26" t="s">
        <v>90</v>
      </c>
      <c r="F33" s="28" t="n">
        <v>20</v>
      </c>
      <c r="G33" s="28"/>
      <c r="H33" s="26" t="s">
        <v>86</v>
      </c>
      <c r="I33" s="26"/>
      <c r="J33" s="26"/>
      <c r="K33" s="29" t="str">
        <f aca="false">IF($A33="","",IF(COUNTIFS(tblMoveTypes[Movement],$E33)=0,"Unknown movement type",IF(COUNTIF(tblShipment[Shipment ID],$C33)=0,"Unknown shipment",IF(COUNTIFS(tblShipment[Shipment ID],$C33,tblShipment[Market],$B33)=0,"Market does not match shipment",IF(AND(IFERROR(INDEX(tblMoveTypes[Item?],MATCH($E33,tblMoveTypes[Movement],0)),"?")="Yes",$D33=""),"Item needed",IF(AND(IFERROR(INDEX(tblMoveTypes[Item?],MATCH($E33,tblMoveTypes[Movement],0)),"?")="No",$D33&lt;&gt;""),"Leave Item blank",IF(AND(IFERROR(INDEX(tblMoveTypes[Courier?],MATCH($E33,tblMoveTypes[Movement],0)),"?")="Yes",$H33=""),"Courier needed",IF(AND(IFERROR(INDEX(tblMoveTypes[Courier?],MATCH($E33,tblMoveTypes[Movement],0)),"?")="No",$H33&lt;&gt;""),"Leave Courier blank",IF(AND(IFERROR(INDEX(tblMoveTypes[Orders?],MATCH($E33,tblMoveTypes[Movement],0)),"?")="Yes",$G33=""),"Orders needed",IF(AND(IFERROR(INDEX(tblMoveTypes[Orders?],MATCH($E33,tblMoveTypes[Movement],0)),"?")="No",$G33&lt;&gt;""),"Leave Orders blank",IF(AND(IFERROR(INDEX(tblMoveTypes[Reason?],MATCH($E33,tblMoveTypes[Movement],0)),"?")="Yes",$I33=""),"Reason needed",IF(AND(IFERROR(INDEX(tblMoveTypes[Qty?],MATCH($E33,tblMoveTypes[Movement],0)),"?")="Yes",N($F33)&lt;=0),"Qty needed",IF($A33&lt;_xlfn.MINIFS(tblShipment[Arrival Date],tblShipment[Shipment ID],$C33),"Date before arrival",IF(AND($D33&lt;&gt;"",COUNTIFS(tblShipment[Shipment ID],$C33,tblShipment[Item Code],$D33)=0),"Item not in this shipment",IF(AND($H33&lt;&gt;"",COUNTIFS(tblCouriers[Courier],$H33,tblCouriers[Market],$B33)=0),"Courier not in this market","OK")))))))))))))))</f>
        <v>OK</v>
      </c>
    </row>
    <row r="34" customFormat="false" ht="15" hidden="false" customHeight="false" outlineLevel="0" collapsed="false">
      <c r="A34" s="27" t="n">
        <v>46250</v>
      </c>
      <c r="B34" s="26" t="s">
        <v>85</v>
      </c>
      <c r="C34" s="26" t="s">
        <v>117</v>
      </c>
      <c r="D34" s="26" t="s">
        <v>77</v>
      </c>
      <c r="E34" s="26" t="s">
        <v>90</v>
      </c>
      <c r="F34" s="28" t="n">
        <v>10</v>
      </c>
      <c r="G34" s="28"/>
      <c r="H34" s="26" t="s">
        <v>86</v>
      </c>
      <c r="I34" s="26"/>
      <c r="J34" s="26"/>
      <c r="K34" s="29" t="str">
        <f aca="false">IF($A34="","",IF(COUNTIFS(tblMoveTypes[Movement],$E34)=0,"Unknown movement type",IF(COUNTIF(tblShipment[Shipment ID],$C34)=0,"Unknown shipment",IF(COUNTIFS(tblShipment[Shipment ID],$C34,tblShipment[Market],$B34)=0,"Market does not match shipment",IF(AND(IFERROR(INDEX(tblMoveTypes[Item?],MATCH($E34,tblMoveTypes[Movement],0)),"?")="Yes",$D34=""),"Item needed",IF(AND(IFERROR(INDEX(tblMoveTypes[Item?],MATCH($E34,tblMoveTypes[Movement],0)),"?")="No",$D34&lt;&gt;""),"Leave Item blank",IF(AND(IFERROR(INDEX(tblMoveTypes[Courier?],MATCH($E34,tblMoveTypes[Movement],0)),"?")="Yes",$H34=""),"Courier needed",IF(AND(IFERROR(INDEX(tblMoveTypes[Courier?],MATCH($E34,tblMoveTypes[Movement],0)),"?")="No",$H34&lt;&gt;""),"Leave Courier blank",IF(AND(IFERROR(INDEX(tblMoveTypes[Orders?],MATCH($E34,tblMoveTypes[Movement],0)),"?")="Yes",$G34=""),"Orders needed",IF(AND(IFERROR(INDEX(tblMoveTypes[Orders?],MATCH($E34,tblMoveTypes[Movement],0)),"?")="No",$G34&lt;&gt;""),"Leave Orders blank",IF(AND(IFERROR(INDEX(tblMoveTypes[Reason?],MATCH($E34,tblMoveTypes[Movement],0)),"?")="Yes",$I34=""),"Reason needed",IF(AND(IFERROR(INDEX(tblMoveTypes[Qty?],MATCH($E34,tblMoveTypes[Movement],0)),"?")="Yes",N($F34)&lt;=0),"Qty needed",IF($A34&lt;_xlfn.MINIFS(tblShipment[Arrival Date],tblShipment[Shipment ID],$C34),"Date before arrival",IF(AND($D34&lt;&gt;"",COUNTIFS(tblShipment[Shipment ID],$C34,tblShipment[Item Code],$D34)=0),"Item not in this shipment",IF(AND($H34&lt;&gt;"",COUNTIFS(tblCouriers[Courier],$H34,tblCouriers[Market],$B34)=0),"Courier not in this market","OK")))))))))))))))</f>
        <v>OK</v>
      </c>
    </row>
    <row r="35" customFormat="false" ht="15" hidden="false" customHeight="false" outlineLevel="0" collapsed="false">
      <c r="A35" s="27" t="n">
        <v>46250</v>
      </c>
      <c r="B35" s="26" t="s">
        <v>85</v>
      </c>
      <c r="C35" s="26" t="s">
        <v>117</v>
      </c>
      <c r="D35" s="26"/>
      <c r="E35" s="26" t="s">
        <v>95</v>
      </c>
      <c r="F35" s="28"/>
      <c r="G35" s="28" t="n">
        <v>8</v>
      </c>
      <c r="H35" s="26" t="s">
        <v>86</v>
      </c>
      <c r="I35" s="26"/>
      <c r="J35" s="26"/>
      <c r="K35" s="29" t="str">
        <f aca="false">IF($A35="","",IF(COUNTIFS(tblMoveTypes[Movement],$E35)=0,"Unknown movement type",IF(COUNTIF(tblShipment[Shipment ID],$C35)=0,"Unknown shipment",IF(COUNTIFS(tblShipment[Shipment ID],$C35,tblShipment[Market],$B35)=0,"Market does not match shipment",IF(AND(IFERROR(INDEX(tblMoveTypes[Item?],MATCH($E35,tblMoveTypes[Movement],0)),"?")="Yes",$D35=""),"Item needed",IF(AND(IFERROR(INDEX(tblMoveTypes[Item?],MATCH($E35,tblMoveTypes[Movement],0)),"?")="No",$D35&lt;&gt;""),"Leave Item blank",IF(AND(IFERROR(INDEX(tblMoveTypes[Courier?],MATCH($E35,tblMoveTypes[Movement],0)),"?")="Yes",$H35=""),"Courier needed",IF(AND(IFERROR(INDEX(tblMoveTypes[Courier?],MATCH($E35,tblMoveTypes[Movement],0)),"?")="No",$H35&lt;&gt;""),"Leave Courier blank",IF(AND(IFERROR(INDEX(tblMoveTypes[Orders?],MATCH($E35,tblMoveTypes[Movement],0)),"?")="Yes",$G35=""),"Orders needed",IF(AND(IFERROR(INDEX(tblMoveTypes[Orders?],MATCH($E35,tblMoveTypes[Movement],0)),"?")="No",$G35&lt;&gt;""),"Leave Orders blank",IF(AND(IFERROR(INDEX(tblMoveTypes[Reason?],MATCH($E35,tblMoveTypes[Movement],0)),"?")="Yes",$I35=""),"Reason needed",IF(AND(IFERROR(INDEX(tblMoveTypes[Qty?],MATCH($E35,tblMoveTypes[Movement],0)),"?")="Yes",N($F35)&lt;=0),"Qty needed",IF($A35&lt;_xlfn.MINIFS(tblShipment[Arrival Date],tblShipment[Shipment ID],$C35),"Date before arrival",IF(AND($D35&lt;&gt;"",COUNTIFS(tblShipment[Shipment ID],$C35,tblShipment[Item Code],$D35)=0),"Item not in this shipment",IF(AND($H35&lt;&gt;"",COUNTIFS(tblCouriers[Courier],$H35,tblCouriers[Market],$B35)=0),"Courier not in this market","OK")))))))))))))))</f>
        <v>OK</v>
      </c>
    </row>
  </sheetData>
  <conditionalFormatting sqref="K7:K8000">
    <cfRule type="expression" priority="2" aboveAverage="0" equalAverage="0" bottom="0" percent="0" rank="0" text="" dxfId="8">
      <formula>AND(K7&lt;&gt;"",K7&lt;&gt;"OK")</formula>
    </cfRule>
  </conditionalFormatting>
  <dataValidations count="6">
    <dataValidation allowBlank="true" errorStyle="stop" operator="between" showDropDown="false" showErrorMessage="false" showInputMessage="false" sqref="B7:B1035" type="list">
      <formula1>lstMarkets</formula1>
      <formula2>0</formula2>
    </dataValidation>
    <dataValidation allowBlank="true" errorStyle="stop" operator="between" showDropDown="false" showErrorMessage="false" showInputMessage="false" sqref="C7:C1035" type="list">
      <formula1>lstShip</formula1>
      <formula2>0</formula2>
    </dataValidation>
    <dataValidation allowBlank="true" errorStyle="stop" operator="between" showDropDown="false" showErrorMessage="false" showInputMessage="false" sqref="D7:D1035" type="list">
      <formula1>lstItems</formula1>
      <formula2>0</formula2>
    </dataValidation>
    <dataValidation allowBlank="true" errorStyle="stop" operator="between" showDropDown="false" showErrorMessage="false" showInputMessage="false" sqref="E7:E1035" type="list">
      <formula1>lstMoves</formula1>
      <formula2>0</formula2>
    </dataValidation>
    <dataValidation allowBlank="true" errorStyle="stop" operator="between" showDropDown="false" showErrorMessage="false" showInputMessage="false" sqref="H7:H1035" type="list">
      <formula1>lstCouriers</formula1>
      <formula2>0</formula2>
    </dataValidation>
    <dataValidation allowBlank="true" errorStyle="stop" operator="between" showDropDown="false" showErrorMessage="false" showInputMessage="false" sqref="I7:I1035" type="list">
      <formula1>lstReasons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E75B6"/>
    <pageSetUpPr fitToPage="false"/>
  </sheetPr>
  <dimension ref="A1:G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6" topLeftCell="A7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4" min="2" style="0" width="13"/>
    <col collapsed="false" customWidth="true" hidden="false" outlineLevel="0" max="5" min="5" style="0" width="14"/>
    <col collapsed="false" customWidth="true" hidden="false" outlineLevel="0" max="6" min="6" style="0" width="24"/>
    <col collapsed="false" customWidth="true" hidden="false" outlineLevel="0" max="7" min="7" style="0" width="26"/>
  </cols>
  <sheetData>
    <row r="1" customFormat="false" ht="25.5" hidden="false" customHeight="true" outlineLevel="0" collapsed="false">
      <c r="A1" s="1" t="s">
        <v>128</v>
      </c>
    </row>
    <row r="2" customFormat="false" ht="15" hidden="false" customHeight="false" outlineLevel="0" collapsed="false">
      <c r="A2" s="2" t="s">
        <v>129</v>
      </c>
    </row>
    <row r="4" customFormat="false" ht="15" hidden="false" customHeight="false" outlineLevel="0" collapsed="false">
      <c r="A4" s="2" t="s">
        <v>130</v>
      </c>
    </row>
    <row r="6" customFormat="false" ht="30" hidden="false" customHeight="true" outlineLevel="0" collapsed="false">
      <c r="A6" s="9" t="s">
        <v>121</v>
      </c>
      <c r="B6" s="9" t="s">
        <v>122</v>
      </c>
      <c r="C6" s="9" t="s">
        <v>123</v>
      </c>
      <c r="D6" s="9" t="s">
        <v>131</v>
      </c>
      <c r="E6" s="9" t="s">
        <v>132</v>
      </c>
      <c r="F6" s="9" t="s">
        <v>113</v>
      </c>
      <c r="G6" s="25" t="s">
        <v>114</v>
      </c>
    </row>
    <row r="7" customFormat="false" ht="15" hidden="false" customHeight="false" outlineLevel="0" collapsed="false">
      <c r="A7" s="27" t="n">
        <v>46250</v>
      </c>
      <c r="B7" s="26" t="s">
        <v>115</v>
      </c>
      <c r="C7" s="26" t="s">
        <v>67</v>
      </c>
      <c r="D7" s="28" t="n">
        <v>60</v>
      </c>
      <c r="E7" s="26" t="s">
        <v>133</v>
      </c>
      <c r="F7" s="26"/>
      <c r="G7" s="29" t="str">
        <f aca="false">IF($A7="","",IF(COUNTIFS(tblShipment[Shipment ID],$B7,tblShipment[Item Code],$C7)=0,"Item not in this shipment",IF(COUNTIFS(tblCount[Date],$A7,tblCount[Shipment],$B7,tblCount[Item],$C7)&gt;1,"Counted twice",IF(N($D7)&lt;0,"Cannot be negative","OK"))))</f>
        <v>OK</v>
      </c>
    </row>
    <row r="8" customFormat="false" ht="15" hidden="false" customHeight="false" outlineLevel="0" collapsed="false">
      <c r="A8" s="27" t="n">
        <v>46250</v>
      </c>
      <c r="B8" s="26" t="s">
        <v>115</v>
      </c>
      <c r="C8" s="26" t="s">
        <v>77</v>
      </c>
      <c r="D8" s="28" t="n">
        <v>58</v>
      </c>
      <c r="E8" s="26" t="s">
        <v>133</v>
      </c>
      <c r="F8" s="26"/>
      <c r="G8" s="29" t="str">
        <f aca="false">IF($A8="","",IF(COUNTIFS(tblShipment[Shipment ID],$B8,tblShipment[Item Code],$C8)=0,"Item not in this shipment",IF(COUNTIFS(tblCount[Date],$A8,tblCount[Shipment],$B8,tblCount[Item],$C8)&gt;1,"Counted twice",IF(N($D8)&lt;0,"Cannot be negative","OK"))))</f>
        <v>OK</v>
      </c>
    </row>
    <row r="9" customFormat="false" ht="15" hidden="false" customHeight="false" outlineLevel="0" collapsed="false">
      <c r="A9" s="27" t="n">
        <v>46250</v>
      </c>
      <c r="B9" s="26" t="s">
        <v>115</v>
      </c>
      <c r="C9" s="26" t="s">
        <v>83</v>
      </c>
      <c r="D9" s="28" t="n">
        <v>34</v>
      </c>
      <c r="E9" s="26" t="s">
        <v>133</v>
      </c>
      <c r="F9" s="26"/>
      <c r="G9" s="29" t="str">
        <f aca="false">IF($A9="","",IF(COUNTIFS(tblShipment[Shipment ID],$B9,tblShipment[Item Code],$C9)=0,"Item not in this shipment",IF(COUNTIFS(tblCount[Date],$A9,tblCount[Shipment],$B9,tblCount[Item],$C9)&gt;1,"Counted twice",IF(N($D9)&lt;0,"Cannot be negative","OK"))))</f>
        <v>OK</v>
      </c>
    </row>
  </sheetData>
  <conditionalFormatting sqref="G7:G8000">
    <cfRule type="expression" priority="2" aboveAverage="0" equalAverage="0" bottom="0" percent="0" rank="0" text="" dxfId="8">
      <formula>AND(G7&lt;&gt;"",G7&lt;&gt;"OK")</formula>
    </cfRule>
  </conditionalFormatting>
  <dataValidations count="2">
    <dataValidation allowBlank="true" errorStyle="stop" operator="between" showDropDown="false" showErrorMessage="false" showInputMessage="false" sqref="B7:B1009" type="list">
      <formula1>lstShip</formula1>
      <formula2>0</formula2>
    </dataValidation>
    <dataValidation allowBlank="true" errorStyle="stop" operator="between" showDropDown="false" showErrorMessage="false" showInputMessage="false" sqref="C7:C1009" type="list">
      <formula1>lstItems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2026-08-16T18:11:36Z</dcterms:created>
  <dc:creator>openpyxl</dc:creator>
  <dc:description/>
  <dc:language>en-US</dc:language>
  <cp:lastModifiedBy/>
  <dcterms:modified xsi:type="dcterms:W3CDTF">2026-08-16T18:11:36Z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