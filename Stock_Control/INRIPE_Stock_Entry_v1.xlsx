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MASTER" sheetId="2" state="visible" r:id="rId4"/>
    <sheet name="SHIPMENTS" sheetId="3" state="visible" r:id="rId5"/>
    <sheet name="MOVES" sheetId="4" state="visible" r:id="rId6"/>
    <sheet name="COUNT" sheetId="5" state="visible" r:id="rId7"/>
  </sheets>
  <definedNames>
    <definedName function="false" hidden="false" name="cfgAsOf" vbProcedure="false">MASTER!$C$5</definedName>
    <definedName function="false" hidden="false" name="cfgClearTarget" vbProcedure="false">MASTER!$C$7</definedName>
    <definedName function="false" hidden="false" name="cfgCourierLimit" vbProcedure="false">MASTER!$C$6</definedName>
    <definedName function="false" hidden="false" name="cfgLossTarget" vbProcedure="false">MASTER!$C$8</definedName>
    <definedName function="false" hidden="false" name="cfgVarTol" vbProcedure="false">MASTER!$C$9</definedName>
    <definedName function="false" hidden="false" name="cfgVer" vbProcedure="false">MASTER!$C$10</definedName>
    <definedName function="false" hidden="false" name="lstCouriers" vbProcedure="false">tblCouriers[Courier]</definedName>
    <definedName function="false" hidden="false" name="lstItems" vbProcedure="false">tblItems[Item Code]</definedName>
    <definedName function="false" hidden="false" name="lstMarkets" vbProcedure="false">tblMarkets[Market]</definedName>
    <definedName function="false" hidden="false" name="lstMoves" vbProcedure="false">tblMoveTypes[Movement]</definedName>
    <definedName function="false" hidden="false" name="lstReasons" vbProcedure="false">tblReasons[Reason]</definedName>
    <definedName function="false" hidden="false" name="lstShip" vbProcedure="false">tblShipment[Shipment ID]</definedName>
    <definedName function="false" hidden="false" name="lstSource" vbProcedure="false">MASTER!$W$16:$W$17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<sst xmlns="http://schemas.openxmlformats.org/spreadsheetml/2006/main" count="4960" uniqueCount="171">
  <si>
    <t xml:space="preserve">GUIDE</t>
  </si>
  <si>
    <t xml:space="preserve">One page. Read once.</t>
  </si>
  <si>
    <t xml:space="preserve">GOLDEN RULE:   type only what physically happened.   Stock only ever moves through MOVES.</t>
  </si>
  <si>
    <t xml:space="preserve">BLUE  =  you type here</t>
  </si>
  <si>
    <t xml:space="preserve">GREY  =  the workbook checks it</t>
  </si>
  <si>
    <t xml:space="preserve">YELLOW  =  a setting you may change</t>
  </si>
  <si>
    <t xml:space="preserve">RED  =  fix this row</t>
  </si>
  <si>
    <t xml:space="preserve">Sheet</t>
  </si>
  <si>
    <t xml:space="preserve">How often</t>
  </si>
  <si>
    <t xml:space="preserve">What it holds</t>
  </si>
  <si>
    <t xml:space="preserve">MASTER</t>
  </si>
  <si>
    <t xml:space="preserve">Rarely</t>
  </si>
  <si>
    <t xml:space="preserve">Items, markets, couriers, reasons, movement types, settings</t>
  </si>
  <si>
    <t xml:space="preserve">SHIPMENTS</t>
  </si>
  <si>
    <t xml:space="preserve">Per shipment</t>
  </si>
  <si>
    <t xml:space="preserve">What was sent: shipment, dates, source, item, qty</t>
  </si>
  <si>
    <t xml:space="preserve">MOVES</t>
  </si>
  <si>
    <t xml:space="preserve">Daily</t>
  </si>
  <si>
    <t xml:space="preserve">Every physical event. The main log.</t>
  </si>
  <si>
    <t xml:space="preserve">COUNT</t>
  </si>
  <si>
    <t xml:space="preserve">Weekly</t>
  </si>
  <si>
    <t xml:space="preserve">Physical stock count</t>
  </si>
  <si>
    <t xml:space="preserve">Your daily routine  -  about 10 minutes</t>
  </si>
  <si>
    <t xml:space="preserve">   1.  Open MOVES. Filter Market to the one you are transcribing.</t>
  </si>
  <si>
    <t xml:space="preserve">   2.  Type today's rows from the notebook. Add rows at the bottom.</t>
  </si>
  <si>
    <t xml:space="preserve">   3.  Check the last column is green on every new row.</t>
  </si>
  <si>
    <t xml:space="preserve">   4.  Repeat for the next market. Save the file. The dashboard updates itself.</t>
  </si>
  <si>
    <t xml:space="preserve">When a shipment lands</t>
  </si>
  <si>
    <t xml:space="preserve">   Go to SHIPMENTS first and add its lines - one row per item. Only then can MOVES accept events for it.</t>
  </si>
  <si>
    <t xml:space="preserve">Filling MOVES</t>
  </si>
  <si>
    <t xml:space="preserve">   Pick the Movement first. The Check column then names any field that is missing or should be blank.</t>
  </si>
  <si>
    <t xml:space="preserve">   Items are tracked inside the store. Once boxes go to a courier, quantities are tracked by shipment, not by item.</t>
  </si>
  <si>
    <t xml:space="preserve">   Returns: enter Returned (no item), then the same day split it into Return to Saleable and Return to Scrap (with item).</t>
  </si>
  <si>
    <t xml:space="preserve">   Orders are counts, never order numbers.</t>
  </si>
  <si>
    <t xml:space="preserve">Two rules with no exceptions</t>
  </si>
  <si>
    <t xml:space="preserve">   A physical count never changes stock. Post a Count Adjustment in MOVES with a reason instead.</t>
  </si>
  <si>
    <t xml:space="preserve">   Never delete a row. Post the opposite movement.</t>
  </si>
  <si>
    <t xml:space="preserve">Growing this file</t>
  </si>
  <si>
    <t xml:space="preserve">   New item, market, courier or reason  -&gt;  add a row on MASTER.</t>
  </si>
  <si>
    <t xml:space="preserve">   New kind of movement  -&gt;  add a row to the Movement Types table on MASTER. Nothing else changes.</t>
  </si>
  <si>
    <t xml:space="preserve">   The dashboard reads events, not formulas - new charts never need a new column here.</t>
  </si>
  <si>
    <t xml:space="preserve">MASTER  -  standards</t>
  </si>
  <si>
    <t xml:space="preserve">Set once. Everything else reads from here.</t>
  </si>
  <si>
    <t xml:space="preserve">SETTINGS</t>
  </si>
  <si>
    <t xml:space="preserve">As-Of Date</t>
  </si>
  <si>
    <t xml:space="preserve">Courier holding limit (days)</t>
  </si>
  <si>
    <t xml:space="preserve">Shipment clearance target (days)</t>
  </si>
  <si>
    <t xml:space="preserve">Loss % target</t>
  </si>
  <si>
    <t xml:space="preserve">Count variance tolerance</t>
  </si>
  <si>
    <t xml:space="preserve">Version</t>
  </si>
  <si>
    <t xml:space="preserve">v1.0</t>
  </si>
  <si>
    <t xml:space="preserve">Yellow = the only cells you change here. The two targets feed the dashboard.</t>
  </si>
  <si>
    <t xml:space="preserve">MASTER TABLES</t>
  </si>
  <si>
    <t xml:space="preserve">Item Code</t>
  </si>
  <si>
    <t xml:space="preserve">Item Name</t>
  </si>
  <si>
    <t xml:space="preserve">Active</t>
  </si>
  <si>
    <t xml:space="preserve">Market</t>
  </si>
  <si>
    <t xml:space="preserve">Courier</t>
  </si>
  <si>
    <t xml:space="preserve">Reason</t>
  </si>
  <si>
    <t xml:space="preserve">Type</t>
  </si>
  <si>
    <t xml:space="preserve">Movement</t>
  </si>
  <si>
    <t xml:space="preserve">Item?</t>
  </si>
  <si>
    <t xml:space="preserve">Courier?</t>
  </si>
  <si>
    <t xml:space="preserve">Orders?</t>
  </si>
  <si>
    <t xml:space="preserve">Reason?</t>
  </si>
  <si>
    <t xml:space="preserve">Qty?</t>
  </si>
  <si>
    <t xml:space="preserve">Source</t>
  </si>
  <si>
    <t xml:space="preserve">MK-KEITT</t>
  </si>
  <si>
    <t xml:space="preserve">Mango Keitt</t>
  </si>
  <si>
    <t xml:space="preserve">Yes</t>
  </si>
  <si>
    <t xml:space="preserve">Egypt</t>
  </si>
  <si>
    <t xml:space="preserve">Cairo Express</t>
  </si>
  <si>
    <t xml:space="preserve">Quality</t>
  </si>
  <si>
    <t xml:space="preserve">Scrap</t>
  </si>
  <si>
    <t xml:space="preserve">Received</t>
  </si>
  <si>
    <t xml:space="preserve">No</t>
  </si>
  <si>
    <t xml:space="preserve">MK-KENT</t>
  </si>
  <si>
    <t xml:space="preserve">Mango Kent</t>
  </si>
  <si>
    <t xml:space="preserve">UAE</t>
  </si>
  <si>
    <t xml:space="preserve">Emirates Post</t>
  </si>
  <si>
    <t xml:space="preserve">Damage</t>
  </si>
  <si>
    <t xml:space="preserve">Customs / Loss</t>
  </si>
  <si>
    <t xml:space="preserve">Local</t>
  </si>
  <si>
    <t xml:space="preserve">MK-NAOMI</t>
  </si>
  <si>
    <t xml:space="preserve">Mango Naomi</t>
  </si>
  <si>
    <t xml:space="preserve">KSA</t>
  </si>
  <si>
    <t xml:space="preserve">Fetchr UAE</t>
  </si>
  <si>
    <t xml:space="preserve">Overstay</t>
  </si>
  <si>
    <t xml:space="preserve">AV-HASS</t>
  </si>
  <si>
    <t xml:space="preserve">Avocado Hass</t>
  </si>
  <si>
    <t xml:space="preserve">Qatar</t>
  </si>
  <si>
    <t xml:space="preserve">Naqel KSA</t>
  </si>
  <si>
    <t xml:space="preserve">Count Adjustment</t>
  </si>
  <si>
    <t xml:space="preserve">To Courier</t>
  </si>
  <si>
    <t xml:space="preserve">GR-FLAME</t>
  </si>
  <si>
    <t xml:space="preserve">Grapes Flame</t>
  </si>
  <si>
    <t xml:space="preserve">SMSA KSA</t>
  </si>
  <si>
    <t xml:space="preserve">Other</t>
  </si>
  <si>
    <t xml:space="preserve">Orders Assigned</t>
  </si>
  <si>
    <t xml:space="preserve">PM-WOND</t>
  </si>
  <si>
    <t xml:space="preserve">Pomegranate Wonderful</t>
  </si>
  <si>
    <t xml:space="preserve">Doha Direct</t>
  </si>
  <si>
    <t xml:space="preserve">Customer Unavailable</t>
  </si>
  <si>
    <t xml:space="preserve">Return</t>
  </si>
  <si>
    <t xml:space="preserve">Courier Handover</t>
  </si>
  <si>
    <t xml:space="preserve">Customer Refused</t>
  </si>
  <si>
    <t xml:space="preserve">Delivered</t>
  </si>
  <si>
    <t xml:space="preserve">Wrong Address</t>
  </si>
  <si>
    <t xml:space="preserve">Returned</t>
  </si>
  <si>
    <t xml:space="preserve">Quality Complaint</t>
  </si>
  <si>
    <t xml:space="preserve">Return to Saleable</t>
  </si>
  <si>
    <t xml:space="preserve">Cancelled</t>
  </si>
  <si>
    <t xml:space="preserve">Return to Scrap</t>
  </si>
  <si>
    <t xml:space="preserve">Other Return</t>
  </si>
  <si>
    <t xml:space="preserve">Add a row here and the MOVES log accepts the new movement type. Nothing else changes.</t>
  </si>
  <si>
    <t xml:space="preserve">SHIPMENTS  -  what was sent</t>
  </si>
  <si>
    <t xml:space="preserve">One row per shipment and item. Filled once when a shipment lands, not daily.</t>
  </si>
  <si>
    <t xml:space="preserve">BLUE = you type it.   GREY = the workbook checks it.   RED = fix that row before uploading.</t>
  </si>
  <si>
    <t xml:space="preserve">Shipment ID</t>
  </si>
  <si>
    <t xml:space="preserve">Ship Date</t>
  </si>
  <si>
    <t xml:space="preserve">Arrival Date</t>
  </si>
  <si>
    <t xml:space="preserve">Shipped Qty</t>
  </si>
  <si>
    <t xml:space="preserve">Note</t>
  </si>
  <si>
    <t xml:space="preserve">Check</t>
  </si>
  <si>
    <t xml:space="preserve">SH-001</t>
  </si>
  <si>
    <t xml:space="preserve">SH-002</t>
  </si>
  <si>
    <t xml:space="preserve">SH-003</t>
  </si>
  <si>
    <t xml:space="preserve">SH-004</t>
  </si>
  <si>
    <t xml:space="preserve">SH-005</t>
  </si>
  <si>
    <t xml:space="preserve">SH-006</t>
  </si>
  <si>
    <t xml:space="preserve">SH-007</t>
  </si>
  <si>
    <t xml:space="preserve">SH-008</t>
  </si>
  <si>
    <t xml:space="preserve">SH-009</t>
  </si>
  <si>
    <t xml:space="preserve">SH-010</t>
  </si>
  <si>
    <t xml:space="preserve">SH-011</t>
  </si>
  <si>
    <t xml:space="preserve">SH-012</t>
  </si>
  <si>
    <t xml:space="preserve">SH-013</t>
  </si>
  <si>
    <t xml:space="preserve">SH-014</t>
  </si>
  <si>
    <t xml:space="preserve">SH-015</t>
  </si>
  <si>
    <t xml:space="preserve">SH-016</t>
  </si>
  <si>
    <t xml:space="preserve">SH-017</t>
  </si>
  <si>
    <t xml:space="preserve">SH-018</t>
  </si>
  <si>
    <t xml:space="preserve">SH-019</t>
  </si>
  <si>
    <t xml:space="preserve">SH-020</t>
  </si>
  <si>
    <t xml:space="preserve">SH-021</t>
  </si>
  <si>
    <t xml:space="preserve">SH-022</t>
  </si>
  <si>
    <t xml:space="preserve">SH-023</t>
  </si>
  <si>
    <t xml:space="preserve">SH-024</t>
  </si>
  <si>
    <t xml:space="preserve">SH-025</t>
  </si>
  <si>
    <t xml:space="preserve">SH-026</t>
  </si>
  <si>
    <t xml:space="preserve">SH-027</t>
  </si>
  <si>
    <t xml:space="preserve">SH-028</t>
  </si>
  <si>
    <t xml:space="preserve">SH-029</t>
  </si>
  <si>
    <t xml:space="preserve">SH-030</t>
  </si>
  <si>
    <t xml:space="preserve">MOVES  -  the daily log</t>
  </si>
  <si>
    <t xml:space="preserve">One row per physical event. Pick the Movement first - the Check column tells you which fields it needs.</t>
  </si>
  <si>
    <t xml:space="preserve">Filter by Market while you transcribe. Save, then the dashboard picks it up automatically.</t>
  </si>
  <si>
    <t xml:space="preserve">Date</t>
  </si>
  <si>
    <t xml:space="preserve">Shipment</t>
  </si>
  <si>
    <t xml:space="preserve">Item</t>
  </si>
  <si>
    <t xml:space="preserve">Qty</t>
  </si>
  <si>
    <t xml:space="preserve">Orders</t>
  </si>
  <si>
    <t xml:space="preserve">Taken in transit</t>
  </si>
  <si>
    <t xml:space="preserve">auto-balance</t>
  </si>
  <si>
    <t xml:space="preserve">COUNT  -  physical stock check</t>
  </si>
  <si>
    <t xml:space="preserve">Weekly or spot check. A count never changes stock - to correct it, post a Count Adjustment in MOVES.</t>
  </si>
  <si>
    <t xml:space="preserve">System qty and variance are calculated on the dashboard, not here.</t>
  </si>
  <si>
    <t xml:space="preserve">Physical Qty</t>
  </si>
  <si>
    <t xml:space="preserve">Counted By</t>
  </si>
  <si>
    <t xml:space="preserve">M. Farid</t>
  </si>
  <si>
    <t xml:space="preserve">A. Kamal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</si>
</sst>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"/>
    <numFmt numFmtId="166" formatCode="#,##0"/>
    <numFmt numFmtId="167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40404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2F2F2"/>
      </patternFill>
    </fill>
    <fill>
      <patternFill patternType="solid">
        <fgColor rgb="FFFFC7CE"/>
        <bgColor rgb="FFCCCCFF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8"/>
      <rgbColor rgb="FFF2F2F2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unt" displayName="tblCount" ref="A6:G14" headerRowCount="1" totalsRowCount="0" totalsRowShown="0">
  <autoFilter ref="A6:G14"/>
  <tableColumns count="7">
    <tableColumn id="1" name="Date"/>
    <tableColumn id="2" name="Shipment"/>
    <tableColumn id="3" name="Item"/>
    <tableColumn id="4" name="Physical Qty"/>
    <tableColumn id="5" name="Counted By"/>
    <tableColumn id="6" name="Note"/>
    <tableColumn id="7" name="Check"/>
  </tableColumns>
</table>
</file>

<file path=xl/tables/table2.xml><?xml version="1.0" encoding="utf-8"?>
<table xmlns="http://schemas.openxmlformats.org/spreadsheetml/2006/main" id="2" name="tblCouriers" displayName="tblCouriers" ref="I15:K21" headerRowCount="1" totalsRowCount="0" totalsRowShown="0">
  <autoFilter ref="I15:K21"/>
  <tableColumns count="3">
    <tableColumn id="1" name="Courier"/>
    <tableColumn id="2" name="Market"/>
    <tableColumn id="3" name="Active"/>
  </tableColumns>
</table>
</file>

<file path=xl/tables/table3.xml><?xml version="1.0" encoding="utf-8"?>
<table xmlns="http://schemas.openxmlformats.org/spreadsheetml/2006/main" id="3" name="tblItems" displayName="tblItems" ref="B15:D21" headerRowCount="1" totalsRowCount="0" totalsRowShown="0">
  <autoFilter ref="B15:D21"/>
  <tableColumns count="3">
    <tableColumn id="1" name="Item Code"/>
    <tableColumn id="2" name="Item Name"/>
    <tableColumn id="3" name="Active"/>
  </tableColumns>
</table>
</file>

<file path=xl/tables/table4.xml><?xml version="1.0" encoding="utf-8"?>
<table xmlns="http://schemas.openxmlformats.org/spreadsheetml/2006/main" id="4" name="tblMarkets" displayName="tblMarkets" ref="F15:G19" headerRowCount="1" totalsRowCount="0" totalsRowShown="0">
  <autoFilter ref="F15:G19"/>
  <tableColumns count="2">
    <tableColumn id="1" name="Market"/>
    <tableColumn id="2" name="Active"/>
  </tableColumns>
</table>
</file>

<file path=xl/tables/table5.xml><?xml version="1.0" encoding="utf-8"?>
<table xmlns="http://schemas.openxmlformats.org/spreadsheetml/2006/main" id="5" name="tblMoves" displayName="tblMoves" ref="A6:K949" headerRowCount="1" totalsRowCount="0" totalsRowShown="0">
  <autoFilter ref="A6:K949"/>
  <tableColumns count="11">
    <tableColumn id="1" name="Date"/>
    <tableColumn id="2" name="Market"/>
    <tableColumn id="3" name="Shipment"/>
    <tableColumn id="4" name="Item"/>
    <tableColumn id="5" name="Movement"/>
    <tableColumn id="6" name="Qty"/>
    <tableColumn id="7" name="Orders"/>
    <tableColumn id="8" name="Courier"/>
    <tableColumn id="9" name="Reason"/>
    <tableColumn id="10" name="Note"/>
    <tableColumn id="11" name="Check"/>
  </tableColumns>
</table>
</file>

<file path=xl/tables/table6.xml><?xml version="1.0" encoding="utf-8"?>
<table xmlns="http://schemas.openxmlformats.org/spreadsheetml/2006/main" id="6" name="tblMoveTypes" displayName="tblMoveTypes" ref="P15:U26" headerRowCount="1" totalsRowCount="0" totalsRowShown="0">
  <autoFilter ref="P15:U26"/>
  <tableColumns count="6">
    <tableColumn id="1" name="Movement"/>
    <tableColumn id="2" name="Item?"/>
    <tableColumn id="3" name="Courier?"/>
    <tableColumn id="4" name="Orders?"/>
    <tableColumn id="5" name="Reason?"/>
    <tableColumn id="6" name="Qty?"/>
  </tableColumns>
</table>
</file>

<file path=xl/tables/table7.xml><?xml version="1.0" encoding="utf-8"?>
<table xmlns="http://schemas.openxmlformats.org/spreadsheetml/2006/main" id="7" name="tblReasons" displayName="tblReasons" ref="M15:N26" headerRowCount="1" totalsRowCount="0" totalsRowShown="0">
  <autoFilter ref="M15:N26"/>
  <tableColumns count="2">
    <tableColumn id="1" name="Reason"/>
    <tableColumn id="2" name="Type"/>
  </tableColumns>
</table>
</file>

<file path=xl/tables/table8.xml><?xml version="1.0" encoding="utf-8"?>
<table xmlns="http://schemas.openxmlformats.org/spreadsheetml/2006/main" id="8" name="tblShipment" displayName="tblShipment" ref="A6:I121" headerRowCount="1" totalsRowCount="0" totalsRowShown="0">
  <autoFilter ref="A6:I121"/>
  <tableColumns count="9">
    <tableColumn id="1" name="Shipment ID"/>
    <tableColumn id="2" name="Market"/>
    <tableColumn id="3" name="Ship Date"/>
    <tableColumn id="4" name="Arrival Date"/>
    <tableColumn id="5" name="Source"/>
    <tableColumn id="6" name="Item Code"/>
    <tableColumn id="7" name="Shipped Qty"/>
    <tableColumn id="8" name="Note"/>
    <tableColumn id="9" name="Chec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6.xml"/><Relationship Id="rId5" Type="http://schemas.openxmlformats.org/officeDocument/2006/relationships/table" Target="../tables/table7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36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B4" s="3" t="s">
        <v>2</v>
      </c>
      <c r="C4" s="3"/>
      <c r="D4" s="3"/>
      <c r="E4" s="3"/>
      <c r="F4" s="3"/>
    </row>
    <row r="6" customFormat="false" ht="15" hidden="false" customHeight="false" outlineLevel="0" collapsed="false">
      <c r="B6" s="4"/>
      <c r="C6" s="5" t="s">
        <v>3</v>
      </c>
      <c r="D6" s="5"/>
    </row>
    <row r="7" customFormat="false" ht="15" hidden="false" customHeight="false" outlineLevel="0" collapsed="false">
      <c r="B7" s="6"/>
      <c r="C7" s="5" t="s">
        <v>4</v>
      </c>
      <c r="D7" s="5"/>
    </row>
    <row r="8" customFormat="false" ht="15" hidden="false" customHeight="false" outlineLevel="0" collapsed="false">
      <c r="B8" s="7"/>
      <c r="C8" s="5" t="s">
        <v>5</v>
      </c>
      <c r="D8" s="5"/>
    </row>
    <row r="9" customFormat="false" ht="15" hidden="false" customHeight="false" outlineLevel="0" collapsed="false">
      <c r="B9" s="8"/>
      <c r="C9" s="5" t="s">
        <v>6</v>
      </c>
      <c r="D9" s="5"/>
    </row>
    <row r="12" customFormat="false" ht="24" hidden="false" customHeight="true" outlineLevel="0" collapsed="false">
      <c r="B12" s="9" t="s">
        <v>7</v>
      </c>
      <c r="C12" s="9" t="s">
        <v>8</v>
      </c>
      <c r="D12" s="9" t="s">
        <v>9</v>
      </c>
    </row>
    <row r="13" customFormat="false" ht="15" hidden="false" customHeight="true" outlineLevel="0" collapsed="false">
      <c r="B13" s="10" t="s">
        <v>10</v>
      </c>
      <c r="C13" s="11" t="s">
        <v>11</v>
      </c>
      <c r="D13" s="11" t="s">
        <v>12</v>
      </c>
      <c r="E13" s="11"/>
      <c r="F13" s="11"/>
    </row>
    <row r="14" customFormat="false" ht="15" hidden="false" customHeight="true" outlineLevel="0" collapsed="false">
      <c r="B14" s="12" t="s">
        <v>13</v>
      </c>
      <c r="C14" s="13" t="s">
        <v>14</v>
      </c>
      <c r="D14" s="13" t="s">
        <v>15</v>
      </c>
      <c r="E14" s="13"/>
      <c r="F14" s="13"/>
    </row>
    <row r="15" customFormat="false" ht="15" hidden="false" customHeight="true" outlineLevel="0" collapsed="false">
      <c r="B15" s="10" t="s">
        <v>16</v>
      </c>
      <c r="C15" s="11" t="s">
        <v>17</v>
      </c>
      <c r="D15" s="11" t="s">
        <v>18</v>
      </c>
      <c r="E15" s="11"/>
      <c r="F15" s="11"/>
    </row>
    <row r="16" customFormat="false" ht="15" hidden="false" customHeight="true" outlineLevel="0" collapsed="false">
      <c r="B16" s="12" t="s">
        <v>19</v>
      </c>
      <c r="C16" s="13" t="s">
        <v>20</v>
      </c>
      <c r="D16" s="13" t="s">
        <v>21</v>
      </c>
      <c r="E16" s="13"/>
      <c r="F16" s="13"/>
    </row>
    <row r="19" customFormat="false" ht="15" hidden="false" customHeight="false" outlineLevel="0" collapsed="false">
      <c r="B19" s="14" t="s">
        <v>22</v>
      </c>
    </row>
    <row r="20" customFormat="false" ht="15" hidden="false" customHeight="false" outlineLevel="0" collapsed="false">
      <c r="B20" s="15" t="s">
        <v>23</v>
      </c>
    </row>
    <row r="21" customFormat="false" ht="15" hidden="false" customHeight="false" outlineLevel="0" collapsed="false">
      <c r="B21" s="15" t="s">
        <v>24</v>
      </c>
    </row>
    <row r="22" customFormat="false" ht="15" hidden="false" customHeight="false" outlineLevel="0" collapsed="false">
      <c r="B22" s="15" t="s">
        <v>25</v>
      </c>
    </row>
    <row r="23" customFormat="false" ht="15" hidden="false" customHeight="false" outlineLevel="0" collapsed="false">
      <c r="B23" s="15" t="s">
        <v>26</v>
      </c>
    </row>
    <row r="24" customFormat="false" ht="15" hidden="false" customHeight="false" outlineLevel="0" collapsed="false">
      <c r="B24" s="15"/>
    </row>
    <row r="25" customFormat="false" ht="15" hidden="false" customHeight="false" outlineLevel="0" collapsed="false">
      <c r="B25" s="14" t="s">
        <v>27</v>
      </c>
    </row>
    <row r="26" customFormat="false" ht="15" hidden="false" customHeight="false" outlineLevel="0" collapsed="false">
      <c r="B26" s="15" t="s">
        <v>28</v>
      </c>
    </row>
    <row r="27" customFormat="false" ht="15" hidden="false" customHeight="false" outlineLevel="0" collapsed="false">
      <c r="B27" s="15"/>
    </row>
    <row r="28" customFormat="false" ht="15" hidden="false" customHeight="false" outlineLevel="0" collapsed="false">
      <c r="B28" s="14" t="s">
        <v>29</v>
      </c>
    </row>
    <row r="29" customFormat="false" ht="15" hidden="false" customHeight="false" outlineLevel="0" collapsed="false">
      <c r="B29" s="15" t="s">
        <v>30</v>
      </c>
    </row>
    <row r="30" customFormat="false" ht="15" hidden="false" customHeight="false" outlineLevel="0" collapsed="false">
      <c r="B30" s="15" t="s">
        <v>31</v>
      </c>
    </row>
    <row r="31" customFormat="false" ht="15" hidden="false" customHeight="false" outlineLevel="0" collapsed="false">
      <c r="B31" s="15" t="s">
        <v>32</v>
      </c>
    </row>
    <row r="32" customFormat="false" ht="15" hidden="false" customHeight="false" outlineLevel="0" collapsed="false">
      <c r="B32" s="15" t="s">
        <v>33</v>
      </c>
    </row>
    <row r="33" customFormat="false" ht="15" hidden="false" customHeight="false" outlineLevel="0" collapsed="false">
      <c r="B33" s="15"/>
    </row>
    <row r="34" customFormat="false" ht="15" hidden="false" customHeight="false" outlineLevel="0" collapsed="false">
      <c r="B34" s="14" t="s">
        <v>34</v>
      </c>
    </row>
    <row r="35" customFormat="false" ht="15" hidden="false" customHeight="false" outlineLevel="0" collapsed="false">
      <c r="B35" s="15" t="s">
        <v>35</v>
      </c>
    </row>
    <row r="36" customFormat="false" ht="15" hidden="false" customHeight="false" outlineLevel="0" collapsed="false">
      <c r="B36" s="15" t="s">
        <v>36</v>
      </c>
    </row>
    <row r="37" customFormat="false" ht="15" hidden="false" customHeight="false" outlineLevel="0" collapsed="false">
      <c r="B37" s="15"/>
    </row>
    <row r="38" customFormat="false" ht="15" hidden="false" customHeight="false" outlineLevel="0" collapsed="false">
      <c r="B38" s="14" t="s">
        <v>37</v>
      </c>
    </row>
    <row r="39" customFormat="false" ht="15" hidden="false" customHeight="false" outlineLevel="0" collapsed="false">
      <c r="B39" s="15" t="s">
        <v>38</v>
      </c>
    </row>
    <row r="40" customFormat="false" ht="15" hidden="false" customHeight="false" outlineLevel="0" collapsed="false">
      <c r="B40" s="15" t="s">
        <v>39</v>
      </c>
    </row>
    <row r="41" customFormat="false" ht="15" hidden="false" customHeight="false" outlineLevel="0" collapsed="false">
      <c r="B41" s="15" t="s">
        <v>40</v>
      </c>
    </row>
  </sheetData>
  <mergeCells count="9">
    <mergeCell ref="B4:F4"/>
    <mergeCell ref="C6:D6"/>
    <mergeCell ref="C7:D7"/>
    <mergeCell ref="C8:D8"/>
    <mergeCell ref="C9:D9"/>
    <mergeCell ref="D13:F13"/>
    <mergeCell ref="D14:F14"/>
    <mergeCell ref="D15:F15"/>
    <mergeCell ref="D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2"/>
    <col collapsed="false" customWidth="true" hidden="false" outlineLevel="0" max="4" min="4" style="0" width="9"/>
    <col collapsed="false" customWidth="true" hidden="false" outlineLevel="0" max="5" min="5" style="0" width="2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2"/>
    <col collapsed="false" customWidth="true" hidden="false" outlineLevel="0" max="13" min="13" style="0" width="22"/>
    <col collapsed="false" customWidth="true" hidden="false" outlineLevel="0" max="14" min="14" style="0" width="10"/>
    <col collapsed="false" customWidth="true" hidden="false" outlineLevel="0" max="15" min="15" style="0" width="2"/>
    <col collapsed="false" customWidth="true" hidden="false" outlineLevel="0" max="16" min="16" style="0" width="21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20" min="19" style="0" width="8"/>
    <col collapsed="false" customWidth="true" hidden="false" outlineLevel="0" max="21" min="21" style="0" width="7"/>
    <col collapsed="false" customWidth="true" hidden="false" outlineLevel="0" max="22" min="22" style="0" width="2"/>
    <col collapsed="false" customWidth="true" hidden="false" outlineLevel="0" max="23" min="23" style="0" width="10"/>
  </cols>
  <sheetData>
    <row r="1" customFormat="false" ht="25.5" hidden="false" customHeight="tru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B4" s="16" t="s">
        <v>43</v>
      </c>
    </row>
    <row r="5" customFormat="false" ht="15" hidden="false" customHeight="false" outlineLevel="0" collapsed="false">
      <c r="B5" s="17" t="s">
        <v>44</v>
      </c>
      <c r="C5" s="18" t="n">
        <v>46250</v>
      </c>
    </row>
    <row r="6" customFormat="false" ht="15" hidden="false" customHeight="false" outlineLevel="0" collapsed="false">
      <c r="B6" s="17" t="s">
        <v>45</v>
      </c>
      <c r="C6" s="19" t="n">
        <v>3</v>
      </c>
    </row>
    <row r="7" customFormat="false" ht="15" hidden="false" customHeight="false" outlineLevel="0" collapsed="false">
      <c r="B7" s="17" t="s">
        <v>46</v>
      </c>
      <c r="C7" s="19" t="n">
        <v>4</v>
      </c>
    </row>
    <row r="8" customFormat="false" ht="15" hidden="false" customHeight="false" outlineLevel="0" collapsed="false">
      <c r="B8" s="17" t="s">
        <v>47</v>
      </c>
      <c r="C8" s="20" t="n">
        <v>0.03</v>
      </c>
    </row>
    <row r="9" customFormat="false" ht="15" hidden="false" customHeight="false" outlineLevel="0" collapsed="false">
      <c r="B9" s="17" t="s">
        <v>48</v>
      </c>
      <c r="C9" s="20" t="n">
        <v>0.02</v>
      </c>
    </row>
    <row r="10" customFormat="false" ht="15" hidden="false" customHeight="false" outlineLevel="0" collapsed="false">
      <c r="B10" s="17" t="s">
        <v>49</v>
      </c>
      <c r="C10" s="21" t="s">
        <v>50</v>
      </c>
    </row>
    <row r="12" customFormat="false" ht="15" hidden="false" customHeight="false" outlineLevel="0" collapsed="false">
      <c r="B12" s="22" t="s">
        <v>51</v>
      </c>
    </row>
    <row r="14" customFormat="false" ht="15" hidden="false" customHeight="false" outlineLevel="0" collapsed="false">
      <c r="B14" s="16" t="s">
        <v>52</v>
      </c>
    </row>
    <row r="15" customFormat="false" ht="30" hidden="false" customHeight="true" outlineLevel="0" collapsed="false">
      <c r="B15" s="9" t="s">
        <v>53</v>
      </c>
      <c r="C15" s="9" t="s">
        <v>54</v>
      </c>
      <c r="D15" s="9" t="s">
        <v>55</v>
      </c>
      <c r="F15" s="9" t="s">
        <v>56</v>
      </c>
      <c r="G15" s="9" t="s">
        <v>55</v>
      </c>
      <c r="I15" s="9" t="s">
        <v>57</v>
      </c>
      <c r="J15" s="9" t="s">
        <v>56</v>
      </c>
      <c r="K15" s="9" t="s">
        <v>55</v>
      </c>
      <c r="M15" s="9" t="s">
        <v>58</v>
      </c>
      <c r="N15" s="9" t="s">
        <v>59</v>
      </c>
      <c r="P15" s="9" t="s">
        <v>60</v>
      </c>
      <c r="Q15" s="9" t="s">
        <v>61</v>
      </c>
      <c r="R15" s="9" t="s">
        <v>62</v>
      </c>
      <c r="S15" s="9" t="s">
        <v>63</v>
      </c>
      <c r="T15" s="9" t="s">
        <v>64</v>
      </c>
      <c r="U15" s="9" t="s">
        <v>65</v>
      </c>
      <c r="W15" s="9" t="s">
        <v>66</v>
      </c>
    </row>
    <row r="16" customFormat="false" ht="15" hidden="false" customHeight="false" outlineLevel="0" collapsed="false">
      <c r="B16" s="23" t="s">
        <v>67</v>
      </c>
      <c r="C16" s="23" t="s">
        <v>68</v>
      </c>
      <c r="D16" s="23" t="s">
        <v>69</v>
      </c>
      <c r="F16" s="23" t="s">
        <v>70</v>
      </c>
      <c r="G16" s="23" t="s">
        <v>69</v>
      </c>
      <c r="I16" s="23" t="s">
        <v>71</v>
      </c>
      <c r="J16" s="23" t="s">
        <v>70</v>
      </c>
      <c r="K16" s="23" t="s">
        <v>69</v>
      </c>
      <c r="M16" s="23" t="s">
        <v>72</v>
      </c>
      <c r="N16" s="23" t="s">
        <v>73</v>
      </c>
      <c r="P16" s="23" t="s">
        <v>74</v>
      </c>
      <c r="Q16" s="23" t="s">
        <v>69</v>
      </c>
      <c r="R16" s="23" t="s">
        <v>75</v>
      </c>
      <c r="S16" s="23" t="s">
        <v>75</v>
      </c>
      <c r="T16" s="23" t="s">
        <v>75</v>
      </c>
      <c r="U16" s="23" t="s">
        <v>69</v>
      </c>
      <c r="W16" s="24" t="s">
        <v>70</v>
      </c>
    </row>
    <row r="17" customFormat="false" ht="15" hidden="false" customHeight="false" outlineLevel="0" collapsed="false">
      <c r="B17" s="23" t="s">
        <v>76</v>
      </c>
      <c r="C17" s="23" t="s">
        <v>77</v>
      </c>
      <c r="D17" s="23" t="s">
        <v>69</v>
      </c>
      <c r="F17" s="23" t="s">
        <v>78</v>
      </c>
      <c r="G17" s="23" t="s">
        <v>69</v>
      </c>
      <c r="I17" s="23" t="s">
        <v>79</v>
      </c>
      <c r="J17" s="23" t="s">
        <v>78</v>
      </c>
      <c r="K17" s="23" t="s">
        <v>69</v>
      </c>
      <c r="M17" s="23" t="s">
        <v>80</v>
      </c>
      <c r="N17" s="23" t="s">
        <v>73</v>
      </c>
      <c r="P17" s="23" t="s">
        <v>81</v>
      </c>
      <c r="Q17" s="23" t="s">
        <v>69</v>
      </c>
      <c r="R17" s="23" t="s">
        <v>75</v>
      </c>
      <c r="S17" s="23" t="s">
        <v>75</v>
      </c>
      <c r="T17" s="23" t="s">
        <v>75</v>
      </c>
      <c r="U17" s="23" t="s">
        <v>69</v>
      </c>
      <c r="W17" s="24" t="s">
        <v>82</v>
      </c>
    </row>
    <row r="18" customFormat="false" ht="15" hidden="false" customHeight="false" outlineLevel="0" collapsed="false">
      <c r="B18" s="23" t="s">
        <v>83</v>
      </c>
      <c r="C18" s="23" t="s">
        <v>84</v>
      </c>
      <c r="D18" s="23" t="s">
        <v>69</v>
      </c>
      <c r="F18" s="23" t="s">
        <v>85</v>
      </c>
      <c r="G18" s="23" t="s">
        <v>69</v>
      </c>
      <c r="I18" s="23" t="s">
        <v>86</v>
      </c>
      <c r="J18" s="23" t="s">
        <v>78</v>
      </c>
      <c r="K18" s="23" t="s">
        <v>69</v>
      </c>
      <c r="M18" s="23" t="s">
        <v>87</v>
      </c>
      <c r="N18" s="23" t="s">
        <v>73</v>
      </c>
      <c r="P18" s="23" t="s">
        <v>73</v>
      </c>
      <c r="Q18" s="23" t="s">
        <v>69</v>
      </c>
      <c r="R18" s="23" t="s">
        <v>75</v>
      </c>
      <c r="S18" s="23" t="s">
        <v>75</v>
      </c>
      <c r="T18" s="23" t="s">
        <v>69</v>
      </c>
      <c r="U18" s="23" t="s">
        <v>69</v>
      </c>
    </row>
    <row r="19" customFormat="false" ht="15" hidden="false" customHeight="false" outlineLevel="0" collapsed="false">
      <c r="B19" s="23" t="s">
        <v>88</v>
      </c>
      <c r="C19" s="23" t="s">
        <v>89</v>
      </c>
      <c r="D19" s="23" t="s">
        <v>69</v>
      </c>
      <c r="F19" s="23" t="s">
        <v>90</v>
      </c>
      <c r="G19" s="23" t="s">
        <v>69</v>
      </c>
      <c r="I19" s="23" t="s">
        <v>91</v>
      </c>
      <c r="J19" s="23" t="s">
        <v>85</v>
      </c>
      <c r="K19" s="23" t="s">
        <v>69</v>
      </c>
      <c r="M19" s="23" t="s">
        <v>92</v>
      </c>
      <c r="N19" s="23" t="s">
        <v>73</v>
      </c>
      <c r="P19" s="23" t="s">
        <v>93</v>
      </c>
      <c r="Q19" s="23" t="s">
        <v>69</v>
      </c>
      <c r="R19" s="23" t="s">
        <v>69</v>
      </c>
      <c r="S19" s="23" t="s">
        <v>75</v>
      </c>
      <c r="T19" s="23" t="s">
        <v>75</v>
      </c>
      <c r="U19" s="23" t="s">
        <v>69</v>
      </c>
    </row>
    <row r="20" customFormat="false" ht="15" hidden="false" customHeight="false" outlineLevel="0" collapsed="false">
      <c r="B20" s="23" t="s">
        <v>94</v>
      </c>
      <c r="C20" s="23" t="s">
        <v>95</v>
      </c>
      <c r="D20" s="23" t="s">
        <v>69</v>
      </c>
      <c r="I20" s="23" t="s">
        <v>96</v>
      </c>
      <c r="J20" s="23" t="s">
        <v>85</v>
      </c>
      <c r="K20" s="23" t="s">
        <v>69</v>
      </c>
      <c r="M20" s="23" t="s">
        <v>97</v>
      </c>
      <c r="N20" s="23" t="s">
        <v>73</v>
      </c>
      <c r="P20" s="23" t="s">
        <v>98</v>
      </c>
      <c r="Q20" s="23" t="s">
        <v>75</v>
      </c>
      <c r="R20" s="23" t="s">
        <v>75</v>
      </c>
      <c r="S20" s="23" t="s">
        <v>69</v>
      </c>
      <c r="T20" s="23" t="s">
        <v>75</v>
      </c>
      <c r="U20" s="23" t="s">
        <v>75</v>
      </c>
    </row>
    <row r="21" customFormat="false" ht="15" hidden="false" customHeight="false" outlineLevel="0" collapsed="false">
      <c r="B21" s="23" t="s">
        <v>99</v>
      </c>
      <c r="C21" s="23" t="s">
        <v>100</v>
      </c>
      <c r="D21" s="23" t="s">
        <v>69</v>
      </c>
      <c r="I21" s="23" t="s">
        <v>101</v>
      </c>
      <c r="J21" s="23" t="s">
        <v>90</v>
      </c>
      <c r="K21" s="23" t="s">
        <v>69</v>
      </c>
      <c r="M21" s="23" t="s">
        <v>102</v>
      </c>
      <c r="N21" s="23" t="s">
        <v>103</v>
      </c>
      <c r="P21" s="23" t="s">
        <v>104</v>
      </c>
      <c r="Q21" s="23" t="s">
        <v>75</v>
      </c>
      <c r="R21" s="23" t="s">
        <v>69</v>
      </c>
      <c r="S21" s="23" t="s">
        <v>69</v>
      </c>
      <c r="T21" s="23" t="s">
        <v>75</v>
      </c>
      <c r="U21" s="23" t="s">
        <v>75</v>
      </c>
    </row>
    <row r="22" customFormat="false" ht="15" hidden="false" customHeight="false" outlineLevel="0" collapsed="false">
      <c r="M22" s="23" t="s">
        <v>105</v>
      </c>
      <c r="N22" s="23" t="s">
        <v>103</v>
      </c>
      <c r="P22" s="23" t="s">
        <v>106</v>
      </c>
      <c r="Q22" s="23" t="s">
        <v>75</v>
      </c>
      <c r="R22" s="23" t="s">
        <v>69</v>
      </c>
      <c r="S22" s="23" t="s">
        <v>69</v>
      </c>
      <c r="T22" s="23" t="s">
        <v>75</v>
      </c>
      <c r="U22" s="23" t="s">
        <v>69</v>
      </c>
    </row>
    <row r="23" customFormat="false" ht="15" hidden="false" customHeight="false" outlineLevel="0" collapsed="false">
      <c r="M23" s="23" t="s">
        <v>107</v>
      </c>
      <c r="N23" s="23" t="s">
        <v>103</v>
      </c>
      <c r="P23" s="23" t="s">
        <v>108</v>
      </c>
      <c r="Q23" s="23" t="s">
        <v>75</v>
      </c>
      <c r="R23" s="23" t="s">
        <v>69</v>
      </c>
      <c r="S23" s="23" t="s">
        <v>69</v>
      </c>
      <c r="T23" s="23" t="s">
        <v>69</v>
      </c>
      <c r="U23" s="23" t="s">
        <v>69</v>
      </c>
    </row>
    <row r="24" customFormat="false" ht="15" hidden="false" customHeight="false" outlineLevel="0" collapsed="false">
      <c r="M24" s="23" t="s">
        <v>109</v>
      </c>
      <c r="N24" s="23" t="s">
        <v>103</v>
      </c>
      <c r="P24" s="23" t="s">
        <v>110</v>
      </c>
      <c r="Q24" s="23" t="s">
        <v>69</v>
      </c>
      <c r="R24" s="23" t="s">
        <v>75</v>
      </c>
      <c r="S24" s="23" t="s">
        <v>75</v>
      </c>
      <c r="T24" s="23" t="s">
        <v>75</v>
      </c>
      <c r="U24" s="23" t="s">
        <v>69</v>
      </c>
    </row>
    <row r="25" customFormat="false" ht="15" hidden="false" customHeight="false" outlineLevel="0" collapsed="false">
      <c r="M25" s="23" t="s">
        <v>111</v>
      </c>
      <c r="N25" s="23" t="s">
        <v>103</v>
      </c>
      <c r="P25" s="23" t="s">
        <v>112</v>
      </c>
      <c r="Q25" s="23" t="s">
        <v>69</v>
      </c>
      <c r="R25" s="23" t="s">
        <v>75</v>
      </c>
      <c r="S25" s="23" t="s">
        <v>75</v>
      </c>
      <c r="T25" s="23" t="s">
        <v>69</v>
      </c>
      <c r="U25" s="23" t="s">
        <v>69</v>
      </c>
    </row>
    <row r="26" customFormat="false" ht="15" hidden="false" customHeight="false" outlineLevel="0" collapsed="false">
      <c r="M26" s="23" t="s">
        <v>113</v>
      </c>
      <c r="N26" s="23" t="s">
        <v>103</v>
      </c>
      <c r="P26" s="23" t="s">
        <v>92</v>
      </c>
      <c r="Q26" s="23" t="s">
        <v>69</v>
      </c>
      <c r="R26" s="23" t="s">
        <v>75</v>
      </c>
      <c r="S26" s="23" t="s">
        <v>75</v>
      </c>
      <c r="T26" s="23" t="s">
        <v>69</v>
      </c>
      <c r="U26" s="23" t="s">
        <v>69</v>
      </c>
    </row>
    <row r="28" customFormat="false" ht="15" hidden="false" customHeight="false" outlineLevel="0" collapsed="false">
      <c r="P28" s="22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8" min="8" style="0" width="24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2" t="s">
        <v>117</v>
      </c>
    </row>
    <row r="6" customFormat="false" ht="30" hidden="false" customHeight="true" outlineLevel="0" collapsed="false">
      <c r="A6" s="9" t="s">
        <v>118</v>
      </c>
      <c r="B6" s="9" t="s">
        <v>56</v>
      </c>
      <c r="C6" s="9" t="s">
        <v>119</v>
      </c>
      <c r="D6" s="9" t="s">
        <v>120</v>
      </c>
      <c r="E6" s="9" t="s">
        <v>66</v>
      </c>
      <c r="F6" s="9" t="s">
        <v>53</v>
      </c>
      <c r="G6" s="9" t="s">
        <v>121</v>
      </c>
      <c r="H6" s="9" t="s">
        <v>122</v>
      </c>
      <c r="I6" s="25" t="s">
        <v>123</v>
      </c>
    </row>
    <row r="7" customFormat="false" ht="15" hidden="false" customHeight="false" outlineLevel="0" collapsed="false">
      <c r="A7" s="26" t="s">
        <v>124</v>
      </c>
      <c r="B7" s="26" t="s">
        <v>70</v>
      </c>
      <c r="C7" s="27" t="n">
        <v>46220</v>
      </c>
      <c r="D7" s="27" t="n">
        <v>46222</v>
      </c>
      <c r="E7" s="26" t="s">
        <v>70</v>
      </c>
      <c r="F7" s="26" t="s">
        <v>88</v>
      </c>
      <c r="G7" s="28" t="n">
        <v>100</v>
      </c>
      <c r="H7" s="26"/>
      <c r="I7" s="29" t="str">
        <f aca="false">IF($A7="","",IF(COUNTIFS(tblShipment[Shipment ID],$A7,tblShipment[Item Code],$F7)&gt;1,"Item listed twice",IF(COUNTIFS(tblShipment[Shipment ID],$A7,tblShipment[Market],"&lt;&gt;"&amp;$B7)&gt;0,"Market differs on same shipment",IF($D7&lt;$C7,"Arrival before ship date",IF(AND($E7="Local",$D7&lt;&gt;$C7),"Local: dates must match",IF(N($G7)&lt;=0,"Qty must be more than 0","OK"))))))</f>
        <v>OK</v>
      </c>
    </row>
    <row r="8" customFormat="false" ht="15" hidden="false" customHeight="false" outlineLevel="0" collapsed="false">
      <c r="A8" s="26" t="s">
        <v>124</v>
      </c>
      <c r="B8" s="26" t="s">
        <v>70</v>
      </c>
      <c r="C8" s="27" t="n">
        <v>46220</v>
      </c>
      <c r="D8" s="27" t="n">
        <v>46222</v>
      </c>
      <c r="E8" s="26" t="s">
        <v>70</v>
      </c>
      <c r="F8" s="26" t="s">
        <v>67</v>
      </c>
      <c r="G8" s="28" t="n">
        <v>40</v>
      </c>
      <c r="H8" s="26"/>
      <c r="I8" s="29" t="str">
        <f aca="false">IF($A8="","",IF(COUNTIFS(tblShipment[Shipment ID],$A8,tblShipment[Item Code],$F8)&gt;1,"Item listed twice",IF(COUNTIFS(tblShipment[Shipment ID],$A8,tblShipment[Market],"&lt;&gt;"&amp;$B8)&gt;0,"Market differs on same shipment",IF($D8&lt;$C8,"Arrival before ship date",IF(AND($E8="Local",$D8&lt;&gt;$C8),"Local: dates must match",IF(N($G8)&lt;=0,"Qty must be more than 0","OK"))))))</f>
        <v>OK</v>
      </c>
    </row>
    <row r="9" customFormat="false" ht="15" hidden="false" customHeight="false" outlineLevel="0" collapsed="false">
      <c r="A9" s="26" t="s">
        <v>124</v>
      </c>
      <c r="B9" s="26" t="s">
        <v>70</v>
      </c>
      <c r="C9" s="27" t="n">
        <v>46220</v>
      </c>
      <c r="D9" s="27" t="n">
        <v>46222</v>
      </c>
      <c r="E9" s="26" t="s">
        <v>70</v>
      </c>
      <c r="F9" s="26" t="s">
        <v>94</v>
      </c>
      <c r="G9" s="28" t="n">
        <v>60</v>
      </c>
      <c r="H9" s="26"/>
      <c r="I9" s="29" t="str">
        <f aca="false">IF($A9="","",IF(COUNTIFS(tblShipment[Shipment ID],$A9,tblShipment[Item Code],$F9)&gt;1,"Item listed twice",IF(COUNTIFS(tblShipment[Shipment ID],$A9,tblShipment[Market],"&lt;&gt;"&amp;$B9)&gt;0,"Market differs on same shipment",IF($D9&lt;$C9,"Arrival before ship date",IF(AND($E9="Local",$D9&lt;&gt;$C9),"Local: dates must match",IF(N($G9)&lt;=0,"Qty must be more than 0","OK"))))))</f>
        <v>OK</v>
      </c>
    </row>
    <row r="10" customFormat="false" ht="15" hidden="false" customHeight="false" outlineLevel="0" collapsed="false">
      <c r="A10" s="26" t="s">
        <v>125</v>
      </c>
      <c r="B10" s="26" t="s">
        <v>70</v>
      </c>
      <c r="C10" s="27" t="n">
        <v>46225</v>
      </c>
      <c r="D10" s="27" t="n">
        <v>46227</v>
      </c>
      <c r="E10" s="26" t="s">
        <v>70</v>
      </c>
      <c r="F10" s="26" t="s">
        <v>76</v>
      </c>
      <c r="G10" s="28" t="n">
        <v>100</v>
      </c>
      <c r="H10" s="26"/>
      <c r="I10" s="29" t="str">
        <f aca="false">IF($A10="","",IF(COUNTIFS(tblShipment[Shipment ID],$A10,tblShipment[Item Code],$F10)&gt;1,"Item listed twice",IF(COUNTIFS(tblShipment[Shipment ID],$A10,tblShipment[Market],"&lt;&gt;"&amp;$B10)&gt;0,"Market differs on same shipment",IF($D10&lt;$C10,"Arrival before ship date",IF(AND($E10="Local",$D10&lt;&gt;$C10),"Local: dates must match",IF(N($G10)&lt;=0,"Qty must be more than 0","OK"))))))</f>
        <v>OK</v>
      </c>
    </row>
    <row r="11" customFormat="false" ht="15" hidden="false" customHeight="false" outlineLevel="0" collapsed="false">
      <c r="A11" s="26" t="s">
        <v>125</v>
      </c>
      <c r="B11" s="26" t="s">
        <v>70</v>
      </c>
      <c r="C11" s="27" t="n">
        <v>46225</v>
      </c>
      <c r="D11" s="27" t="n">
        <v>46227</v>
      </c>
      <c r="E11" s="26" t="s">
        <v>70</v>
      </c>
      <c r="F11" s="26" t="s">
        <v>67</v>
      </c>
      <c r="G11" s="28" t="n">
        <v>120</v>
      </c>
      <c r="H11" s="26"/>
      <c r="I11" s="29" t="str">
        <f aca="false">IF($A11="","",IF(COUNTIFS(tblShipment[Shipment ID],$A11,tblShipment[Item Code],$F11)&gt;1,"Item listed twice",IF(COUNTIFS(tblShipment[Shipment ID],$A11,tblShipment[Market],"&lt;&gt;"&amp;$B11)&gt;0,"Market differs on same shipment",IF($D11&lt;$C11,"Arrival before ship date",IF(AND($E11="Local",$D11&lt;&gt;$C11),"Local: dates must match",IF(N($G11)&lt;=0,"Qty must be more than 0","OK"))))))</f>
        <v>OK</v>
      </c>
    </row>
    <row r="12" customFormat="false" ht="15" hidden="false" customHeight="false" outlineLevel="0" collapsed="false">
      <c r="A12" s="26" t="s">
        <v>125</v>
      </c>
      <c r="B12" s="26" t="s">
        <v>70</v>
      </c>
      <c r="C12" s="27" t="n">
        <v>46225</v>
      </c>
      <c r="D12" s="27" t="n">
        <v>46227</v>
      </c>
      <c r="E12" s="26" t="s">
        <v>70</v>
      </c>
      <c r="F12" s="26" t="s">
        <v>99</v>
      </c>
      <c r="G12" s="28" t="n">
        <v>40</v>
      </c>
      <c r="H12" s="26"/>
      <c r="I12" s="29" t="str">
        <f aca="false">IF($A12="","",IF(COUNTIFS(tblShipment[Shipment ID],$A12,tblShipment[Item Code],$F12)&gt;1,"Item listed twice",IF(COUNTIFS(tblShipment[Shipment ID],$A12,tblShipment[Market],"&lt;&gt;"&amp;$B12)&gt;0,"Market differs on same shipment",IF($D12&lt;$C12,"Arrival before ship date",IF(AND($E12="Local",$D12&lt;&gt;$C12),"Local: dates must match",IF(N($G12)&lt;=0,"Qty must be more than 0","OK"))))))</f>
        <v>OK</v>
      </c>
    </row>
    <row r="13" customFormat="false" ht="15" hidden="false" customHeight="false" outlineLevel="0" collapsed="false">
      <c r="A13" s="26" t="s">
        <v>125</v>
      </c>
      <c r="B13" s="26" t="s">
        <v>70</v>
      </c>
      <c r="C13" s="27" t="n">
        <v>46225</v>
      </c>
      <c r="D13" s="27" t="n">
        <v>46227</v>
      </c>
      <c r="E13" s="26" t="s">
        <v>70</v>
      </c>
      <c r="F13" s="26" t="s">
        <v>88</v>
      </c>
      <c r="G13" s="28" t="n">
        <v>100</v>
      </c>
      <c r="H13" s="26"/>
      <c r="I13" s="29" t="str">
        <f aca="false">IF($A13="","",IF(COUNTIFS(tblShipment[Shipment ID],$A13,tblShipment[Item Code],$F13)&gt;1,"Item listed twice",IF(COUNTIFS(tblShipment[Shipment ID],$A13,tblShipment[Market],"&lt;&gt;"&amp;$B13)&gt;0,"Market differs on same shipment",IF($D13&lt;$C13,"Arrival before ship date",IF(AND($E13="Local",$D13&lt;&gt;$C13),"Local: dates must match",IF(N($G13)&lt;=0,"Qty must be more than 0","OK"))))))</f>
        <v>OK</v>
      </c>
    </row>
    <row r="14" customFormat="false" ht="15" hidden="false" customHeight="false" outlineLevel="0" collapsed="false">
      <c r="A14" s="26" t="s">
        <v>125</v>
      </c>
      <c r="B14" s="26" t="s">
        <v>70</v>
      </c>
      <c r="C14" s="27" t="n">
        <v>46225</v>
      </c>
      <c r="D14" s="27" t="n">
        <v>46227</v>
      </c>
      <c r="E14" s="26" t="s">
        <v>70</v>
      </c>
      <c r="F14" s="26" t="s">
        <v>94</v>
      </c>
      <c r="G14" s="28" t="n">
        <v>40</v>
      </c>
      <c r="H14" s="26"/>
      <c r="I14" s="29" t="str">
        <f aca="false">IF($A14="","",IF(COUNTIFS(tblShipment[Shipment ID],$A14,tblShipment[Item Code],$F14)&gt;1,"Item listed twice",IF(COUNTIFS(tblShipment[Shipment ID],$A14,tblShipment[Market],"&lt;&gt;"&amp;$B14)&gt;0,"Market differs on same shipment",IF($D14&lt;$C14,"Arrival before ship date",IF(AND($E14="Local",$D14&lt;&gt;$C14),"Local: dates must match",IF(N($G14)&lt;=0,"Qty must be more than 0","OK"))))))</f>
        <v>OK</v>
      </c>
    </row>
    <row r="15" customFormat="false" ht="15" hidden="false" customHeight="false" outlineLevel="0" collapsed="false">
      <c r="A15" s="26" t="s">
        <v>126</v>
      </c>
      <c r="B15" s="26" t="s">
        <v>70</v>
      </c>
      <c r="C15" s="27" t="n">
        <v>46230</v>
      </c>
      <c r="D15" s="27" t="n">
        <v>46232</v>
      </c>
      <c r="E15" s="26" t="s">
        <v>70</v>
      </c>
      <c r="F15" s="26" t="s">
        <v>94</v>
      </c>
      <c r="G15" s="28" t="n">
        <v>40</v>
      </c>
      <c r="H15" s="26"/>
      <c r="I15" s="29" t="str">
        <f aca="false">IF($A15="","",IF(COUNTIFS(tblShipment[Shipment ID],$A15,tblShipment[Item Code],$F15)&gt;1,"Item listed twice",IF(COUNTIFS(tblShipment[Shipment ID],$A15,tblShipment[Market],"&lt;&gt;"&amp;$B15)&gt;0,"Market differs on same shipment",IF($D15&lt;$C15,"Arrival before ship date",IF(AND($E15="Local",$D15&lt;&gt;$C15),"Local: dates must match",IF(N($G15)&lt;=0,"Qty must be more than 0","OK"))))))</f>
        <v>OK</v>
      </c>
    </row>
    <row r="16" customFormat="false" ht="15" hidden="false" customHeight="false" outlineLevel="0" collapsed="false">
      <c r="A16" s="26" t="s">
        <v>126</v>
      </c>
      <c r="B16" s="26" t="s">
        <v>70</v>
      </c>
      <c r="C16" s="27" t="n">
        <v>46230</v>
      </c>
      <c r="D16" s="27" t="n">
        <v>46232</v>
      </c>
      <c r="E16" s="26" t="s">
        <v>70</v>
      </c>
      <c r="F16" s="26" t="s">
        <v>88</v>
      </c>
      <c r="G16" s="28" t="n">
        <v>60</v>
      </c>
      <c r="H16" s="26"/>
      <c r="I16" s="29" t="str">
        <f aca="false">IF($A16="","",IF(COUNTIFS(tblShipment[Shipment ID],$A16,tblShipment[Item Code],$F16)&gt;1,"Item listed twice",IF(COUNTIFS(tblShipment[Shipment ID],$A16,tblShipment[Market],"&lt;&gt;"&amp;$B16)&gt;0,"Market differs on same shipment",IF($D16&lt;$C16,"Arrival before ship date",IF(AND($E16="Local",$D16&lt;&gt;$C16),"Local: dates must match",IF(N($G16)&lt;=0,"Qty must be more than 0","OK"))))))</f>
        <v>OK</v>
      </c>
    </row>
    <row r="17" customFormat="false" ht="15" hidden="false" customHeight="false" outlineLevel="0" collapsed="false">
      <c r="A17" s="26" t="s">
        <v>126</v>
      </c>
      <c r="B17" s="26" t="s">
        <v>70</v>
      </c>
      <c r="C17" s="27" t="n">
        <v>46230</v>
      </c>
      <c r="D17" s="27" t="n">
        <v>46232</v>
      </c>
      <c r="E17" s="26" t="s">
        <v>70</v>
      </c>
      <c r="F17" s="26" t="s">
        <v>99</v>
      </c>
      <c r="G17" s="28" t="n">
        <v>80</v>
      </c>
      <c r="H17" s="26"/>
      <c r="I17" s="29" t="str">
        <f aca="false">IF($A17="","",IF(COUNTIFS(tblShipment[Shipment ID],$A17,tblShipment[Item Code],$F17)&gt;1,"Item listed twice",IF(COUNTIFS(tblShipment[Shipment ID],$A17,tblShipment[Market],"&lt;&gt;"&amp;$B17)&gt;0,"Market differs on same shipment",IF($D17&lt;$C17,"Arrival before ship date",IF(AND($E17="Local",$D17&lt;&gt;$C17),"Local: dates must match",IF(N($G17)&lt;=0,"Qty must be more than 0","OK"))))))</f>
        <v>OK</v>
      </c>
    </row>
    <row r="18" customFormat="false" ht="15" hidden="false" customHeight="false" outlineLevel="0" collapsed="false">
      <c r="A18" s="26" t="s">
        <v>126</v>
      </c>
      <c r="B18" s="26" t="s">
        <v>70</v>
      </c>
      <c r="C18" s="27" t="n">
        <v>46230</v>
      </c>
      <c r="D18" s="27" t="n">
        <v>46232</v>
      </c>
      <c r="E18" s="26" t="s">
        <v>70</v>
      </c>
      <c r="F18" s="26" t="s">
        <v>67</v>
      </c>
      <c r="G18" s="28" t="n">
        <v>120</v>
      </c>
      <c r="H18" s="26"/>
      <c r="I18" s="29" t="str">
        <f aca="false">IF($A18="","",IF(COUNTIFS(tblShipment[Shipment ID],$A18,tblShipment[Item Code],$F18)&gt;1,"Item listed twice",IF(COUNTIFS(tblShipment[Shipment ID],$A18,tblShipment[Market],"&lt;&gt;"&amp;$B18)&gt;0,"Market differs on same shipment",IF($D18&lt;$C18,"Arrival before ship date",IF(AND($E18="Local",$D18&lt;&gt;$C18),"Local: dates must match",IF(N($G18)&lt;=0,"Qty must be more than 0","OK"))))))</f>
        <v>OK</v>
      </c>
    </row>
    <row r="19" customFormat="false" ht="15" hidden="false" customHeight="false" outlineLevel="0" collapsed="false">
      <c r="A19" s="26" t="s">
        <v>127</v>
      </c>
      <c r="B19" s="26" t="s">
        <v>70</v>
      </c>
      <c r="C19" s="27" t="n">
        <v>46235</v>
      </c>
      <c r="D19" s="27" t="n">
        <v>46237</v>
      </c>
      <c r="E19" s="26" t="s">
        <v>70</v>
      </c>
      <c r="F19" s="26" t="s">
        <v>99</v>
      </c>
      <c r="G19" s="28" t="n">
        <v>80</v>
      </c>
      <c r="H19" s="26"/>
      <c r="I19" s="29" t="str">
        <f aca="false">IF($A19="","",IF(COUNTIFS(tblShipment[Shipment ID],$A19,tblShipment[Item Code],$F19)&gt;1,"Item listed twice",IF(COUNTIFS(tblShipment[Shipment ID],$A19,tblShipment[Market],"&lt;&gt;"&amp;$B19)&gt;0,"Market differs on same shipment",IF($D19&lt;$C19,"Arrival before ship date",IF(AND($E19="Local",$D19&lt;&gt;$C19),"Local: dates must match",IF(N($G19)&lt;=0,"Qty must be more than 0","OK"))))))</f>
        <v>OK</v>
      </c>
    </row>
    <row r="20" customFormat="false" ht="15" hidden="false" customHeight="false" outlineLevel="0" collapsed="false">
      <c r="A20" s="26" t="s">
        <v>127</v>
      </c>
      <c r="B20" s="26" t="s">
        <v>70</v>
      </c>
      <c r="C20" s="27" t="n">
        <v>46235</v>
      </c>
      <c r="D20" s="27" t="n">
        <v>46237</v>
      </c>
      <c r="E20" s="26" t="s">
        <v>70</v>
      </c>
      <c r="F20" s="26" t="s">
        <v>88</v>
      </c>
      <c r="G20" s="28" t="n">
        <v>50</v>
      </c>
      <c r="H20" s="26"/>
      <c r="I20" s="29" t="str">
        <f aca="false">IF($A20="","",IF(COUNTIFS(tblShipment[Shipment ID],$A20,tblShipment[Item Code],$F20)&gt;1,"Item listed twice",IF(COUNTIFS(tblShipment[Shipment ID],$A20,tblShipment[Market],"&lt;&gt;"&amp;$B20)&gt;0,"Market differs on same shipment",IF($D20&lt;$C20,"Arrival before ship date",IF(AND($E20="Local",$D20&lt;&gt;$C20),"Local: dates must match",IF(N($G20)&lt;=0,"Qty must be more than 0","OK"))))))</f>
        <v>OK</v>
      </c>
    </row>
    <row r="21" customFormat="false" ht="15" hidden="false" customHeight="false" outlineLevel="0" collapsed="false">
      <c r="A21" s="26" t="s">
        <v>127</v>
      </c>
      <c r="B21" s="26" t="s">
        <v>70</v>
      </c>
      <c r="C21" s="27" t="n">
        <v>46235</v>
      </c>
      <c r="D21" s="27" t="n">
        <v>46237</v>
      </c>
      <c r="E21" s="26" t="s">
        <v>70</v>
      </c>
      <c r="F21" s="26" t="s">
        <v>83</v>
      </c>
      <c r="G21" s="28" t="n">
        <v>50</v>
      </c>
      <c r="H21" s="26"/>
      <c r="I21" s="29" t="str">
        <f aca="false">IF($A21="","",IF(COUNTIFS(tblShipment[Shipment ID],$A21,tblShipment[Item Code],$F21)&gt;1,"Item listed twice",IF(COUNTIFS(tblShipment[Shipment ID],$A21,tblShipment[Market],"&lt;&gt;"&amp;$B21)&gt;0,"Market differs on same shipment",IF($D21&lt;$C21,"Arrival before ship date",IF(AND($E21="Local",$D21&lt;&gt;$C21),"Local: dates must match",IF(N($G21)&lt;=0,"Qty must be more than 0","OK"))))))</f>
        <v>OK</v>
      </c>
    </row>
    <row r="22" customFormat="false" ht="15" hidden="false" customHeight="false" outlineLevel="0" collapsed="false">
      <c r="A22" s="26" t="s">
        <v>127</v>
      </c>
      <c r="B22" s="26" t="s">
        <v>70</v>
      </c>
      <c r="C22" s="27" t="n">
        <v>46235</v>
      </c>
      <c r="D22" s="27" t="n">
        <v>46237</v>
      </c>
      <c r="E22" s="26" t="s">
        <v>70</v>
      </c>
      <c r="F22" s="26" t="s">
        <v>94</v>
      </c>
      <c r="G22" s="28" t="n">
        <v>40</v>
      </c>
      <c r="H22" s="26"/>
      <c r="I22" s="29" t="str">
        <f aca="false">IF($A22="","",IF(COUNTIFS(tblShipment[Shipment ID],$A22,tblShipment[Item Code],$F22)&gt;1,"Item listed twice",IF(COUNTIFS(tblShipment[Shipment ID],$A22,tblShipment[Market],"&lt;&gt;"&amp;$B22)&gt;0,"Market differs on same shipment",IF($D22&lt;$C22,"Arrival before ship date",IF(AND($E22="Local",$D22&lt;&gt;$C22),"Local: dates must match",IF(N($G22)&lt;=0,"Qty must be more than 0","OK"))))))</f>
        <v>OK</v>
      </c>
    </row>
    <row r="23" customFormat="false" ht="15" hidden="false" customHeight="false" outlineLevel="0" collapsed="false">
      <c r="A23" s="26" t="s">
        <v>128</v>
      </c>
      <c r="B23" s="26" t="s">
        <v>70</v>
      </c>
      <c r="C23" s="27" t="n">
        <v>46238</v>
      </c>
      <c r="D23" s="27" t="n">
        <v>46240</v>
      </c>
      <c r="E23" s="26" t="s">
        <v>70</v>
      </c>
      <c r="F23" s="26" t="s">
        <v>88</v>
      </c>
      <c r="G23" s="28" t="n">
        <v>60</v>
      </c>
      <c r="H23" s="26"/>
      <c r="I23" s="29" t="str">
        <f aca="false">IF($A23="","",IF(COUNTIFS(tblShipment[Shipment ID],$A23,tblShipment[Item Code],$F23)&gt;1,"Item listed twice",IF(COUNTIFS(tblShipment[Shipment ID],$A23,tblShipment[Market],"&lt;&gt;"&amp;$B23)&gt;0,"Market differs on same shipment",IF($D23&lt;$C23,"Arrival before ship date",IF(AND($E23="Local",$D23&lt;&gt;$C23),"Local: dates must match",IF(N($G23)&lt;=0,"Qty must be more than 0","OK"))))))</f>
        <v>OK</v>
      </c>
    </row>
    <row r="24" customFormat="false" ht="15" hidden="false" customHeight="false" outlineLevel="0" collapsed="false">
      <c r="A24" s="26" t="s">
        <v>128</v>
      </c>
      <c r="B24" s="26" t="s">
        <v>70</v>
      </c>
      <c r="C24" s="27" t="n">
        <v>46238</v>
      </c>
      <c r="D24" s="27" t="n">
        <v>46240</v>
      </c>
      <c r="E24" s="26" t="s">
        <v>70</v>
      </c>
      <c r="F24" s="26" t="s">
        <v>76</v>
      </c>
      <c r="G24" s="28" t="n">
        <v>100</v>
      </c>
      <c r="H24" s="26"/>
      <c r="I24" s="29" t="str">
        <f aca="false">IF($A24="","",IF(COUNTIFS(tblShipment[Shipment ID],$A24,tblShipment[Item Code],$F24)&gt;1,"Item listed twice",IF(COUNTIFS(tblShipment[Shipment ID],$A24,tblShipment[Market],"&lt;&gt;"&amp;$B24)&gt;0,"Market differs on same shipment",IF($D24&lt;$C24,"Arrival before ship date",IF(AND($E24="Local",$D24&lt;&gt;$C24),"Local: dates must match",IF(N($G24)&lt;=0,"Qty must be more than 0","OK"))))))</f>
        <v>OK</v>
      </c>
    </row>
    <row r="25" customFormat="false" ht="15" hidden="false" customHeight="false" outlineLevel="0" collapsed="false">
      <c r="A25" s="26" t="s">
        <v>128</v>
      </c>
      <c r="B25" s="26" t="s">
        <v>70</v>
      </c>
      <c r="C25" s="27" t="n">
        <v>46238</v>
      </c>
      <c r="D25" s="27" t="n">
        <v>46240</v>
      </c>
      <c r="E25" s="26" t="s">
        <v>70</v>
      </c>
      <c r="F25" s="26" t="s">
        <v>67</v>
      </c>
      <c r="G25" s="28" t="n">
        <v>40</v>
      </c>
      <c r="H25" s="26"/>
      <c r="I25" s="29" t="str">
        <f aca="false">IF($A25="","",IF(COUNTIFS(tblShipment[Shipment ID],$A25,tblShipment[Item Code],$F25)&gt;1,"Item listed twice",IF(COUNTIFS(tblShipment[Shipment ID],$A25,tblShipment[Market],"&lt;&gt;"&amp;$B25)&gt;0,"Market differs on same shipment",IF($D25&lt;$C25,"Arrival before ship date",IF(AND($E25="Local",$D25&lt;&gt;$C25),"Local: dates must match",IF(N($G25)&lt;=0,"Qty must be more than 0","OK"))))))</f>
        <v>OK</v>
      </c>
    </row>
    <row r="26" customFormat="false" ht="15" hidden="false" customHeight="false" outlineLevel="0" collapsed="false">
      <c r="A26" s="26" t="s">
        <v>129</v>
      </c>
      <c r="B26" s="26" t="s">
        <v>70</v>
      </c>
      <c r="C26" s="27" t="n">
        <v>46242</v>
      </c>
      <c r="D26" s="27" t="n">
        <v>46244</v>
      </c>
      <c r="E26" s="26" t="s">
        <v>70</v>
      </c>
      <c r="F26" s="26" t="s">
        <v>76</v>
      </c>
      <c r="G26" s="28" t="n">
        <v>120</v>
      </c>
      <c r="H26" s="26"/>
      <c r="I26" s="29" t="str">
        <f aca="false">IF($A26="","",IF(COUNTIFS(tblShipment[Shipment ID],$A26,tblShipment[Item Code],$F26)&gt;1,"Item listed twice",IF(COUNTIFS(tblShipment[Shipment ID],$A26,tblShipment[Market],"&lt;&gt;"&amp;$B26)&gt;0,"Market differs on same shipment",IF($D26&lt;$C26,"Arrival before ship date",IF(AND($E26="Local",$D26&lt;&gt;$C26),"Local: dates must match",IF(N($G26)&lt;=0,"Qty must be more than 0","OK"))))))</f>
        <v>OK</v>
      </c>
    </row>
    <row r="27" customFormat="false" ht="15" hidden="false" customHeight="false" outlineLevel="0" collapsed="false">
      <c r="A27" s="26" t="s">
        <v>129</v>
      </c>
      <c r="B27" s="26" t="s">
        <v>70</v>
      </c>
      <c r="C27" s="27" t="n">
        <v>46242</v>
      </c>
      <c r="D27" s="27" t="n">
        <v>46244</v>
      </c>
      <c r="E27" s="26" t="s">
        <v>70</v>
      </c>
      <c r="F27" s="26" t="s">
        <v>67</v>
      </c>
      <c r="G27" s="28" t="n">
        <v>60</v>
      </c>
      <c r="H27" s="26"/>
      <c r="I27" s="29" t="str">
        <f aca="false">IF($A27="","",IF(COUNTIFS(tblShipment[Shipment ID],$A27,tblShipment[Item Code],$F27)&gt;1,"Item listed twice",IF(COUNTIFS(tblShipment[Shipment ID],$A27,tblShipment[Market],"&lt;&gt;"&amp;$B27)&gt;0,"Market differs on same shipment",IF($D27&lt;$C27,"Arrival before ship date",IF(AND($E27="Local",$D27&lt;&gt;$C27),"Local: dates must match",IF(N($G27)&lt;=0,"Qty must be more than 0","OK"))))))</f>
        <v>OK</v>
      </c>
    </row>
    <row r="28" customFormat="false" ht="15" hidden="false" customHeight="false" outlineLevel="0" collapsed="false">
      <c r="A28" s="26" t="s">
        <v>129</v>
      </c>
      <c r="B28" s="26" t="s">
        <v>70</v>
      </c>
      <c r="C28" s="27" t="n">
        <v>46242</v>
      </c>
      <c r="D28" s="27" t="n">
        <v>46244</v>
      </c>
      <c r="E28" s="26" t="s">
        <v>70</v>
      </c>
      <c r="F28" s="26" t="s">
        <v>83</v>
      </c>
      <c r="G28" s="28" t="n">
        <v>80</v>
      </c>
      <c r="H28" s="26"/>
      <c r="I28" s="29" t="str">
        <f aca="false">IF($A28="","",IF(COUNTIFS(tblShipment[Shipment ID],$A28,tblShipment[Item Code],$F28)&gt;1,"Item listed twice",IF(COUNTIFS(tblShipment[Shipment ID],$A28,tblShipment[Market],"&lt;&gt;"&amp;$B28)&gt;0,"Market differs on same shipment",IF($D28&lt;$C28,"Arrival before ship date",IF(AND($E28="Local",$D28&lt;&gt;$C28),"Local: dates must match",IF(N($G28)&lt;=0,"Qty must be more than 0","OK"))))))</f>
        <v>OK</v>
      </c>
    </row>
    <row r="29" customFormat="false" ht="15" hidden="false" customHeight="false" outlineLevel="0" collapsed="false">
      <c r="A29" s="26" t="s">
        <v>130</v>
      </c>
      <c r="B29" s="26" t="s">
        <v>70</v>
      </c>
      <c r="C29" s="27" t="n">
        <v>46247</v>
      </c>
      <c r="D29" s="27" t="n">
        <v>46249</v>
      </c>
      <c r="E29" s="26" t="s">
        <v>70</v>
      </c>
      <c r="F29" s="26" t="s">
        <v>94</v>
      </c>
      <c r="G29" s="28" t="n">
        <v>80</v>
      </c>
      <c r="H29" s="26"/>
      <c r="I29" s="29" t="str">
        <f aca="false">IF($A29="","",IF(COUNTIFS(tblShipment[Shipment ID],$A29,tblShipment[Item Code],$F29)&gt;1,"Item listed twice",IF(COUNTIFS(tblShipment[Shipment ID],$A29,tblShipment[Market],"&lt;&gt;"&amp;$B29)&gt;0,"Market differs on same shipment",IF($D29&lt;$C29,"Arrival before ship date",IF(AND($E29="Local",$D29&lt;&gt;$C29),"Local: dates must match",IF(N($G29)&lt;=0,"Qty must be more than 0","OK"))))))</f>
        <v>OK</v>
      </c>
    </row>
    <row r="30" customFormat="false" ht="15" hidden="false" customHeight="false" outlineLevel="0" collapsed="false">
      <c r="A30" s="26" t="s">
        <v>130</v>
      </c>
      <c r="B30" s="26" t="s">
        <v>70</v>
      </c>
      <c r="C30" s="27" t="n">
        <v>46247</v>
      </c>
      <c r="D30" s="27" t="n">
        <v>46249</v>
      </c>
      <c r="E30" s="26" t="s">
        <v>70</v>
      </c>
      <c r="F30" s="26" t="s">
        <v>76</v>
      </c>
      <c r="G30" s="28" t="n">
        <v>120</v>
      </c>
      <c r="H30" s="26"/>
      <c r="I30" s="29" t="str">
        <f aca="false">IF($A30="","",IF(COUNTIFS(tblShipment[Shipment ID],$A30,tblShipment[Item Code],$F30)&gt;1,"Item listed twice",IF(COUNTIFS(tblShipment[Shipment ID],$A30,tblShipment[Market],"&lt;&gt;"&amp;$B30)&gt;0,"Market differs on same shipment",IF($D30&lt;$C30,"Arrival before ship date",IF(AND($E30="Local",$D30&lt;&gt;$C30),"Local: dates must match",IF(N($G30)&lt;=0,"Qty must be more than 0","OK"))))))</f>
        <v>OK</v>
      </c>
    </row>
    <row r="31" customFormat="false" ht="15" hidden="false" customHeight="false" outlineLevel="0" collapsed="false">
      <c r="A31" s="26" t="s">
        <v>130</v>
      </c>
      <c r="B31" s="26" t="s">
        <v>70</v>
      </c>
      <c r="C31" s="27" t="n">
        <v>46247</v>
      </c>
      <c r="D31" s="27" t="n">
        <v>46249</v>
      </c>
      <c r="E31" s="26" t="s">
        <v>70</v>
      </c>
      <c r="F31" s="26" t="s">
        <v>99</v>
      </c>
      <c r="G31" s="28" t="n">
        <v>50</v>
      </c>
      <c r="H31" s="26"/>
      <c r="I31" s="29" t="str">
        <f aca="false">IF($A31="","",IF(COUNTIFS(tblShipment[Shipment ID],$A31,tblShipment[Item Code],$F31)&gt;1,"Item listed twice",IF(COUNTIFS(tblShipment[Shipment ID],$A31,tblShipment[Market],"&lt;&gt;"&amp;$B31)&gt;0,"Market differs on same shipment",IF($D31&lt;$C31,"Arrival before ship date",IF(AND($E31="Local",$D31&lt;&gt;$C31),"Local: dates must match",IF(N($G31)&lt;=0,"Qty must be more than 0","OK"))))))</f>
        <v>OK</v>
      </c>
    </row>
    <row r="32" customFormat="false" ht="15" hidden="false" customHeight="false" outlineLevel="0" collapsed="false">
      <c r="A32" s="26" t="s">
        <v>131</v>
      </c>
      <c r="B32" s="26" t="s">
        <v>78</v>
      </c>
      <c r="C32" s="27" t="n">
        <v>46219</v>
      </c>
      <c r="D32" s="27" t="n">
        <v>46221</v>
      </c>
      <c r="E32" s="26" t="s">
        <v>70</v>
      </c>
      <c r="F32" s="26" t="s">
        <v>76</v>
      </c>
      <c r="G32" s="28" t="n">
        <v>100</v>
      </c>
      <c r="H32" s="26"/>
      <c r="I32" s="29" t="str">
        <f aca="false">IF($A32="","",IF(COUNTIFS(tblShipment[Shipment ID],$A32,tblShipment[Item Code],$F32)&gt;1,"Item listed twice",IF(COUNTIFS(tblShipment[Shipment ID],$A32,tblShipment[Market],"&lt;&gt;"&amp;$B32)&gt;0,"Market differs on same shipment",IF($D32&lt;$C32,"Arrival before ship date",IF(AND($E32="Local",$D32&lt;&gt;$C32),"Local: dates must match",IF(N($G32)&lt;=0,"Qty must be more than 0","OK"))))))</f>
        <v>OK</v>
      </c>
    </row>
    <row r="33" customFormat="false" ht="15" hidden="false" customHeight="false" outlineLevel="0" collapsed="false">
      <c r="A33" s="26" t="s">
        <v>131</v>
      </c>
      <c r="B33" s="26" t="s">
        <v>78</v>
      </c>
      <c r="C33" s="27" t="n">
        <v>46219</v>
      </c>
      <c r="D33" s="27" t="n">
        <v>46221</v>
      </c>
      <c r="E33" s="26" t="s">
        <v>70</v>
      </c>
      <c r="F33" s="26" t="s">
        <v>83</v>
      </c>
      <c r="G33" s="28" t="n">
        <v>100</v>
      </c>
      <c r="H33" s="26"/>
      <c r="I33" s="29" t="str">
        <f aca="false">IF($A33="","",IF(COUNTIFS(tblShipment[Shipment ID],$A33,tblShipment[Item Code],$F33)&gt;1,"Item listed twice",IF(COUNTIFS(tblShipment[Shipment ID],$A33,tblShipment[Market],"&lt;&gt;"&amp;$B33)&gt;0,"Market differs on same shipment",IF($D33&lt;$C33,"Arrival before ship date",IF(AND($E33="Local",$D33&lt;&gt;$C33),"Local: dates must match",IF(N($G33)&lt;=0,"Qty must be more than 0","OK"))))))</f>
        <v>OK</v>
      </c>
    </row>
    <row r="34" customFormat="false" ht="15" hidden="false" customHeight="false" outlineLevel="0" collapsed="false">
      <c r="A34" s="26" t="s">
        <v>131</v>
      </c>
      <c r="B34" s="26" t="s">
        <v>78</v>
      </c>
      <c r="C34" s="27" t="n">
        <v>46219</v>
      </c>
      <c r="D34" s="27" t="n">
        <v>46221</v>
      </c>
      <c r="E34" s="26" t="s">
        <v>70</v>
      </c>
      <c r="F34" s="26" t="s">
        <v>99</v>
      </c>
      <c r="G34" s="28" t="n">
        <v>40</v>
      </c>
      <c r="H34" s="26"/>
      <c r="I34" s="29" t="str">
        <f aca="false">IF($A34="","",IF(COUNTIFS(tblShipment[Shipment ID],$A34,tblShipment[Item Code],$F34)&gt;1,"Item listed twice",IF(COUNTIFS(tblShipment[Shipment ID],$A34,tblShipment[Market],"&lt;&gt;"&amp;$B34)&gt;0,"Market differs on same shipment",IF($D34&lt;$C34,"Arrival before ship date",IF(AND($E34="Local",$D34&lt;&gt;$C34),"Local: dates must match",IF(N($G34)&lt;=0,"Qty must be more than 0","OK"))))))</f>
        <v>OK</v>
      </c>
    </row>
    <row r="35" customFormat="false" ht="15" hidden="false" customHeight="false" outlineLevel="0" collapsed="false">
      <c r="A35" s="26" t="s">
        <v>131</v>
      </c>
      <c r="B35" s="26" t="s">
        <v>78</v>
      </c>
      <c r="C35" s="27" t="n">
        <v>46221</v>
      </c>
      <c r="D35" s="27" t="n">
        <v>46221</v>
      </c>
      <c r="E35" s="26" t="s">
        <v>82</v>
      </c>
      <c r="F35" s="26" t="s">
        <v>88</v>
      </c>
      <c r="G35" s="28" t="n">
        <v>80</v>
      </c>
      <c r="H35" s="26"/>
      <c r="I35" s="29" t="str">
        <f aca="false">IF($A35="","",IF(COUNTIFS(tblShipment[Shipment ID],$A35,tblShipment[Item Code],$F35)&gt;1,"Item listed twice",IF(COUNTIFS(tblShipment[Shipment ID],$A35,tblShipment[Market],"&lt;&gt;"&amp;$B35)&gt;0,"Market differs on same shipment",IF($D35&lt;$C35,"Arrival before ship date",IF(AND($E35="Local",$D35&lt;&gt;$C35),"Local: dates must match",IF(N($G35)&lt;=0,"Qty must be more than 0","OK"))))))</f>
        <v>OK</v>
      </c>
    </row>
    <row r="36" customFormat="false" ht="15" hidden="false" customHeight="false" outlineLevel="0" collapsed="false">
      <c r="A36" s="26" t="s">
        <v>132</v>
      </c>
      <c r="B36" s="26" t="s">
        <v>78</v>
      </c>
      <c r="C36" s="27" t="n">
        <v>46223</v>
      </c>
      <c r="D36" s="27" t="n">
        <v>46225</v>
      </c>
      <c r="E36" s="26" t="s">
        <v>70</v>
      </c>
      <c r="F36" s="26" t="s">
        <v>83</v>
      </c>
      <c r="G36" s="28" t="n">
        <v>100</v>
      </c>
      <c r="H36" s="26"/>
      <c r="I36" s="29" t="str">
        <f aca="false">IF($A36="","",IF(COUNTIFS(tblShipment[Shipment ID],$A36,tblShipment[Item Code],$F36)&gt;1,"Item listed twice",IF(COUNTIFS(tblShipment[Shipment ID],$A36,tblShipment[Market],"&lt;&gt;"&amp;$B36)&gt;0,"Market differs on same shipment",IF($D36&lt;$C36,"Arrival before ship date",IF(AND($E36="Local",$D36&lt;&gt;$C36),"Local: dates must match",IF(N($G36)&lt;=0,"Qty must be more than 0","OK"))))))</f>
        <v>OK</v>
      </c>
    </row>
    <row r="37" customFormat="false" ht="15" hidden="false" customHeight="false" outlineLevel="0" collapsed="false">
      <c r="A37" s="26" t="s">
        <v>132</v>
      </c>
      <c r="B37" s="26" t="s">
        <v>78</v>
      </c>
      <c r="C37" s="27" t="n">
        <v>46223</v>
      </c>
      <c r="D37" s="27" t="n">
        <v>46225</v>
      </c>
      <c r="E37" s="26" t="s">
        <v>70</v>
      </c>
      <c r="F37" s="26" t="s">
        <v>94</v>
      </c>
      <c r="G37" s="28" t="n">
        <v>60</v>
      </c>
      <c r="H37" s="26"/>
      <c r="I37" s="29" t="str">
        <f aca="false">IF($A37="","",IF(COUNTIFS(tblShipment[Shipment ID],$A37,tblShipment[Item Code],$F37)&gt;1,"Item listed twice",IF(COUNTIFS(tblShipment[Shipment ID],$A37,tblShipment[Market],"&lt;&gt;"&amp;$B37)&gt;0,"Market differs on same shipment",IF($D37&lt;$C37,"Arrival before ship date",IF(AND($E37="Local",$D37&lt;&gt;$C37),"Local: dates must match",IF(N($G37)&lt;=0,"Qty must be more than 0","OK"))))))</f>
        <v>OK</v>
      </c>
    </row>
    <row r="38" customFormat="false" ht="15" hidden="false" customHeight="false" outlineLevel="0" collapsed="false">
      <c r="A38" s="26" t="s">
        <v>132</v>
      </c>
      <c r="B38" s="26" t="s">
        <v>78</v>
      </c>
      <c r="C38" s="27" t="n">
        <v>46223</v>
      </c>
      <c r="D38" s="27" t="n">
        <v>46225</v>
      </c>
      <c r="E38" s="26" t="s">
        <v>70</v>
      </c>
      <c r="F38" s="26" t="s">
        <v>76</v>
      </c>
      <c r="G38" s="28" t="n">
        <v>60</v>
      </c>
      <c r="H38" s="26"/>
      <c r="I38" s="29" t="str">
        <f aca="false">IF($A38="","",IF(COUNTIFS(tblShipment[Shipment ID],$A38,tblShipment[Item Code],$F38)&gt;1,"Item listed twice",IF(COUNTIFS(tblShipment[Shipment ID],$A38,tblShipment[Market],"&lt;&gt;"&amp;$B38)&gt;0,"Market differs on same shipment",IF($D38&lt;$C38,"Arrival before ship date",IF(AND($E38="Local",$D38&lt;&gt;$C38),"Local: dates must match",IF(N($G38)&lt;=0,"Qty must be more than 0","OK"))))))</f>
        <v>OK</v>
      </c>
    </row>
    <row r="39" customFormat="false" ht="15" hidden="false" customHeight="false" outlineLevel="0" collapsed="false">
      <c r="A39" s="26" t="s">
        <v>133</v>
      </c>
      <c r="B39" s="26" t="s">
        <v>78</v>
      </c>
      <c r="C39" s="27" t="n">
        <v>46228</v>
      </c>
      <c r="D39" s="27" t="n">
        <v>46230</v>
      </c>
      <c r="E39" s="26" t="s">
        <v>70</v>
      </c>
      <c r="F39" s="26" t="s">
        <v>94</v>
      </c>
      <c r="G39" s="28" t="n">
        <v>60</v>
      </c>
      <c r="H39" s="26"/>
      <c r="I39" s="29" t="str">
        <f aca="false">IF($A39="","",IF(COUNTIFS(tblShipment[Shipment ID],$A39,tblShipment[Item Code],$F39)&gt;1,"Item listed twice",IF(COUNTIFS(tblShipment[Shipment ID],$A39,tblShipment[Market],"&lt;&gt;"&amp;$B39)&gt;0,"Market differs on same shipment",IF($D39&lt;$C39,"Arrival before ship date",IF(AND($E39="Local",$D39&lt;&gt;$C39),"Local: dates must match",IF(N($G39)&lt;=0,"Qty must be more than 0","OK"))))))</f>
        <v>OK</v>
      </c>
    </row>
    <row r="40" customFormat="false" ht="15" hidden="false" customHeight="false" outlineLevel="0" collapsed="false">
      <c r="A40" s="26" t="s">
        <v>133</v>
      </c>
      <c r="B40" s="26" t="s">
        <v>78</v>
      </c>
      <c r="C40" s="27" t="n">
        <v>46228</v>
      </c>
      <c r="D40" s="27" t="n">
        <v>46230</v>
      </c>
      <c r="E40" s="26" t="s">
        <v>70</v>
      </c>
      <c r="F40" s="26" t="s">
        <v>67</v>
      </c>
      <c r="G40" s="28" t="n">
        <v>100</v>
      </c>
      <c r="H40" s="26"/>
      <c r="I40" s="29" t="str">
        <f aca="false">IF($A40="","",IF(COUNTIFS(tblShipment[Shipment ID],$A40,tblShipment[Item Code],$F40)&gt;1,"Item listed twice",IF(COUNTIFS(tblShipment[Shipment ID],$A40,tblShipment[Market],"&lt;&gt;"&amp;$B40)&gt;0,"Market differs on same shipment",IF($D40&lt;$C40,"Arrival before ship date",IF(AND($E40="Local",$D40&lt;&gt;$C40),"Local: dates must match",IF(N($G40)&lt;=0,"Qty must be more than 0","OK"))))))</f>
        <v>OK</v>
      </c>
    </row>
    <row r="41" customFormat="false" ht="15" hidden="false" customHeight="false" outlineLevel="0" collapsed="false">
      <c r="A41" s="26" t="s">
        <v>133</v>
      </c>
      <c r="B41" s="26" t="s">
        <v>78</v>
      </c>
      <c r="C41" s="27" t="n">
        <v>46228</v>
      </c>
      <c r="D41" s="27" t="n">
        <v>46230</v>
      </c>
      <c r="E41" s="26" t="s">
        <v>70</v>
      </c>
      <c r="F41" s="26" t="s">
        <v>99</v>
      </c>
      <c r="G41" s="28" t="n">
        <v>100</v>
      </c>
      <c r="H41" s="26"/>
      <c r="I41" s="29" t="str">
        <f aca="false">IF($A41="","",IF(COUNTIFS(tblShipment[Shipment ID],$A41,tblShipment[Item Code],$F41)&gt;1,"Item listed twice",IF(COUNTIFS(tblShipment[Shipment ID],$A41,tblShipment[Market],"&lt;&gt;"&amp;$B41)&gt;0,"Market differs on same shipment",IF($D41&lt;$C41,"Arrival before ship date",IF(AND($E41="Local",$D41&lt;&gt;$C41),"Local: dates must match",IF(N($G41)&lt;=0,"Qty must be more than 0","OK"))))))</f>
        <v>OK</v>
      </c>
    </row>
    <row r="42" customFormat="false" ht="15" hidden="false" customHeight="false" outlineLevel="0" collapsed="false">
      <c r="A42" s="26" t="s">
        <v>133</v>
      </c>
      <c r="B42" s="26" t="s">
        <v>78</v>
      </c>
      <c r="C42" s="27" t="n">
        <v>46228</v>
      </c>
      <c r="D42" s="27" t="n">
        <v>46230</v>
      </c>
      <c r="E42" s="26" t="s">
        <v>70</v>
      </c>
      <c r="F42" s="26" t="s">
        <v>76</v>
      </c>
      <c r="G42" s="28" t="n">
        <v>100</v>
      </c>
      <c r="H42" s="26"/>
      <c r="I42" s="29" t="str">
        <f aca="false">IF($A42="","",IF(COUNTIFS(tblShipment[Shipment ID],$A42,tblShipment[Item Code],$F42)&gt;1,"Item listed twice",IF(COUNTIFS(tblShipment[Shipment ID],$A42,tblShipment[Market],"&lt;&gt;"&amp;$B42)&gt;0,"Market differs on same shipment",IF($D42&lt;$C42,"Arrival before ship date",IF(AND($E42="Local",$D42&lt;&gt;$C42),"Local: dates must match",IF(N($G42)&lt;=0,"Qty must be more than 0","OK"))))))</f>
        <v>OK</v>
      </c>
    </row>
    <row r="43" customFormat="false" ht="15" hidden="false" customHeight="false" outlineLevel="0" collapsed="false">
      <c r="A43" s="26" t="s">
        <v>134</v>
      </c>
      <c r="B43" s="26" t="s">
        <v>78</v>
      </c>
      <c r="C43" s="27" t="n">
        <v>46231</v>
      </c>
      <c r="D43" s="27" t="n">
        <v>46233</v>
      </c>
      <c r="E43" s="26" t="s">
        <v>70</v>
      </c>
      <c r="F43" s="26" t="s">
        <v>76</v>
      </c>
      <c r="G43" s="28" t="n">
        <v>60</v>
      </c>
      <c r="H43" s="26"/>
      <c r="I43" s="29" t="str">
        <f aca="false">IF($A43="","",IF(COUNTIFS(tblShipment[Shipment ID],$A43,tblShipment[Item Code],$F43)&gt;1,"Item listed twice",IF(COUNTIFS(tblShipment[Shipment ID],$A43,tblShipment[Market],"&lt;&gt;"&amp;$B43)&gt;0,"Market differs on same shipment",IF($D43&lt;$C43,"Arrival before ship date",IF(AND($E43="Local",$D43&lt;&gt;$C43),"Local: dates must match",IF(N($G43)&lt;=0,"Qty must be more than 0","OK"))))))</f>
        <v>OK</v>
      </c>
    </row>
    <row r="44" customFormat="false" ht="15" hidden="false" customHeight="false" outlineLevel="0" collapsed="false">
      <c r="A44" s="26" t="s">
        <v>134</v>
      </c>
      <c r="B44" s="26" t="s">
        <v>78</v>
      </c>
      <c r="C44" s="27" t="n">
        <v>46231</v>
      </c>
      <c r="D44" s="27" t="n">
        <v>46233</v>
      </c>
      <c r="E44" s="26" t="s">
        <v>70</v>
      </c>
      <c r="F44" s="26" t="s">
        <v>99</v>
      </c>
      <c r="G44" s="28" t="n">
        <v>80</v>
      </c>
      <c r="H44" s="26"/>
      <c r="I44" s="29" t="str">
        <f aca="false">IF($A44="","",IF(COUNTIFS(tblShipment[Shipment ID],$A44,tblShipment[Item Code],$F44)&gt;1,"Item listed twice",IF(COUNTIFS(tblShipment[Shipment ID],$A44,tblShipment[Market],"&lt;&gt;"&amp;$B44)&gt;0,"Market differs on same shipment",IF($D44&lt;$C44,"Arrival before ship date",IF(AND($E44="Local",$D44&lt;&gt;$C44),"Local: dates must match",IF(N($G44)&lt;=0,"Qty must be more than 0","OK"))))))</f>
        <v>OK</v>
      </c>
    </row>
    <row r="45" customFormat="false" ht="15" hidden="false" customHeight="false" outlineLevel="0" collapsed="false">
      <c r="A45" s="26" t="s">
        <v>134</v>
      </c>
      <c r="B45" s="26" t="s">
        <v>78</v>
      </c>
      <c r="C45" s="27" t="n">
        <v>46233</v>
      </c>
      <c r="D45" s="27" t="n">
        <v>46233</v>
      </c>
      <c r="E45" s="26" t="s">
        <v>82</v>
      </c>
      <c r="F45" s="26" t="s">
        <v>88</v>
      </c>
      <c r="G45" s="28" t="n">
        <v>50</v>
      </c>
      <c r="H45" s="26"/>
      <c r="I45" s="29" t="str">
        <f aca="false">IF($A45="","",IF(COUNTIFS(tblShipment[Shipment ID],$A45,tblShipment[Item Code],$F45)&gt;1,"Item listed twice",IF(COUNTIFS(tblShipment[Shipment ID],$A45,tblShipment[Market],"&lt;&gt;"&amp;$B45)&gt;0,"Market differs on same shipment",IF($D45&lt;$C45,"Arrival before ship date",IF(AND($E45="Local",$D45&lt;&gt;$C45),"Local: dates must match",IF(N($G45)&lt;=0,"Qty must be more than 0","OK"))))))</f>
        <v>OK</v>
      </c>
    </row>
    <row r="46" customFormat="false" ht="15" hidden="false" customHeight="false" outlineLevel="0" collapsed="false">
      <c r="A46" s="26" t="s">
        <v>134</v>
      </c>
      <c r="B46" s="26" t="s">
        <v>78</v>
      </c>
      <c r="C46" s="27" t="n">
        <v>46231</v>
      </c>
      <c r="D46" s="27" t="n">
        <v>46233</v>
      </c>
      <c r="E46" s="26" t="s">
        <v>70</v>
      </c>
      <c r="F46" s="26" t="s">
        <v>83</v>
      </c>
      <c r="G46" s="28" t="n">
        <v>60</v>
      </c>
      <c r="H46" s="26"/>
      <c r="I46" s="29" t="str">
        <f aca="false">IF($A46="","",IF(COUNTIFS(tblShipment[Shipment ID],$A46,tblShipment[Item Code],$F46)&gt;1,"Item listed twice",IF(COUNTIFS(tblShipment[Shipment ID],$A46,tblShipment[Market],"&lt;&gt;"&amp;$B46)&gt;0,"Market differs on same shipment",IF($D46&lt;$C46,"Arrival before ship date",IF(AND($E46="Local",$D46&lt;&gt;$C46),"Local: dates must match",IF(N($G46)&lt;=0,"Qty must be more than 0","OK"))))))</f>
        <v>OK</v>
      </c>
    </row>
    <row r="47" customFormat="false" ht="15" hidden="false" customHeight="false" outlineLevel="0" collapsed="false">
      <c r="A47" s="26" t="s">
        <v>134</v>
      </c>
      <c r="B47" s="26" t="s">
        <v>78</v>
      </c>
      <c r="C47" s="27" t="n">
        <v>46231</v>
      </c>
      <c r="D47" s="27" t="n">
        <v>46233</v>
      </c>
      <c r="E47" s="26" t="s">
        <v>70</v>
      </c>
      <c r="F47" s="26" t="s">
        <v>94</v>
      </c>
      <c r="G47" s="28" t="n">
        <v>60</v>
      </c>
      <c r="H47" s="26"/>
      <c r="I47" s="29" t="str">
        <f aca="false">IF($A47="","",IF(COUNTIFS(tblShipment[Shipment ID],$A47,tblShipment[Item Code],$F47)&gt;1,"Item listed twice",IF(COUNTIFS(tblShipment[Shipment ID],$A47,tblShipment[Market],"&lt;&gt;"&amp;$B47)&gt;0,"Market differs on same shipment",IF($D47&lt;$C47,"Arrival before ship date",IF(AND($E47="Local",$D47&lt;&gt;$C47),"Local: dates must match",IF(N($G47)&lt;=0,"Qty must be more than 0","OK"))))))</f>
        <v>OK</v>
      </c>
    </row>
    <row r="48" customFormat="false" ht="15" hidden="false" customHeight="false" outlineLevel="0" collapsed="false">
      <c r="A48" s="26" t="s">
        <v>135</v>
      </c>
      <c r="B48" s="26" t="s">
        <v>78</v>
      </c>
      <c r="C48" s="27" t="n">
        <v>46234</v>
      </c>
      <c r="D48" s="27" t="n">
        <v>46236</v>
      </c>
      <c r="E48" s="26" t="s">
        <v>70</v>
      </c>
      <c r="F48" s="26" t="s">
        <v>76</v>
      </c>
      <c r="G48" s="28" t="n">
        <v>40</v>
      </c>
      <c r="H48" s="26"/>
      <c r="I48" s="29" t="str">
        <f aca="false">IF($A48="","",IF(COUNTIFS(tblShipment[Shipment ID],$A48,tblShipment[Item Code],$F48)&gt;1,"Item listed twice",IF(COUNTIFS(tblShipment[Shipment ID],$A48,tblShipment[Market],"&lt;&gt;"&amp;$B48)&gt;0,"Market differs on same shipment",IF($D48&lt;$C48,"Arrival before ship date",IF(AND($E48="Local",$D48&lt;&gt;$C48),"Local: dates must match",IF(N($G48)&lt;=0,"Qty must be more than 0","OK"))))))</f>
        <v>OK</v>
      </c>
    </row>
    <row r="49" customFormat="false" ht="15" hidden="false" customHeight="false" outlineLevel="0" collapsed="false">
      <c r="A49" s="26" t="s">
        <v>135</v>
      </c>
      <c r="B49" s="26" t="s">
        <v>78</v>
      </c>
      <c r="C49" s="27" t="n">
        <v>46234</v>
      </c>
      <c r="D49" s="27" t="n">
        <v>46236</v>
      </c>
      <c r="E49" s="26" t="s">
        <v>70</v>
      </c>
      <c r="F49" s="26" t="s">
        <v>67</v>
      </c>
      <c r="G49" s="28" t="n">
        <v>60</v>
      </c>
      <c r="H49" s="26"/>
      <c r="I49" s="29" t="str">
        <f aca="false">IF($A49="","",IF(COUNTIFS(tblShipment[Shipment ID],$A49,tblShipment[Item Code],$F49)&gt;1,"Item listed twice",IF(COUNTIFS(tblShipment[Shipment ID],$A49,tblShipment[Market],"&lt;&gt;"&amp;$B49)&gt;0,"Market differs on same shipment",IF($D49&lt;$C49,"Arrival before ship date",IF(AND($E49="Local",$D49&lt;&gt;$C49),"Local: dates must match",IF(N($G49)&lt;=0,"Qty must be more than 0","OK"))))))</f>
        <v>OK</v>
      </c>
    </row>
    <row r="50" customFormat="false" ht="15" hidden="false" customHeight="false" outlineLevel="0" collapsed="false">
      <c r="A50" s="26" t="s">
        <v>135</v>
      </c>
      <c r="B50" s="26" t="s">
        <v>78</v>
      </c>
      <c r="C50" s="27" t="n">
        <v>46234</v>
      </c>
      <c r="D50" s="27" t="n">
        <v>46236</v>
      </c>
      <c r="E50" s="26" t="s">
        <v>70</v>
      </c>
      <c r="F50" s="26" t="s">
        <v>83</v>
      </c>
      <c r="G50" s="28" t="n">
        <v>100</v>
      </c>
      <c r="H50" s="26"/>
      <c r="I50" s="29" t="str">
        <f aca="false">IF($A50="","",IF(COUNTIFS(tblShipment[Shipment ID],$A50,tblShipment[Item Code],$F50)&gt;1,"Item listed twice",IF(COUNTIFS(tblShipment[Shipment ID],$A50,tblShipment[Market],"&lt;&gt;"&amp;$B50)&gt;0,"Market differs on same shipment",IF($D50&lt;$C50,"Arrival before ship date",IF(AND($E50="Local",$D50&lt;&gt;$C50),"Local: dates must match",IF(N($G50)&lt;=0,"Qty must be more than 0","OK"))))))</f>
        <v>OK</v>
      </c>
    </row>
    <row r="51" customFormat="false" ht="15" hidden="false" customHeight="false" outlineLevel="0" collapsed="false">
      <c r="A51" s="26" t="s">
        <v>135</v>
      </c>
      <c r="B51" s="26" t="s">
        <v>78</v>
      </c>
      <c r="C51" s="27" t="n">
        <v>46234</v>
      </c>
      <c r="D51" s="27" t="n">
        <v>46236</v>
      </c>
      <c r="E51" s="26" t="s">
        <v>70</v>
      </c>
      <c r="F51" s="26" t="s">
        <v>94</v>
      </c>
      <c r="G51" s="28" t="n">
        <v>80</v>
      </c>
      <c r="H51" s="26"/>
      <c r="I51" s="29" t="str">
        <f aca="false">IF($A51="","",IF(COUNTIFS(tblShipment[Shipment ID],$A51,tblShipment[Item Code],$F51)&gt;1,"Item listed twice",IF(COUNTIFS(tblShipment[Shipment ID],$A51,tblShipment[Market],"&lt;&gt;"&amp;$B51)&gt;0,"Market differs on same shipment",IF($D51&lt;$C51,"Arrival before ship date",IF(AND($E51="Local",$D51&lt;&gt;$C51),"Local: dates must match",IF(N($G51)&lt;=0,"Qty must be more than 0","OK"))))))</f>
        <v>OK</v>
      </c>
    </row>
    <row r="52" customFormat="false" ht="15" hidden="false" customHeight="false" outlineLevel="0" collapsed="false">
      <c r="A52" s="26" t="s">
        <v>135</v>
      </c>
      <c r="B52" s="26" t="s">
        <v>78</v>
      </c>
      <c r="C52" s="27" t="n">
        <v>46234</v>
      </c>
      <c r="D52" s="27" t="n">
        <v>46236</v>
      </c>
      <c r="E52" s="26" t="s">
        <v>70</v>
      </c>
      <c r="F52" s="26" t="s">
        <v>99</v>
      </c>
      <c r="G52" s="28" t="n">
        <v>60</v>
      </c>
      <c r="H52" s="26"/>
      <c r="I52" s="29" t="str">
        <f aca="false">IF($A52="","",IF(COUNTIFS(tblShipment[Shipment ID],$A52,tblShipment[Item Code],$F52)&gt;1,"Item listed twice",IF(COUNTIFS(tblShipment[Shipment ID],$A52,tblShipment[Market],"&lt;&gt;"&amp;$B52)&gt;0,"Market differs on same shipment",IF($D52&lt;$C52,"Arrival before ship date",IF(AND($E52="Local",$D52&lt;&gt;$C52),"Local: dates must match",IF(N($G52)&lt;=0,"Qty must be more than 0","OK"))))))</f>
        <v>OK</v>
      </c>
    </row>
    <row r="53" customFormat="false" ht="15" hidden="false" customHeight="false" outlineLevel="0" collapsed="false">
      <c r="A53" s="26" t="s">
        <v>136</v>
      </c>
      <c r="B53" s="26" t="s">
        <v>78</v>
      </c>
      <c r="C53" s="27" t="n">
        <v>46237</v>
      </c>
      <c r="D53" s="27" t="n">
        <v>46239</v>
      </c>
      <c r="E53" s="26" t="s">
        <v>70</v>
      </c>
      <c r="F53" s="26" t="s">
        <v>67</v>
      </c>
      <c r="G53" s="28" t="n">
        <v>80</v>
      </c>
      <c r="H53" s="26"/>
      <c r="I53" s="29" t="str">
        <f aca="false">IF($A53="","",IF(COUNTIFS(tblShipment[Shipment ID],$A53,tblShipment[Item Code],$F53)&gt;1,"Item listed twice",IF(COUNTIFS(tblShipment[Shipment ID],$A53,tblShipment[Market],"&lt;&gt;"&amp;$B53)&gt;0,"Market differs on same shipment",IF($D53&lt;$C53,"Arrival before ship date",IF(AND($E53="Local",$D53&lt;&gt;$C53),"Local: dates must match",IF(N($G53)&lt;=0,"Qty must be more than 0","OK"))))))</f>
        <v>OK</v>
      </c>
    </row>
    <row r="54" customFormat="false" ht="15" hidden="false" customHeight="false" outlineLevel="0" collapsed="false">
      <c r="A54" s="26" t="s">
        <v>136</v>
      </c>
      <c r="B54" s="26" t="s">
        <v>78</v>
      </c>
      <c r="C54" s="27" t="n">
        <v>46237</v>
      </c>
      <c r="D54" s="27" t="n">
        <v>46239</v>
      </c>
      <c r="E54" s="26" t="s">
        <v>70</v>
      </c>
      <c r="F54" s="26" t="s">
        <v>99</v>
      </c>
      <c r="G54" s="28" t="n">
        <v>50</v>
      </c>
      <c r="H54" s="26"/>
      <c r="I54" s="29" t="str">
        <f aca="false">IF($A54="","",IF(COUNTIFS(tblShipment[Shipment ID],$A54,tblShipment[Item Code],$F54)&gt;1,"Item listed twice",IF(COUNTIFS(tblShipment[Shipment ID],$A54,tblShipment[Market],"&lt;&gt;"&amp;$B54)&gt;0,"Market differs on same shipment",IF($D54&lt;$C54,"Arrival before ship date",IF(AND($E54="Local",$D54&lt;&gt;$C54),"Local: dates must match",IF(N($G54)&lt;=0,"Qty must be more than 0","OK"))))))</f>
        <v>OK</v>
      </c>
    </row>
    <row r="55" customFormat="false" ht="15" hidden="false" customHeight="false" outlineLevel="0" collapsed="false">
      <c r="A55" s="26" t="s">
        <v>136</v>
      </c>
      <c r="B55" s="26" t="s">
        <v>78</v>
      </c>
      <c r="C55" s="27" t="n">
        <v>46237</v>
      </c>
      <c r="D55" s="27" t="n">
        <v>46239</v>
      </c>
      <c r="E55" s="26" t="s">
        <v>70</v>
      </c>
      <c r="F55" s="26" t="s">
        <v>83</v>
      </c>
      <c r="G55" s="28" t="n">
        <v>40</v>
      </c>
      <c r="H55" s="26"/>
      <c r="I55" s="29" t="str">
        <f aca="false">IF($A55="","",IF(COUNTIFS(tblShipment[Shipment ID],$A55,tblShipment[Item Code],$F55)&gt;1,"Item listed twice",IF(COUNTIFS(tblShipment[Shipment ID],$A55,tblShipment[Market],"&lt;&gt;"&amp;$B55)&gt;0,"Market differs on same shipment",IF($D55&lt;$C55,"Arrival before ship date",IF(AND($E55="Local",$D55&lt;&gt;$C55),"Local: dates must match",IF(N($G55)&lt;=0,"Qty must be more than 0","OK"))))))</f>
        <v>OK</v>
      </c>
    </row>
    <row r="56" customFormat="false" ht="15" hidden="false" customHeight="false" outlineLevel="0" collapsed="false">
      <c r="A56" s="26" t="s">
        <v>137</v>
      </c>
      <c r="B56" s="26" t="s">
        <v>78</v>
      </c>
      <c r="C56" s="27" t="n">
        <v>46240</v>
      </c>
      <c r="D56" s="27" t="n">
        <v>46242</v>
      </c>
      <c r="E56" s="26" t="s">
        <v>70</v>
      </c>
      <c r="F56" s="26" t="s">
        <v>67</v>
      </c>
      <c r="G56" s="28" t="n">
        <v>40</v>
      </c>
      <c r="H56" s="26"/>
      <c r="I56" s="29" t="str">
        <f aca="false">IF($A56="","",IF(COUNTIFS(tblShipment[Shipment ID],$A56,tblShipment[Item Code],$F56)&gt;1,"Item listed twice",IF(COUNTIFS(tblShipment[Shipment ID],$A56,tblShipment[Market],"&lt;&gt;"&amp;$B56)&gt;0,"Market differs on same shipment",IF($D56&lt;$C56,"Arrival before ship date",IF(AND($E56="Local",$D56&lt;&gt;$C56),"Local: dates must match",IF(N($G56)&lt;=0,"Qty must be more than 0","OK"))))))</f>
        <v>OK</v>
      </c>
    </row>
    <row r="57" customFormat="false" ht="15" hidden="false" customHeight="false" outlineLevel="0" collapsed="false">
      <c r="A57" s="26" t="s">
        <v>137</v>
      </c>
      <c r="B57" s="26" t="s">
        <v>78</v>
      </c>
      <c r="C57" s="27" t="n">
        <v>46240</v>
      </c>
      <c r="D57" s="27" t="n">
        <v>46242</v>
      </c>
      <c r="E57" s="26" t="s">
        <v>70</v>
      </c>
      <c r="F57" s="26" t="s">
        <v>76</v>
      </c>
      <c r="G57" s="28" t="n">
        <v>80</v>
      </c>
      <c r="H57" s="26"/>
      <c r="I57" s="29" t="str">
        <f aca="false">IF($A57="","",IF(COUNTIFS(tblShipment[Shipment ID],$A57,tblShipment[Item Code],$F57)&gt;1,"Item listed twice",IF(COUNTIFS(tblShipment[Shipment ID],$A57,tblShipment[Market],"&lt;&gt;"&amp;$B57)&gt;0,"Market differs on same shipment",IF($D57&lt;$C57,"Arrival before ship date",IF(AND($E57="Local",$D57&lt;&gt;$C57),"Local: dates must match",IF(N($G57)&lt;=0,"Qty must be more than 0","OK"))))))</f>
        <v>OK</v>
      </c>
    </row>
    <row r="58" customFormat="false" ht="15" hidden="false" customHeight="false" outlineLevel="0" collapsed="false">
      <c r="A58" s="26" t="s">
        <v>137</v>
      </c>
      <c r="B58" s="26" t="s">
        <v>78</v>
      </c>
      <c r="C58" s="27" t="n">
        <v>46242</v>
      </c>
      <c r="D58" s="27" t="n">
        <v>46242</v>
      </c>
      <c r="E58" s="26" t="s">
        <v>82</v>
      </c>
      <c r="F58" s="26" t="s">
        <v>88</v>
      </c>
      <c r="G58" s="28" t="n">
        <v>40</v>
      </c>
      <c r="H58" s="26"/>
      <c r="I58" s="29" t="str">
        <f aca="false">IF($A58="","",IF(COUNTIFS(tblShipment[Shipment ID],$A58,tblShipment[Item Code],$F58)&gt;1,"Item listed twice",IF(COUNTIFS(tblShipment[Shipment ID],$A58,tblShipment[Market],"&lt;&gt;"&amp;$B58)&gt;0,"Market differs on same shipment",IF($D58&lt;$C58,"Arrival before ship date",IF(AND($E58="Local",$D58&lt;&gt;$C58),"Local: dates must match",IF(N($G58)&lt;=0,"Qty must be more than 0","OK"))))))</f>
        <v>OK</v>
      </c>
    </row>
    <row r="59" customFormat="false" ht="15" hidden="false" customHeight="false" outlineLevel="0" collapsed="false">
      <c r="A59" s="26" t="s">
        <v>137</v>
      </c>
      <c r="B59" s="26" t="s">
        <v>78</v>
      </c>
      <c r="C59" s="27" t="n">
        <v>46240</v>
      </c>
      <c r="D59" s="27" t="n">
        <v>46242</v>
      </c>
      <c r="E59" s="26" t="s">
        <v>70</v>
      </c>
      <c r="F59" s="26" t="s">
        <v>83</v>
      </c>
      <c r="G59" s="28" t="n">
        <v>60</v>
      </c>
      <c r="H59" s="26"/>
      <c r="I59" s="29" t="str">
        <f aca="false">IF($A59="","",IF(COUNTIFS(tblShipment[Shipment ID],$A59,tblShipment[Item Code],$F59)&gt;1,"Item listed twice",IF(COUNTIFS(tblShipment[Shipment ID],$A59,tblShipment[Market],"&lt;&gt;"&amp;$B59)&gt;0,"Market differs on same shipment",IF($D59&lt;$C59,"Arrival before ship date",IF(AND($E59="Local",$D59&lt;&gt;$C59),"Local: dates must match",IF(N($G59)&lt;=0,"Qty must be more than 0","OK"))))))</f>
        <v>OK</v>
      </c>
    </row>
    <row r="60" customFormat="false" ht="15" hidden="false" customHeight="false" outlineLevel="0" collapsed="false">
      <c r="A60" s="26" t="s">
        <v>138</v>
      </c>
      <c r="B60" s="26" t="s">
        <v>78</v>
      </c>
      <c r="C60" s="27" t="n">
        <v>46245</v>
      </c>
      <c r="D60" s="27" t="n">
        <v>46247</v>
      </c>
      <c r="E60" s="26" t="s">
        <v>70</v>
      </c>
      <c r="F60" s="26" t="s">
        <v>99</v>
      </c>
      <c r="G60" s="28" t="n">
        <v>80</v>
      </c>
      <c r="H60" s="26"/>
      <c r="I60" s="29" t="str">
        <f aca="false">IF($A60="","",IF(COUNTIFS(tblShipment[Shipment ID],$A60,tblShipment[Item Code],$F60)&gt;1,"Item listed twice",IF(COUNTIFS(tblShipment[Shipment ID],$A60,tblShipment[Market],"&lt;&gt;"&amp;$B60)&gt;0,"Market differs on same shipment",IF($D60&lt;$C60,"Arrival before ship date",IF(AND($E60="Local",$D60&lt;&gt;$C60),"Local: dates must match",IF(N($G60)&lt;=0,"Qty must be more than 0","OK"))))))</f>
        <v>OK</v>
      </c>
    </row>
    <row r="61" customFormat="false" ht="15" hidden="false" customHeight="false" outlineLevel="0" collapsed="false">
      <c r="A61" s="26" t="s">
        <v>138</v>
      </c>
      <c r="B61" s="26" t="s">
        <v>78</v>
      </c>
      <c r="C61" s="27" t="n">
        <v>46245</v>
      </c>
      <c r="D61" s="27" t="n">
        <v>46247</v>
      </c>
      <c r="E61" s="26" t="s">
        <v>70</v>
      </c>
      <c r="F61" s="26" t="s">
        <v>67</v>
      </c>
      <c r="G61" s="28" t="n">
        <v>60</v>
      </c>
      <c r="H61" s="26"/>
      <c r="I61" s="29" t="str">
        <f aca="false">IF($A61="","",IF(COUNTIFS(tblShipment[Shipment ID],$A61,tblShipment[Item Code],$F61)&gt;1,"Item listed twice",IF(COUNTIFS(tblShipment[Shipment ID],$A61,tblShipment[Market],"&lt;&gt;"&amp;$B61)&gt;0,"Market differs on same shipment",IF($D61&lt;$C61,"Arrival before ship date",IF(AND($E61="Local",$D61&lt;&gt;$C61),"Local: dates must match",IF(N($G61)&lt;=0,"Qty must be more than 0","OK"))))))</f>
        <v>OK</v>
      </c>
    </row>
    <row r="62" customFormat="false" ht="15" hidden="false" customHeight="false" outlineLevel="0" collapsed="false">
      <c r="A62" s="26" t="s">
        <v>138</v>
      </c>
      <c r="B62" s="26" t="s">
        <v>78</v>
      </c>
      <c r="C62" s="27" t="n">
        <v>46245</v>
      </c>
      <c r="D62" s="27" t="n">
        <v>46247</v>
      </c>
      <c r="E62" s="26" t="s">
        <v>70</v>
      </c>
      <c r="F62" s="26" t="s">
        <v>76</v>
      </c>
      <c r="G62" s="28" t="n">
        <v>40</v>
      </c>
      <c r="H62" s="26"/>
      <c r="I62" s="29" t="str">
        <f aca="false">IF($A62="","",IF(COUNTIFS(tblShipment[Shipment ID],$A62,tblShipment[Item Code],$F62)&gt;1,"Item listed twice",IF(COUNTIFS(tblShipment[Shipment ID],$A62,tblShipment[Market],"&lt;&gt;"&amp;$B62)&gt;0,"Market differs on same shipment",IF($D62&lt;$C62,"Arrival before ship date",IF(AND($E62="Local",$D62&lt;&gt;$C62),"Local: dates must match",IF(N($G62)&lt;=0,"Qty must be more than 0","OK"))))))</f>
        <v>OK</v>
      </c>
    </row>
    <row r="63" customFormat="false" ht="15" hidden="false" customHeight="false" outlineLevel="0" collapsed="false">
      <c r="A63" s="26" t="s">
        <v>139</v>
      </c>
      <c r="B63" s="26" t="s">
        <v>85</v>
      </c>
      <c r="C63" s="27" t="n">
        <v>46221</v>
      </c>
      <c r="D63" s="27" t="n">
        <v>46223</v>
      </c>
      <c r="E63" s="26" t="s">
        <v>70</v>
      </c>
      <c r="F63" s="26" t="s">
        <v>99</v>
      </c>
      <c r="G63" s="28" t="n">
        <v>60</v>
      </c>
      <c r="H63" s="26"/>
      <c r="I63" s="29" t="str">
        <f aca="false">IF($A63="","",IF(COUNTIFS(tblShipment[Shipment ID],$A63,tblShipment[Item Code],$F63)&gt;1,"Item listed twice",IF(COUNTIFS(tblShipment[Shipment ID],$A63,tblShipment[Market],"&lt;&gt;"&amp;$B63)&gt;0,"Market differs on same shipment",IF($D63&lt;$C63,"Arrival before ship date",IF(AND($E63="Local",$D63&lt;&gt;$C63),"Local: dates must match",IF(N($G63)&lt;=0,"Qty must be more than 0","OK"))))))</f>
        <v>OK</v>
      </c>
    </row>
    <row r="64" customFormat="false" ht="15" hidden="false" customHeight="false" outlineLevel="0" collapsed="false">
      <c r="A64" s="26" t="s">
        <v>139</v>
      </c>
      <c r="B64" s="26" t="s">
        <v>85</v>
      </c>
      <c r="C64" s="27" t="n">
        <v>46221</v>
      </c>
      <c r="D64" s="27" t="n">
        <v>46223</v>
      </c>
      <c r="E64" s="26" t="s">
        <v>70</v>
      </c>
      <c r="F64" s="26" t="s">
        <v>76</v>
      </c>
      <c r="G64" s="28" t="n">
        <v>120</v>
      </c>
      <c r="H64" s="26"/>
      <c r="I64" s="29" t="str">
        <f aca="false">IF($A64="","",IF(COUNTIFS(tblShipment[Shipment ID],$A64,tblShipment[Item Code],$F64)&gt;1,"Item listed twice",IF(COUNTIFS(tblShipment[Shipment ID],$A64,tblShipment[Market],"&lt;&gt;"&amp;$B64)&gt;0,"Market differs on same shipment",IF($D64&lt;$C64,"Arrival before ship date",IF(AND($E64="Local",$D64&lt;&gt;$C64),"Local: dates must match",IF(N($G64)&lt;=0,"Qty must be more than 0","OK"))))))</f>
        <v>OK</v>
      </c>
    </row>
    <row r="65" customFormat="false" ht="15" hidden="false" customHeight="false" outlineLevel="0" collapsed="false">
      <c r="A65" s="26" t="s">
        <v>139</v>
      </c>
      <c r="B65" s="26" t="s">
        <v>85</v>
      </c>
      <c r="C65" s="27" t="n">
        <v>46221</v>
      </c>
      <c r="D65" s="27" t="n">
        <v>46223</v>
      </c>
      <c r="E65" s="26" t="s">
        <v>70</v>
      </c>
      <c r="F65" s="26" t="s">
        <v>88</v>
      </c>
      <c r="G65" s="28" t="n">
        <v>100</v>
      </c>
      <c r="H65" s="26"/>
      <c r="I65" s="29" t="str">
        <f aca="false">IF($A65="","",IF(COUNTIFS(tblShipment[Shipment ID],$A65,tblShipment[Item Code],$F65)&gt;1,"Item listed twice",IF(COUNTIFS(tblShipment[Shipment ID],$A65,tblShipment[Market],"&lt;&gt;"&amp;$B65)&gt;0,"Market differs on same shipment",IF($D65&lt;$C65,"Arrival before ship date",IF(AND($E65="Local",$D65&lt;&gt;$C65),"Local: dates must match",IF(N($G65)&lt;=0,"Qty must be more than 0","OK"))))))</f>
        <v>OK</v>
      </c>
    </row>
    <row r="66" customFormat="false" ht="15" hidden="false" customHeight="false" outlineLevel="0" collapsed="false">
      <c r="A66" s="26" t="s">
        <v>140</v>
      </c>
      <c r="B66" s="26" t="s">
        <v>85</v>
      </c>
      <c r="C66" s="27" t="n">
        <v>46224</v>
      </c>
      <c r="D66" s="27" t="n">
        <v>46226</v>
      </c>
      <c r="E66" s="26" t="s">
        <v>70</v>
      </c>
      <c r="F66" s="26" t="s">
        <v>88</v>
      </c>
      <c r="G66" s="28" t="n">
        <v>60</v>
      </c>
      <c r="H66" s="26"/>
      <c r="I66" s="29" t="str">
        <f aca="false">IF($A66="","",IF(COUNTIFS(tblShipment[Shipment ID],$A66,tblShipment[Item Code],$F66)&gt;1,"Item listed twice",IF(COUNTIFS(tblShipment[Shipment ID],$A66,tblShipment[Market],"&lt;&gt;"&amp;$B66)&gt;0,"Market differs on same shipment",IF($D66&lt;$C66,"Arrival before ship date",IF(AND($E66="Local",$D66&lt;&gt;$C66),"Local: dates must match",IF(N($G66)&lt;=0,"Qty must be more than 0","OK"))))))</f>
        <v>OK</v>
      </c>
    </row>
    <row r="67" customFormat="false" ht="15" hidden="false" customHeight="false" outlineLevel="0" collapsed="false">
      <c r="A67" s="26" t="s">
        <v>140</v>
      </c>
      <c r="B67" s="26" t="s">
        <v>85</v>
      </c>
      <c r="C67" s="27" t="n">
        <v>46224</v>
      </c>
      <c r="D67" s="27" t="n">
        <v>46226</v>
      </c>
      <c r="E67" s="26" t="s">
        <v>70</v>
      </c>
      <c r="F67" s="26" t="s">
        <v>99</v>
      </c>
      <c r="G67" s="28" t="n">
        <v>120</v>
      </c>
      <c r="H67" s="26"/>
      <c r="I67" s="29" t="str">
        <f aca="false">IF($A67="","",IF(COUNTIFS(tblShipment[Shipment ID],$A67,tblShipment[Item Code],$F67)&gt;1,"Item listed twice",IF(COUNTIFS(tblShipment[Shipment ID],$A67,tblShipment[Market],"&lt;&gt;"&amp;$B67)&gt;0,"Market differs on same shipment",IF($D67&lt;$C67,"Arrival before ship date",IF(AND($E67="Local",$D67&lt;&gt;$C67),"Local: dates must match",IF(N($G67)&lt;=0,"Qty must be more than 0","OK"))))))</f>
        <v>OK</v>
      </c>
    </row>
    <row r="68" customFormat="false" ht="15" hidden="false" customHeight="false" outlineLevel="0" collapsed="false">
      <c r="A68" s="26" t="s">
        <v>140</v>
      </c>
      <c r="B68" s="26" t="s">
        <v>85</v>
      </c>
      <c r="C68" s="27" t="n">
        <v>46226</v>
      </c>
      <c r="D68" s="27" t="n">
        <v>46226</v>
      </c>
      <c r="E68" s="26" t="s">
        <v>82</v>
      </c>
      <c r="F68" s="26" t="s">
        <v>94</v>
      </c>
      <c r="G68" s="28" t="n">
        <v>50</v>
      </c>
      <c r="H68" s="26"/>
      <c r="I68" s="29" t="str">
        <f aca="false">IF($A68="","",IF(COUNTIFS(tblShipment[Shipment ID],$A68,tblShipment[Item Code],$F68)&gt;1,"Item listed twice",IF(COUNTIFS(tblShipment[Shipment ID],$A68,tblShipment[Market],"&lt;&gt;"&amp;$B68)&gt;0,"Market differs on same shipment",IF($D68&lt;$C68,"Arrival before ship date",IF(AND($E68="Local",$D68&lt;&gt;$C68),"Local: dates must match",IF(N($G68)&lt;=0,"Qty must be more than 0","OK"))))))</f>
        <v>OK</v>
      </c>
    </row>
    <row r="69" customFormat="false" ht="15" hidden="false" customHeight="false" outlineLevel="0" collapsed="false">
      <c r="A69" s="26" t="s">
        <v>141</v>
      </c>
      <c r="B69" s="26" t="s">
        <v>85</v>
      </c>
      <c r="C69" s="27" t="n">
        <v>46228</v>
      </c>
      <c r="D69" s="27" t="n">
        <v>46230</v>
      </c>
      <c r="E69" s="26" t="s">
        <v>70</v>
      </c>
      <c r="F69" s="26" t="s">
        <v>99</v>
      </c>
      <c r="G69" s="28" t="n">
        <v>120</v>
      </c>
      <c r="H69" s="26"/>
      <c r="I69" s="29" t="str">
        <f aca="false">IF($A69="","",IF(COUNTIFS(tblShipment[Shipment ID],$A69,tblShipment[Item Code],$F69)&gt;1,"Item listed twice",IF(COUNTIFS(tblShipment[Shipment ID],$A69,tblShipment[Market],"&lt;&gt;"&amp;$B69)&gt;0,"Market differs on same shipment",IF($D69&lt;$C69,"Arrival before ship date",IF(AND($E69="Local",$D69&lt;&gt;$C69),"Local: dates must match",IF(N($G69)&lt;=0,"Qty must be more than 0","OK"))))))</f>
        <v>OK</v>
      </c>
    </row>
    <row r="70" customFormat="false" ht="15" hidden="false" customHeight="false" outlineLevel="0" collapsed="false">
      <c r="A70" s="26" t="s">
        <v>141</v>
      </c>
      <c r="B70" s="26" t="s">
        <v>85</v>
      </c>
      <c r="C70" s="27" t="n">
        <v>46228</v>
      </c>
      <c r="D70" s="27" t="n">
        <v>46230</v>
      </c>
      <c r="E70" s="26" t="s">
        <v>70</v>
      </c>
      <c r="F70" s="26" t="s">
        <v>88</v>
      </c>
      <c r="G70" s="28" t="n">
        <v>40</v>
      </c>
      <c r="H70" s="26"/>
      <c r="I70" s="29" t="str">
        <f aca="false">IF($A70="","",IF(COUNTIFS(tblShipment[Shipment ID],$A70,tblShipment[Item Code],$F70)&gt;1,"Item listed twice",IF(COUNTIFS(tblShipment[Shipment ID],$A70,tblShipment[Market],"&lt;&gt;"&amp;$B70)&gt;0,"Market differs on same shipment",IF($D70&lt;$C70,"Arrival before ship date",IF(AND($E70="Local",$D70&lt;&gt;$C70),"Local: dates must match",IF(N($G70)&lt;=0,"Qty must be more than 0","OK"))))))</f>
        <v>OK</v>
      </c>
    </row>
    <row r="71" customFormat="false" ht="15" hidden="false" customHeight="false" outlineLevel="0" collapsed="false">
      <c r="A71" s="26" t="s">
        <v>141</v>
      </c>
      <c r="B71" s="26" t="s">
        <v>85</v>
      </c>
      <c r="C71" s="27" t="n">
        <v>46228</v>
      </c>
      <c r="D71" s="27" t="n">
        <v>46230</v>
      </c>
      <c r="E71" s="26" t="s">
        <v>70</v>
      </c>
      <c r="F71" s="26" t="s">
        <v>76</v>
      </c>
      <c r="G71" s="28" t="n">
        <v>40</v>
      </c>
      <c r="H71" s="26"/>
      <c r="I71" s="29" t="str">
        <f aca="false">IF($A71="","",IF(COUNTIFS(tblShipment[Shipment ID],$A71,tblShipment[Item Code],$F71)&gt;1,"Item listed twice",IF(COUNTIFS(tblShipment[Shipment ID],$A71,tblShipment[Market],"&lt;&gt;"&amp;$B71)&gt;0,"Market differs on same shipment",IF($D71&lt;$C71,"Arrival before ship date",IF(AND($E71="Local",$D71&lt;&gt;$C71),"Local: dates must match",IF(N($G71)&lt;=0,"Qty must be more than 0","OK"))))))</f>
        <v>OK</v>
      </c>
    </row>
    <row r="72" customFormat="false" ht="15" hidden="false" customHeight="false" outlineLevel="0" collapsed="false">
      <c r="A72" s="26" t="s">
        <v>142</v>
      </c>
      <c r="B72" s="26" t="s">
        <v>85</v>
      </c>
      <c r="C72" s="27" t="n">
        <v>46231</v>
      </c>
      <c r="D72" s="27" t="n">
        <v>46233</v>
      </c>
      <c r="E72" s="26" t="s">
        <v>70</v>
      </c>
      <c r="F72" s="26" t="s">
        <v>76</v>
      </c>
      <c r="G72" s="28" t="n">
        <v>100</v>
      </c>
      <c r="H72" s="26"/>
      <c r="I72" s="29" t="str">
        <f aca="false">IF($A72="","",IF(COUNTIFS(tblShipment[Shipment ID],$A72,tblShipment[Item Code],$F72)&gt;1,"Item listed twice",IF(COUNTIFS(tblShipment[Shipment ID],$A72,tblShipment[Market],"&lt;&gt;"&amp;$B72)&gt;0,"Market differs on same shipment",IF($D72&lt;$C72,"Arrival before ship date",IF(AND($E72="Local",$D72&lt;&gt;$C72),"Local: dates must match",IF(N($G72)&lt;=0,"Qty must be more than 0","OK"))))))</f>
        <v>OK</v>
      </c>
    </row>
    <row r="73" customFormat="false" ht="15" hidden="false" customHeight="false" outlineLevel="0" collapsed="false">
      <c r="A73" s="26" t="s">
        <v>142</v>
      </c>
      <c r="B73" s="26" t="s">
        <v>85</v>
      </c>
      <c r="C73" s="27" t="n">
        <v>46231</v>
      </c>
      <c r="D73" s="27" t="n">
        <v>46233</v>
      </c>
      <c r="E73" s="26" t="s">
        <v>70</v>
      </c>
      <c r="F73" s="26" t="s">
        <v>99</v>
      </c>
      <c r="G73" s="28" t="n">
        <v>40</v>
      </c>
      <c r="H73" s="26"/>
      <c r="I73" s="29" t="str">
        <f aca="false">IF($A73="","",IF(COUNTIFS(tblShipment[Shipment ID],$A73,tblShipment[Item Code],$F73)&gt;1,"Item listed twice",IF(COUNTIFS(tblShipment[Shipment ID],$A73,tblShipment[Market],"&lt;&gt;"&amp;$B73)&gt;0,"Market differs on same shipment",IF($D73&lt;$C73,"Arrival before ship date",IF(AND($E73="Local",$D73&lt;&gt;$C73),"Local: dates must match",IF(N($G73)&lt;=0,"Qty must be more than 0","OK"))))))</f>
        <v>OK</v>
      </c>
    </row>
    <row r="74" customFormat="false" ht="15" hidden="false" customHeight="false" outlineLevel="0" collapsed="false">
      <c r="A74" s="26" t="s">
        <v>142</v>
      </c>
      <c r="B74" s="26" t="s">
        <v>85</v>
      </c>
      <c r="C74" s="27" t="n">
        <v>46231</v>
      </c>
      <c r="D74" s="27" t="n">
        <v>46233</v>
      </c>
      <c r="E74" s="26" t="s">
        <v>70</v>
      </c>
      <c r="F74" s="26" t="s">
        <v>67</v>
      </c>
      <c r="G74" s="28" t="n">
        <v>60</v>
      </c>
      <c r="H74" s="26"/>
      <c r="I74" s="29" t="str">
        <f aca="false">IF($A74="","",IF(COUNTIFS(tblShipment[Shipment ID],$A74,tblShipment[Item Code],$F74)&gt;1,"Item listed twice",IF(COUNTIFS(tblShipment[Shipment ID],$A74,tblShipment[Market],"&lt;&gt;"&amp;$B74)&gt;0,"Market differs on same shipment",IF($D74&lt;$C74,"Arrival before ship date",IF(AND($E74="Local",$D74&lt;&gt;$C74),"Local: dates must match",IF(N($G74)&lt;=0,"Qty must be more than 0","OK"))))))</f>
        <v>OK</v>
      </c>
    </row>
    <row r="75" customFormat="false" ht="15" hidden="false" customHeight="false" outlineLevel="0" collapsed="false">
      <c r="A75" s="26" t="s">
        <v>142</v>
      </c>
      <c r="B75" s="26" t="s">
        <v>85</v>
      </c>
      <c r="C75" s="27" t="n">
        <v>46231</v>
      </c>
      <c r="D75" s="27" t="n">
        <v>46233</v>
      </c>
      <c r="E75" s="26" t="s">
        <v>70</v>
      </c>
      <c r="F75" s="26" t="s">
        <v>88</v>
      </c>
      <c r="G75" s="28" t="n">
        <v>50</v>
      </c>
      <c r="H75" s="26"/>
      <c r="I75" s="29" t="str">
        <f aca="false">IF($A75="","",IF(COUNTIFS(tblShipment[Shipment ID],$A75,tblShipment[Item Code],$F75)&gt;1,"Item listed twice",IF(COUNTIFS(tblShipment[Shipment ID],$A75,tblShipment[Market],"&lt;&gt;"&amp;$B75)&gt;0,"Market differs on same shipment",IF($D75&lt;$C75,"Arrival before ship date",IF(AND($E75="Local",$D75&lt;&gt;$C75),"Local: dates must match",IF(N($G75)&lt;=0,"Qty must be more than 0","OK"))))))</f>
        <v>OK</v>
      </c>
    </row>
    <row r="76" customFormat="false" ht="15" hidden="false" customHeight="false" outlineLevel="0" collapsed="false">
      <c r="A76" s="26" t="s">
        <v>142</v>
      </c>
      <c r="B76" s="26" t="s">
        <v>85</v>
      </c>
      <c r="C76" s="27" t="n">
        <v>46233</v>
      </c>
      <c r="D76" s="27" t="n">
        <v>46233</v>
      </c>
      <c r="E76" s="26" t="s">
        <v>82</v>
      </c>
      <c r="F76" s="26" t="s">
        <v>94</v>
      </c>
      <c r="G76" s="28" t="n">
        <v>60</v>
      </c>
      <c r="H76" s="26"/>
      <c r="I76" s="29" t="str">
        <f aca="false">IF($A76="","",IF(COUNTIFS(tblShipment[Shipment ID],$A76,tblShipment[Item Code],$F76)&gt;1,"Item listed twice",IF(COUNTIFS(tblShipment[Shipment ID],$A76,tblShipment[Market],"&lt;&gt;"&amp;$B76)&gt;0,"Market differs on same shipment",IF($D76&lt;$C76,"Arrival before ship date",IF(AND($E76="Local",$D76&lt;&gt;$C76),"Local: dates must match",IF(N($G76)&lt;=0,"Qty must be more than 0","OK"))))))</f>
        <v>OK</v>
      </c>
    </row>
    <row r="77" customFormat="false" ht="15" hidden="false" customHeight="false" outlineLevel="0" collapsed="false">
      <c r="A77" s="26" t="s">
        <v>143</v>
      </c>
      <c r="B77" s="26" t="s">
        <v>85</v>
      </c>
      <c r="C77" s="27" t="n">
        <v>46234</v>
      </c>
      <c r="D77" s="27" t="n">
        <v>46236</v>
      </c>
      <c r="E77" s="26" t="s">
        <v>70</v>
      </c>
      <c r="F77" s="26" t="s">
        <v>76</v>
      </c>
      <c r="G77" s="28" t="n">
        <v>100</v>
      </c>
      <c r="H77" s="26"/>
      <c r="I77" s="29" t="str">
        <f aca="false">IF($A77="","",IF(COUNTIFS(tblShipment[Shipment ID],$A77,tblShipment[Item Code],$F77)&gt;1,"Item listed twice",IF(COUNTIFS(tblShipment[Shipment ID],$A77,tblShipment[Market],"&lt;&gt;"&amp;$B77)&gt;0,"Market differs on same shipment",IF($D77&lt;$C77,"Arrival before ship date",IF(AND($E77="Local",$D77&lt;&gt;$C77),"Local: dates must match",IF(N($G77)&lt;=0,"Qty must be more than 0","OK"))))))</f>
        <v>OK</v>
      </c>
    </row>
    <row r="78" customFormat="false" ht="15" hidden="false" customHeight="false" outlineLevel="0" collapsed="false">
      <c r="A78" s="26" t="s">
        <v>143</v>
      </c>
      <c r="B78" s="26" t="s">
        <v>85</v>
      </c>
      <c r="C78" s="27" t="n">
        <v>46234</v>
      </c>
      <c r="D78" s="27" t="n">
        <v>46236</v>
      </c>
      <c r="E78" s="26" t="s">
        <v>70</v>
      </c>
      <c r="F78" s="26" t="s">
        <v>99</v>
      </c>
      <c r="G78" s="28" t="n">
        <v>120</v>
      </c>
      <c r="H78" s="26"/>
      <c r="I78" s="29" t="str">
        <f aca="false">IF($A78="","",IF(COUNTIFS(tblShipment[Shipment ID],$A78,tblShipment[Item Code],$F78)&gt;1,"Item listed twice",IF(COUNTIFS(tblShipment[Shipment ID],$A78,tblShipment[Market],"&lt;&gt;"&amp;$B78)&gt;0,"Market differs on same shipment",IF($D78&lt;$C78,"Arrival before ship date",IF(AND($E78="Local",$D78&lt;&gt;$C78),"Local: dates must match",IF(N($G78)&lt;=0,"Qty must be more than 0","OK"))))))</f>
        <v>OK</v>
      </c>
    </row>
    <row r="79" customFormat="false" ht="15" hidden="false" customHeight="false" outlineLevel="0" collapsed="false">
      <c r="A79" s="26" t="s">
        <v>143</v>
      </c>
      <c r="B79" s="26" t="s">
        <v>85</v>
      </c>
      <c r="C79" s="27" t="n">
        <v>46236</v>
      </c>
      <c r="D79" s="27" t="n">
        <v>46236</v>
      </c>
      <c r="E79" s="26" t="s">
        <v>82</v>
      </c>
      <c r="F79" s="26" t="s">
        <v>94</v>
      </c>
      <c r="G79" s="28" t="n">
        <v>40</v>
      </c>
      <c r="H79" s="26"/>
      <c r="I79" s="29" t="str">
        <f aca="false">IF($A79="","",IF(COUNTIFS(tblShipment[Shipment ID],$A79,tblShipment[Item Code],$F79)&gt;1,"Item listed twice",IF(COUNTIFS(tblShipment[Shipment ID],$A79,tblShipment[Market],"&lt;&gt;"&amp;$B79)&gt;0,"Market differs on same shipment",IF($D79&lt;$C79,"Arrival before ship date",IF(AND($E79="Local",$D79&lt;&gt;$C79),"Local: dates must match",IF(N($G79)&lt;=0,"Qty must be more than 0","OK"))))))</f>
        <v>OK</v>
      </c>
    </row>
    <row r="80" customFormat="false" ht="15" hidden="false" customHeight="false" outlineLevel="0" collapsed="false">
      <c r="A80" s="26" t="s">
        <v>144</v>
      </c>
      <c r="B80" s="26" t="s">
        <v>85</v>
      </c>
      <c r="C80" s="27" t="n">
        <v>46238</v>
      </c>
      <c r="D80" s="27" t="n">
        <v>46240</v>
      </c>
      <c r="E80" s="26" t="s">
        <v>70</v>
      </c>
      <c r="F80" s="26" t="s">
        <v>99</v>
      </c>
      <c r="G80" s="28" t="n">
        <v>50</v>
      </c>
      <c r="H80" s="26"/>
      <c r="I80" s="29" t="str">
        <f aca="false">IF($A80="","",IF(COUNTIFS(tblShipment[Shipment ID],$A80,tblShipment[Item Code],$F80)&gt;1,"Item listed twice",IF(COUNTIFS(tblShipment[Shipment ID],$A80,tblShipment[Market],"&lt;&gt;"&amp;$B80)&gt;0,"Market differs on same shipment",IF($D80&lt;$C80,"Arrival before ship date",IF(AND($E80="Local",$D80&lt;&gt;$C80),"Local: dates must match",IF(N($G80)&lt;=0,"Qty must be more than 0","OK"))))))</f>
        <v>OK</v>
      </c>
    </row>
    <row r="81" customFormat="false" ht="15" hidden="false" customHeight="false" outlineLevel="0" collapsed="false">
      <c r="A81" s="26" t="s">
        <v>144</v>
      </c>
      <c r="B81" s="26" t="s">
        <v>85</v>
      </c>
      <c r="C81" s="27" t="n">
        <v>46238</v>
      </c>
      <c r="D81" s="27" t="n">
        <v>46240</v>
      </c>
      <c r="E81" s="26" t="s">
        <v>70</v>
      </c>
      <c r="F81" s="26" t="s">
        <v>76</v>
      </c>
      <c r="G81" s="28" t="n">
        <v>100</v>
      </c>
      <c r="H81" s="26"/>
      <c r="I81" s="29" t="str">
        <f aca="false">IF($A81="","",IF(COUNTIFS(tblShipment[Shipment ID],$A81,tblShipment[Item Code],$F81)&gt;1,"Item listed twice",IF(COUNTIFS(tblShipment[Shipment ID],$A81,tblShipment[Market],"&lt;&gt;"&amp;$B81)&gt;0,"Market differs on same shipment",IF($D81&lt;$C81,"Arrival before ship date",IF(AND($E81="Local",$D81&lt;&gt;$C81),"Local: dates must match",IF(N($G81)&lt;=0,"Qty must be more than 0","OK"))))))</f>
        <v>OK</v>
      </c>
    </row>
    <row r="82" customFormat="false" ht="15" hidden="false" customHeight="false" outlineLevel="0" collapsed="false">
      <c r="A82" s="26" t="s">
        <v>144</v>
      </c>
      <c r="B82" s="26" t="s">
        <v>85</v>
      </c>
      <c r="C82" s="27" t="n">
        <v>46238</v>
      </c>
      <c r="D82" s="27" t="n">
        <v>46240</v>
      </c>
      <c r="E82" s="26" t="s">
        <v>70</v>
      </c>
      <c r="F82" s="26" t="s">
        <v>88</v>
      </c>
      <c r="G82" s="28" t="n">
        <v>50</v>
      </c>
      <c r="H82" s="26"/>
      <c r="I82" s="29" t="str">
        <f aca="false">IF($A82="","",IF(COUNTIFS(tblShipment[Shipment ID],$A82,tblShipment[Item Code],$F82)&gt;1,"Item listed twice",IF(COUNTIFS(tblShipment[Shipment ID],$A82,tblShipment[Market],"&lt;&gt;"&amp;$B82)&gt;0,"Market differs on same shipment",IF($D82&lt;$C82,"Arrival before ship date",IF(AND($E82="Local",$D82&lt;&gt;$C82),"Local: dates must match",IF(N($G82)&lt;=0,"Qty must be more than 0","OK"))))))</f>
        <v>OK</v>
      </c>
    </row>
    <row r="83" customFormat="false" ht="15" hidden="false" customHeight="false" outlineLevel="0" collapsed="false">
      <c r="A83" s="26" t="s">
        <v>144</v>
      </c>
      <c r="B83" s="26" t="s">
        <v>85</v>
      </c>
      <c r="C83" s="27" t="n">
        <v>46238</v>
      </c>
      <c r="D83" s="27" t="n">
        <v>46240</v>
      </c>
      <c r="E83" s="26" t="s">
        <v>70</v>
      </c>
      <c r="F83" s="26" t="s">
        <v>83</v>
      </c>
      <c r="G83" s="28" t="n">
        <v>40</v>
      </c>
      <c r="H83" s="26"/>
      <c r="I83" s="29" t="str">
        <f aca="false">IF($A83="","",IF(COUNTIFS(tblShipment[Shipment ID],$A83,tblShipment[Item Code],$F83)&gt;1,"Item listed twice",IF(COUNTIFS(tblShipment[Shipment ID],$A83,tblShipment[Market],"&lt;&gt;"&amp;$B83)&gt;0,"Market differs on same shipment",IF($D83&lt;$C83,"Arrival before ship date",IF(AND($E83="Local",$D83&lt;&gt;$C83),"Local: dates must match",IF(N($G83)&lt;=0,"Qty must be more than 0","OK"))))))</f>
        <v>OK</v>
      </c>
    </row>
    <row r="84" customFormat="false" ht="15" hidden="false" customHeight="false" outlineLevel="0" collapsed="false">
      <c r="A84" s="26" t="s">
        <v>145</v>
      </c>
      <c r="B84" s="26" t="s">
        <v>85</v>
      </c>
      <c r="C84" s="27" t="n">
        <v>46241</v>
      </c>
      <c r="D84" s="27" t="n">
        <v>46243</v>
      </c>
      <c r="E84" s="26" t="s">
        <v>70</v>
      </c>
      <c r="F84" s="26" t="s">
        <v>88</v>
      </c>
      <c r="G84" s="28" t="n">
        <v>40</v>
      </c>
      <c r="H84" s="26"/>
      <c r="I84" s="29" t="str">
        <f aca="false">IF($A84="","",IF(COUNTIFS(tblShipment[Shipment ID],$A84,tblShipment[Item Code],$F84)&gt;1,"Item listed twice",IF(COUNTIFS(tblShipment[Shipment ID],$A84,tblShipment[Market],"&lt;&gt;"&amp;$B84)&gt;0,"Market differs on same shipment",IF($D84&lt;$C84,"Arrival before ship date",IF(AND($E84="Local",$D84&lt;&gt;$C84),"Local: dates must match",IF(N($G84)&lt;=0,"Qty must be more than 0","OK"))))))</f>
        <v>OK</v>
      </c>
    </row>
    <row r="85" customFormat="false" ht="15" hidden="false" customHeight="false" outlineLevel="0" collapsed="false">
      <c r="A85" s="26" t="s">
        <v>145</v>
      </c>
      <c r="B85" s="26" t="s">
        <v>85</v>
      </c>
      <c r="C85" s="27" t="n">
        <v>46241</v>
      </c>
      <c r="D85" s="27" t="n">
        <v>46243</v>
      </c>
      <c r="E85" s="26" t="s">
        <v>70</v>
      </c>
      <c r="F85" s="26" t="s">
        <v>67</v>
      </c>
      <c r="G85" s="28" t="n">
        <v>50</v>
      </c>
      <c r="H85" s="26"/>
      <c r="I85" s="29" t="str">
        <f aca="false">IF($A85="","",IF(COUNTIFS(tblShipment[Shipment ID],$A85,tblShipment[Item Code],$F85)&gt;1,"Item listed twice",IF(COUNTIFS(tblShipment[Shipment ID],$A85,tblShipment[Market],"&lt;&gt;"&amp;$B85)&gt;0,"Market differs on same shipment",IF($D85&lt;$C85,"Arrival before ship date",IF(AND($E85="Local",$D85&lt;&gt;$C85),"Local: dates must match",IF(N($G85)&lt;=0,"Qty must be more than 0","OK"))))))</f>
        <v>OK</v>
      </c>
    </row>
    <row r="86" customFormat="false" ht="15" hidden="false" customHeight="false" outlineLevel="0" collapsed="false">
      <c r="A86" s="26" t="s">
        <v>145</v>
      </c>
      <c r="B86" s="26" t="s">
        <v>85</v>
      </c>
      <c r="C86" s="27" t="n">
        <v>46241</v>
      </c>
      <c r="D86" s="27" t="n">
        <v>46243</v>
      </c>
      <c r="E86" s="26" t="s">
        <v>70</v>
      </c>
      <c r="F86" s="26" t="s">
        <v>76</v>
      </c>
      <c r="G86" s="28" t="n">
        <v>40</v>
      </c>
      <c r="H86" s="26"/>
      <c r="I86" s="29" t="str">
        <f aca="false">IF($A86="","",IF(COUNTIFS(tblShipment[Shipment ID],$A86,tblShipment[Item Code],$F86)&gt;1,"Item listed twice",IF(COUNTIFS(tblShipment[Shipment ID],$A86,tblShipment[Market],"&lt;&gt;"&amp;$B86)&gt;0,"Market differs on same shipment",IF($D86&lt;$C86,"Arrival before ship date",IF(AND($E86="Local",$D86&lt;&gt;$C86),"Local: dates must match",IF(N($G86)&lt;=0,"Qty must be more than 0","OK"))))))</f>
        <v>OK</v>
      </c>
    </row>
    <row r="87" customFormat="false" ht="15" hidden="false" customHeight="false" outlineLevel="0" collapsed="false">
      <c r="A87" s="26" t="s">
        <v>145</v>
      </c>
      <c r="B87" s="26" t="s">
        <v>85</v>
      </c>
      <c r="C87" s="27" t="n">
        <v>46241</v>
      </c>
      <c r="D87" s="27" t="n">
        <v>46243</v>
      </c>
      <c r="E87" s="26" t="s">
        <v>70</v>
      </c>
      <c r="F87" s="26" t="s">
        <v>99</v>
      </c>
      <c r="G87" s="28" t="n">
        <v>100</v>
      </c>
      <c r="H87" s="26"/>
      <c r="I87" s="29" t="str">
        <f aca="false">IF($A87="","",IF(COUNTIFS(tblShipment[Shipment ID],$A87,tblShipment[Item Code],$F87)&gt;1,"Item listed twice",IF(COUNTIFS(tblShipment[Shipment ID],$A87,tblShipment[Market],"&lt;&gt;"&amp;$B87)&gt;0,"Market differs on same shipment",IF($D87&lt;$C87,"Arrival before ship date",IF(AND($E87="Local",$D87&lt;&gt;$C87),"Local: dates must match",IF(N($G87)&lt;=0,"Qty must be more than 0","OK"))))))</f>
        <v>OK</v>
      </c>
    </row>
    <row r="88" customFormat="false" ht="15" hidden="false" customHeight="false" outlineLevel="0" collapsed="false">
      <c r="A88" s="26" t="s">
        <v>146</v>
      </c>
      <c r="B88" s="26" t="s">
        <v>85</v>
      </c>
      <c r="C88" s="27" t="n">
        <v>46245</v>
      </c>
      <c r="D88" s="27" t="n">
        <v>46247</v>
      </c>
      <c r="E88" s="26" t="s">
        <v>70</v>
      </c>
      <c r="F88" s="26" t="s">
        <v>67</v>
      </c>
      <c r="G88" s="28" t="n">
        <v>60</v>
      </c>
      <c r="H88" s="26"/>
      <c r="I88" s="29" t="str">
        <f aca="false">IF($A88="","",IF(COUNTIFS(tblShipment[Shipment ID],$A88,tblShipment[Item Code],$F88)&gt;1,"Item listed twice",IF(COUNTIFS(tblShipment[Shipment ID],$A88,tblShipment[Market],"&lt;&gt;"&amp;$B88)&gt;0,"Market differs on same shipment",IF($D88&lt;$C88,"Arrival before ship date",IF(AND($E88="Local",$D88&lt;&gt;$C88),"Local: dates must match",IF(N($G88)&lt;=0,"Qty must be more than 0","OK"))))))</f>
        <v>OK</v>
      </c>
    </row>
    <row r="89" customFormat="false" ht="15" hidden="false" customHeight="false" outlineLevel="0" collapsed="false">
      <c r="A89" s="26" t="s">
        <v>146</v>
      </c>
      <c r="B89" s="26" t="s">
        <v>85</v>
      </c>
      <c r="C89" s="27" t="n">
        <v>46245</v>
      </c>
      <c r="D89" s="27" t="n">
        <v>46247</v>
      </c>
      <c r="E89" s="26" t="s">
        <v>70</v>
      </c>
      <c r="F89" s="26" t="s">
        <v>88</v>
      </c>
      <c r="G89" s="28" t="n">
        <v>100</v>
      </c>
      <c r="H89" s="26"/>
      <c r="I89" s="29" t="str">
        <f aca="false">IF($A89="","",IF(COUNTIFS(tblShipment[Shipment ID],$A89,tblShipment[Item Code],$F89)&gt;1,"Item listed twice",IF(COUNTIFS(tblShipment[Shipment ID],$A89,tblShipment[Market],"&lt;&gt;"&amp;$B89)&gt;0,"Market differs on same shipment",IF($D89&lt;$C89,"Arrival before ship date",IF(AND($E89="Local",$D89&lt;&gt;$C89),"Local: dates must match",IF(N($G89)&lt;=0,"Qty must be more than 0","OK"))))))</f>
        <v>OK</v>
      </c>
    </row>
    <row r="90" customFormat="false" ht="15" hidden="false" customHeight="false" outlineLevel="0" collapsed="false">
      <c r="A90" s="26" t="s">
        <v>146</v>
      </c>
      <c r="B90" s="26" t="s">
        <v>85</v>
      </c>
      <c r="C90" s="27" t="n">
        <v>46245</v>
      </c>
      <c r="D90" s="27" t="n">
        <v>46247</v>
      </c>
      <c r="E90" s="26" t="s">
        <v>70</v>
      </c>
      <c r="F90" s="26" t="s">
        <v>76</v>
      </c>
      <c r="G90" s="28" t="n">
        <v>80</v>
      </c>
      <c r="H90" s="26"/>
      <c r="I90" s="29" t="str">
        <f aca="false">IF($A90="","",IF(COUNTIFS(tblShipment[Shipment ID],$A90,tblShipment[Item Code],$F90)&gt;1,"Item listed twice",IF(COUNTIFS(tblShipment[Shipment ID],$A90,tblShipment[Market],"&lt;&gt;"&amp;$B90)&gt;0,"Market differs on same shipment",IF($D90&lt;$C90,"Arrival before ship date",IF(AND($E90="Local",$D90&lt;&gt;$C90),"Local: dates must match",IF(N($G90)&lt;=0,"Qty must be more than 0","OK"))))))</f>
        <v>OK</v>
      </c>
    </row>
    <row r="91" customFormat="false" ht="15" hidden="false" customHeight="false" outlineLevel="0" collapsed="false">
      <c r="A91" s="26" t="s">
        <v>147</v>
      </c>
      <c r="B91" s="26" t="s">
        <v>90</v>
      </c>
      <c r="C91" s="27" t="n">
        <v>46221</v>
      </c>
      <c r="D91" s="27" t="n">
        <v>46223</v>
      </c>
      <c r="E91" s="26" t="s">
        <v>70</v>
      </c>
      <c r="F91" s="26" t="s">
        <v>88</v>
      </c>
      <c r="G91" s="28" t="n">
        <v>50</v>
      </c>
      <c r="H91" s="26"/>
      <c r="I91" s="29" t="str">
        <f aca="false">IF($A91="","",IF(COUNTIFS(tblShipment[Shipment ID],$A91,tblShipment[Item Code],$F91)&gt;1,"Item listed twice",IF(COUNTIFS(tblShipment[Shipment ID],$A91,tblShipment[Market],"&lt;&gt;"&amp;$B91)&gt;0,"Market differs on same shipment",IF($D91&lt;$C91,"Arrival before ship date",IF(AND($E91="Local",$D91&lt;&gt;$C91),"Local: dates must match",IF(N($G91)&lt;=0,"Qty must be more than 0","OK"))))))</f>
        <v>OK</v>
      </c>
    </row>
    <row r="92" customFormat="false" ht="15" hidden="false" customHeight="false" outlineLevel="0" collapsed="false">
      <c r="A92" s="26" t="s">
        <v>147</v>
      </c>
      <c r="B92" s="26" t="s">
        <v>90</v>
      </c>
      <c r="C92" s="27" t="n">
        <v>46221</v>
      </c>
      <c r="D92" s="27" t="n">
        <v>46223</v>
      </c>
      <c r="E92" s="26" t="s">
        <v>70</v>
      </c>
      <c r="F92" s="26" t="s">
        <v>83</v>
      </c>
      <c r="G92" s="28" t="n">
        <v>80</v>
      </c>
      <c r="H92" s="26"/>
      <c r="I92" s="29" t="str">
        <f aca="false">IF($A92="","",IF(COUNTIFS(tblShipment[Shipment ID],$A92,tblShipment[Item Code],$F92)&gt;1,"Item listed twice",IF(COUNTIFS(tblShipment[Shipment ID],$A92,tblShipment[Market],"&lt;&gt;"&amp;$B92)&gt;0,"Market differs on same shipment",IF($D92&lt;$C92,"Arrival before ship date",IF(AND($E92="Local",$D92&lt;&gt;$C92),"Local: dates must match",IF(N($G92)&lt;=0,"Qty must be more than 0","OK"))))))</f>
        <v>OK</v>
      </c>
    </row>
    <row r="93" customFormat="false" ht="15" hidden="false" customHeight="false" outlineLevel="0" collapsed="false">
      <c r="A93" s="26" t="s">
        <v>147</v>
      </c>
      <c r="B93" s="26" t="s">
        <v>90</v>
      </c>
      <c r="C93" s="27" t="n">
        <v>46223</v>
      </c>
      <c r="D93" s="27" t="n">
        <v>46223</v>
      </c>
      <c r="E93" s="26" t="s">
        <v>82</v>
      </c>
      <c r="F93" s="26" t="s">
        <v>99</v>
      </c>
      <c r="G93" s="28" t="n">
        <v>50</v>
      </c>
      <c r="H93" s="26"/>
      <c r="I93" s="29" t="str">
        <f aca="false">IF($A93="","",IF(COUNTIFS(tblShipment[Shipment ID],$A93,tblShipment[Item Code],$F93)&gt;1,"Item listed twice",IF(COUNTIFS(tblShipment[Shipment ID],$A93,tblShipment[Market],"&lt;&gt;"&amp;$B93)&gt;0,"Market differs on same shipment",IF($D93&lt;$C93,"Arrival before ship date",IF(AND($E93="Local",$D93&lt;&gt;$C93),"Local: dates must match",IF(N($G93)&lt;=0,"Qty must be more than 0","OK"))))))</f>
        <v>OK</v>
      </c>
    </row>
    <row r="94" customFormat="false" ht="15" hidden="false" customHeight="false" outlineLevel="0" collapsed="false">
      <c r="A94" s="26" t="s">
        <v>147</v>
      </c>
      <c r="B94" s="26" t="s">
        <v>90</v>
      </c>
      <c r="C94" s="27" t="n">
        <v>46221</v>
      </c>
      <c r="D94" s="27" t="n">
        <v>46223</v>
      </c>
      <c r="E94" s="26" t="s">
        <v>70</v>
      </c>
      <c r="F94" s="26" t="s">
        <v>76</v>
      </c>
      <c r="G94" s="28" t="n">
        <v>40</v>
      </c>
      <c r="H94" s="26"/>
      <c r="I94" s="29" t="str">
        <f aca="false">IF($A94="","",IF(COUNTIFS(tblShipment[Shipment ID],$A94,tblShipment[Item Code],$F94)&gt;1,"Item listed twice",IF(COUNTIFS(tblShipment[Shipment ID],$A94,tblShipment[Market],"&lt;&gt;"&amp;$B94)&gt;0,"Market differs on same shipment",IF($D94&lt;$C94,"Arrival before ship date",IF(AND($E94="Local",$D94&lt;&gt;$C94),"Local: dates must match",IF(N($G94)&lt;=0,"Qty must be more than 0","OK"))))))</f>
        <v>OK</v>
      </c>
    </row>
    <row r="95" customFormat="false" ht="15" hidden="false" customHeight="false" outlineLevel="0" collapsed="false">
      <c r="A95" s="26" t="s">
        <v>148</v>
      </c>
      <c r="B95" s="26" t="s">
        <v>90</v>
      </c>
      <c r="C95" s="27" t="n">
        <v>46225</v>
      </c>
      <c r="D95" s="27" t="n">
        <v>46227</v>
      </c>
      <c r="E95" s="26" t="s">
        <v>70</v>
      </c>
      <c r="F95" s="26" t="s">
        <v>67</v>
      </c>
      <c r="G95" s="28" t="n">
        <v>120</v>
      </c>
      <c r="H95" s="26"/>
      <c r="I95" s="29" t="str">
        <f aca="false">IF($A95="","",IF(COUNTIFS(tblShipment[Shipment ID],$A95,tblShipment[Item Code],$F95)&gt;1,"Item listed twice",IF(COUNTIFS(tblShipment[Shipment ID],$A95,tblShipment[Market],"&lt;&gt;"&amp;$B95)&gt;0,"Market differs on same shipment",IF($D95&lt;$C95,"Arrival before ship date",IF(AND($E95="Local",$D95&lt;&gt;$C95),"Local: dates must match",IF(N($G95)&lt;=0,"Qty must be more than 0","OK"))))))</f>
        <v>OK</v>
      </c>
    </row>
    <row r="96" customFormat="false" ht="15" hidden="false" customHeight="false" outlineLevel="0" collapsed="false">
      <c r="A96" s="26" t="s">
        <v>148</v>
      </c>
      <c r="B96" s="26" t="s">
        <v>90</v>
      </c>
      <c r="C96" s="27" t="n">
        <v>46225</v>
      </c>
      <c r="D96" s="27" t="n">
        <v>46227</v>
      </c>
      <c r="E96" s="26" t="s">
        <v>70</v>
      </c>
      <c r="F96" s="26" t="s">
        <v>76</v>
      </c>
      <c r="G96" s="28" t="n">
        <v>80</v>
      </c>
      <c r="H96" s="26"/>
      <c r="I96" s="29" t="str">
        <f aca="false">IF($A96="","",IF(COUNTIFS(tblShipment[Shipment ID],$A96,tblShipment[Item Code],$F96)&gt;1,"Item listed twice",IF(COUNTIFS(tblShipment[Shipment ID],$A96,tblShipment[Market],"&lt;&gt;"&amp;$B96)&gt;0,"Market differs on same shipment",IF($D96&lt;$C96,"Arrival before ship date",IF(AND($E96="Local",$D96&lt;&gt;$C96),"Local: dates must match",IF(N($G96)&lt;=0,"Qty must be more than 0","OK"))))))</f>
        <v>OK</v>
      </c>
    </row>
    <row r="97" customFormat="false" ht="15" hidden="false" customHeight="false" outlineLevel="0" collapsed="false">
      <c r="A97" s="26" t="s">
        <v>148</v>
      </c>
      <c r="B97" s="26" t="s">
        <v>90</v>
      </c>
      <c r="C97" s="27" t="n">
        <v>46227</v>
      </c>
      <c r="D97" s="27" t="n">
        <v>46227</v>
      </c>
      <c r="E97" s="26" t="s">
        <v>82</v>
      </c>
      <c r="F97" s="26" t="s">
        <v>99</v>
      </c>
      <c r="G97" s="28" t="n">
        <v>50</v>
      </c>
      <c r="H97" s="26"/>
      <c r="I97" s="29" t="str">
        <f aca="false">IF($A97="","",IF(COUNTIFS(tblShipment[Shipment ID],$A97,tblShipment[Item Code],$F97)&gt;1,"Item listed twice",IF(COUNTIFS(tblShipment[Shipment ID],$A97,tblShipment[Market],"&lt;&gt;"&amp;$B97)&gt;0,"Market differs on same shipment",IF($D97&lt;$C97,"Arrival before ship date",IF(AND($E97="Local",$D97&lt;&gt;$C97),"Local: dates must match",IF(N($G97)&lt;=0,"Qty must be more than 0","OK"))))))</f>
        <v>OK</v>
      </c>
    </row>
    <row r="98" customFormat="false" ht="15" hidden="false" customHeight="false" outlineLevel="0" collapsed="false">
      <c r="A98" s="26" t="s">
        <v>148</v>
      </c>
      <c r="B98" s="26" t="s">
        <v>90</v>
      </c>
      <c r="C98" s="27" t="n">
        <v>46225</v>
      </c>
      <c r="D98" s="27" t="n">
        <v>46227</v>
      </c>
      <c r="E98" s="26" t="s">
        <v>70</v>
      </c>
      <c r="F98" s="26" t="s">
        <v>94</v>
      </c>
      <c r="G98" s="28" t="n">
        <v>50</v>
      </c>
      <c r="H98" s="26"/>
      <c r="I98" s="29" t="str">
        <f aca="false">IF($A98="","",IF(COUNTIFS(tblShipment[Shipment ID],$A98,tblShipment[Item Code],$F98)&gt;1,"Item listed twice",IF(COUNTIFS(tblShipment[Shipment ID],$A98,tblShipment[Market],"&lt;&gt;"&amp;$B98)&gt;0,"Market differs on same shipment",IF($D98&lt;$C98,"Arrival before ship date",IF(AND($E98="Local",$D98&lt;&gt;$C98),"Local: dates must match",IF(N($G98)&lt;=0,"Qty must be more than 0","OK"))))))</f>
        <v>OK</v>
      </c>
    </row>
    <row r="99" customFormat="false" ht="15" hidden="false" customHeight="false" outlineLevel="0" collapsed="false">
      <c r="A99" s="26" t="s">
        <v>148</v>
      </c>
      <c r="B99" s="26" t="s">
        <v>90</v>
      </c>
      <c r="C99" s="27" t="n">
        <v>46225</v>
      </c>
      <c r="D99" s="27" t="n">
        <v>46227</v>
      </c>
      <c r="E99" s="26" t="s">
        <v>70</v>
      </c>
      <c r="F99" s="26" t="s">
        <v>83</v>
      </c>
      <c r="G99" s="28" t="n">
        <v>50</v>
      </c>
      <c r="H99" s="26"/>
      <c r="I99" s="29" t="str">
        <f aca="false">IF($A99="","",IF(COUNTIFS(tblShipment[Shipment ID],$A99,tblShipment[Item Code],$F99)&gt;1,"Item listed twice",IF(COUNTIFS(tblShipment[Shipment ID],$A99,tblShipment[Market],"&lt;&gt;"&amp;$B99)&gt;0,"Market differs on same shipment",IF($D99&lt;$C99,"Arrival before ship date",IF(AND($E99="Local",$D99&lt;&gt;$C99),"Local: dates must match",IF(N($G99)&lt;=0,"Qty must be more than 0","OK"))))))</f>
        <v>OK</v>
      </c>
    </row>
    <row r="100" customFormat="false" ht="15" hidden="false" customHeight="false" outlineLevel="0" collapsed="false">
      <c r="A100" s="26" t="s">
        <v>149</v>
      </c>
      <c r="B100" s="26" t="s">
        <v>90</v>
      </c>
      <c r="C100" s="27" t="n">
        <v>46230</v>
      </c>
      <c r="D100" s="27" t="n">
        <v>46232</v>
      </c>
      <c r="E100" s="26" t="s">
        <v>70</v>
      </c>
      <c r="F100" s="26" t="s">
        <v>67</v>
      </c>
      <c r="G100" s="28" t="n">
        <v>50</v>
      </c>
      <c r="H100" s="26"/>
      <c r="I100" s="29" t="str">
        <f aca="false">IF($A100="","",IF(COUNTIFS(tblShipment[Shipment ID],$A100,tblShipment[Item Code],$F100)&gt;1,"Item listed twice",IF(COUNTIFS(tblShipment[Shipment ID],$A100,tblShipment[Market],"&lt;&gt;"&amp;$B100)&gt;0,"Market differs on same shipment",IF($D100&lt;$C100,"Arrival before ship date",IF(AND($E100="Local",$D100&lt;&gt;$C100),"Local: dates must match",IF(N($G100)&lt;=0,"Qty must be more than 0","OK"))))))</f>
        <v>OK</v>
      </c>
    </row>
    <row r="101" customFormat="false" ht="15" hidden="false" customHeight="false" outlineLevel="0" collapsed="false">
      <c r="A101" s="26" t="s">
        <v>149</v>
      </c>
      <c r="B101" s="26" t="s">
        <v>90</v>
      </c>
      <c r="C101" s="27" t="n">
        <v>46232</v>
      </c>
      <c r="D101" s="27" t="n">
        <v>46232</v>
      </c>
      <c r="E101" s="26" t="s">
        <v>82</v>
      </c>
      <c r="F101" s="26" t="s">
        <v>99</v>
      </c>
      <c r="G101" s="28" t="n">
        <v>80</v>
      </c>
      <c r="H101" s="26"/>
      <c r="I101" s="29" t="str">
        <f aca="false">IF($A101="","",IF(COUNTIFS(tblShipment[Shipment ID],$A101,tblShipment[Item Code],$F101)&gt;1,"Item listed twice",IF(COUNTIFS(tblShipment[Shipment ID],$A101,tblShipment[Market],"&lt;&gt;"&amp;$B101)&gt;0,"Market differs on same shipment",IF($D101&lt;$C101,"Arrival before ship date",IF(AND($E101="Local",$D101&lt;&gt;$C101),"Local: dates must match",IF(N($G101)&lt;=0,"Qty must be more than 0","OK"))))))</f>
        <v>OK</v>
      </c>
    </row>
    <row r="102" customFormat="false" ht="15" hidden="false" customHeight="false" outlineLevel="0" collapsed="false">
      <c r="A102" s="26" t="s">
        <v>149</v>
      </c>
      <c r="B102" s="26" t="s">
        <v>90</v>
      </c>
      <c r="C102" s="27" t="n">
        <v>46230</v>
      </c>
      <c r="D102" s="27" t="n">
        <v>46232</v>
      </c>
      <c r="E102" s="26" t="s">
        <v>70</v>
      </c>
      <c r="F102" s="26" t="s">
        <v>94</v>
      </c>
      <c r="G102" s="28" t="n">
        <v>60</v>
      </c>
      <c r="H102" s="26"/>
      <c r="I102" s="29" t="str">
        <f aca="false">IF($A102="","",IF(COUNTIFS(tblShipment[Shipment ID],$A102,tblShipment[Item Code],$F102)&gt;1,"Item listed twice",IF(COUNTIFS(tblShipment[Shipment ID],$A102,tblShipment[Market],"&lt;&gt;"&amp;$B102)&gt;0,"Market differs on same shipment",IF($D102&lt;$C102,"Arrival before ship date",IF(AND($E102="Local",$D102&lt;&gt;$C102),"Local: dates must match",IF(N($G102)&lt;=0,"Qty must be more than 0","OK"))))))</f>
        <v>OK</v>
      </c>
    </row>
    <row r="103" customFormat="false" ht="15" hidden="false" customHeight="false" outlineLevel="0" collapsed="false">
      <c r="A103" s="26" t="s">
        <v>149</v>
      </c>
      <c r="B103" s="26" t="s">
        <v>90</v>
      </c>
      <c r="C103" s="27" t="n">
        <v>46230</v>
      </c>
      <c r="D103" s="27" t="n">
        <v>46232</v>
      </c>
      <c r="E103" s="26" t="s">
        <v>70</v>
      </c>
      <c r="F103" s="26" t="s">
        <v>76</v>
      </c>
      <c r="G103" s="28" t="n">
        <v>40</v>
      </c>
      <c r="H103" s="26"/>
      <c r="I103" s="29" t="str">
        <f aca="false">IF($A103="","",IF(COUNTIFS(tblShipment[Shipment ID],$A103,tblShipment[Item Code],$F103)&gt;1,"Item listed twice",IF(COUNTIFS(tblShipment[Shipment ID],$A103,tblShipment[Market],"&lt;&gt;"&amp;$B103)&gt;0,"Market differs on same shipment",IF($D103&lt;$C103,"Arrival before ship date",IF(AND($E103="Local",$D103&lt;&gt;$C103),"Local: dates must match",IF(N($G103)&lt;=0,"Qty must be more than 0","OK"))))))</f>
        <v>OK</v>
      </c>
    </row>
    <row r="104" customFormat="false" ht="15" hidden="false" customHeight="false" outlineLevel="0" collapsed="false">
      <c r="A104" s="26" t="s">
        <v>150</v>
      </c>
      <c r="B104" s="26" t="s">
        <v>90</v>
      </c>
      <c r="C104" s="27" t="n">
        <v>46235</v>
      </c>
      <c r="D104" s="27" t="n">
        <v>46235</v>
      </c>
      <c r="E104" s="26" t="s">
        <v>82</v>
      </c>
      <c r="F104" s="26" t="s">
        <v>99</v>
      </c>
      <c r="G104" s="28" t="n">
        <v>120</v>
      </c>
      <c r="H104" s="26"/>
      <c r="I104" s="29" t="str">
        <f aca="false">IF($A104="","",IF(COUNTIFS(tblShipment[Shipment ID],$A104,tblShipment[Item Code],$F104)&gt;1,"Item listed twice",IF(COUNTIFS(tblShipment[Shipment ID],$A104,tblShipment[Market],"&lt;&gt;"&amp;$B104)&gt;0,"Market differs on same shipment",IF($D104&lt;$C104,"Arrival before ship date",IF(AND($E104="Local",$D104&lt;&gt;$C104),"Local: dates must match",IF(N($G104)&lt;=0,"Qty must be more than 0","OK"))))))</f>
        <v>OK</v>
      </c>
    </row>
    <row r="105" customFormat="false" ht="15" hidden="false" customHeight="false" outlineLevel="0" collapsed="false">
      <c r="A105" s="26" t="s">
        <v>150</v>
      </c>
      <c r="B105" s="26" t="s">
        <v>90</v>
      </c>
      <c r="C105" s="27" t="n">
        <v>46233</v>
      </c>
      <c r="D105" s="27" t="n">
        <v>46235</v>
      </c>
      <c r="E105" s="26" t="s">
        <v>70</v>
      </c>
      <c r="F105" s="26" t="s">
        <v>76</v>
      </c>
      <c r="G105" s="28" t="n">
        <v>60</v>
      </c>
      <c r="H105" s="26"/>
      <c r="I105" s="29" t="str">
        <f aca="false">IF($A105="","",IF(COUNTIFS(tblShipment[Shipment ID],$A105,tblShipment[Item Code],$F105)&gt;1,"Item listed twice",IF(COUNTIFS(tblShipment[Shipment ID],$A105,tblShipment[Market],"&lt;&gt;"&amp;$B105)&gt;0,"Market differs on same shipment",IF($D105&lt;$C105,"Arrival before ship date",IF(AND($E105="Local",$D105&lt;&gt;$C105),"Local: dates must match",IF(N($G105)&lt;=0,"Qty must be more than 0","OK"))))))</f>
        <v>OK</v>
      </c>
    </row>
    <row r="106" customFormat="false" ht="15" hidden="false" customHeight="false" outlineLevel="0" collapsed="false">
      <c r="A106" s="26" t="s">
        <v>150</v>
      </c>
      <c r="B106" s="26" t="s">
        <v>90</v>
      </c>
      <c r="C106" s="27" t="n">
        <v>46233</v>
      </c>
      <c r="D106" s="27" t="n">
        <v>46235</v>
      </c>
      <c r="E106" s="26" t="s">
        <v>70</v>
      </c>
      <c r="F106" s="26" t="s">
        <v>67</v>
      </c>
      <c r="G106" s="28" t="n">
        <v>50</v>
      </c>
      <c r="H106" s="26"/>
      <c r="I106" s="29" t="str">
        <f aca="false">IF($A106="","",IF(COUNTIFS(tblShipment[Shipment ID],$A106,tblShipment[Item Code],$F106)&gt;1,"Item listed twice",IF(COUNTIFS(tblShipment[Shipment ID],$A106,tblShipment[Market],"&lt;&gt;"&amp;$B106)&gt;0,"Market differs on same shipment",IF($D106&lt;$C106,"Arrival before ship date",IF(AND($E106="Local",$D106&lt;&gt;$C106),"Local: dates must match",IF(N($G106)&lt;=0,"Qty must be more than 0","OK"))))))</f>
        <v>OK</v>
      </c>
    </row>
    <row r="107" customFormat="false" ht="15" hidden="false" customHeight="false" outlineLevel="0" collapsed="false">
      <c r="A107" s="26" t="s">
        <v>150</v>
      </c>
      <c r="B107" s="26" t="s">
        <v>90</v>
      </c>
      <c r="C107" s="27" t="n">
        <v>46233</v>
      </c>
      <c r="D107" s="27" t="n">
        <v>46235</v>
      </c>
      <c r="E107" s="26" t="s">
        <v>70</v>
      </c>
      <c r="F107" s="26" t="s">
        <v>94</v>
      </c>
      <c r="G107" s="28" t="n">
        <v>100</v>
      </c>
      <c r="H107" s="26"/>
      <c r="I107" s="29" t="str">
        <f aca="false">IF($A107="","",IF(COUNTIFS(tblShipment[Shipment ID],$A107,tblShipment[Item Code],$F107)&gt;1,"Item listed twice",IF(COUNTIFS(tblShipment[Shipment ID],$A107,tblShipment[Market],"&lt;&gt;"&amp;$B107)&gt;0,"Market differs on same shipment",IF($D107&lt;$C107,"Arrival before ship date",IF(AND($E107="Local",$D107&lt;&gt;$C107),"Local: dates must match",IF(N($G107)&lt;=0,"Qty must be more than 0","OK"))))))</f>
        <v>OK</v>
      </c>
    </row>
    <row r="108" customFormat="false" ht="15" hidden="false" customHeight="false" outlineLevel="0" collapsed="false">
      <c r="A108" s="26" t="s">
        <v>150</v>
      </c>
      <c r="B108" s="26" t="s">
        <v>90</v>
      </c>
      <c r="C108" s="27" t="n">
        <v>46233</v>
      </c>
      <c r="D108" s="27" t="n">
        <v>46235</v>
      </c>
      <c r="E108" s="26" t="s">
        <v>70</v>
      </c>
      <c r="F108" s="26" t="s">
        <v>83</v>
      </c>
      <c r="G108" s="28" t="n">
        <v>60</v>
      </c>
      <c r="H108" s="26"/>
      <c r="I108" s="29" t="str">
        <f aca="false">IF($A108="","",IF(COUNTIFS(tblShipment[Shipment ID],$A108,tblShipment[Item Code],$F108)&gt;1,"Item listed twice",IF(COUNTIFS(tblShipment[Shipment ID],$A108,tblShipment[Market],"&lt;&gt;"&amp;$B108)&gt;0,"Market differs on same shipment",IF($D108&lt;$C108,"Arrival before ship date",IF(AND($E108="Local",$D108&lt;&gt;$C108),"Local: dates must match",IF(N($G108)&lt;=0,"Qty must be more than 0","OK"))))))</f>
        <v>OK</v>
      </c>
    </row>
    <row r="109" customFormat="false" ht="15" hidden="false" customHeight="false" outlineLevel="0" collapsed="false">
      <c r="A109" s="26" t="s">
        <v>151</v>
      </c>
      <c r="B109" s="26" t="s">
        <v>90</v>
      </c>
      <c r="C109" s="27" t="n">
        <v>46237</v>
      </c>
      <c r="D109" s="27" t="n">
        <v>46239</v>
      </c>
      <c r="E109" s="26" t="s">
        <v>70</v>
      </c>
      <c r="F109" s="26" t="s">
        <v>76</v>
      </c>
      <c r="G109" s="28" t="n">
        <v>80</v>
      </c>
      <c r="H109" s="26"/>
      <c r="I109" s="29" t="str">
        <f aca="false">IF($A109="","",IF(COUNTIFS(tblShipment[Shipment ID],$A109,tblShipment[Item Code],$F109)&gt;1,"Item listed twice",IF(COUNTIFS(tblShipment[Shipment ID],$A109,tblShipment[Market],"&lt;&gt;"&amp;$B109)&gt;0,"Market differs on same shipment",IF($D109&lt;$C109,"Arrival before ship date",IF(AND($E109="Local",$D109&lt;&gt;$C109),"Local: dates must match",IF(N($G109)&lt;=0,"Qty must be more than 0","OK"))))))</f>
        <v>OK</v>
      </c>
    </row>
    <row r="110" customFormat="false" ht="15" hidden="false" customHeight="false" outlineLevel="0" collapsed="false">
      <c r="A110" s="26" t="s">
        <v>151</v>
      </c>
      <c r="B110" s="26" t="s">
        <v>90</v>
      </c>
      <c r="C110" s="27" t="n">
        <v>46237</v>
      </c>
      <c r="D110" s="27" t="n">
        <v>46239</v>
      </c>
      <c r="E110" s="26" t="s">
        <v>70</v>
      </c>
      <c r="F110" s="26" t="s">
        <v>88</v>
      </c>
      <c r="G110" s="28" t="n">
        <v>50</v>
      </c>
      <c r="H110" s="26"/>
      <c r="I110" s="29" t="str">
        <f aca="false">IF($A110="","",IF(COUNTIFS(tblShipment[Shipment ID],$A110,tblShipment[Item Code],$F110)&gt;1,"Item listed twice",IF(COUNTIFS(tblShipment[Shipment ID],$A110,tblShipment[Market],"&lt;&gt;"&amp;$B110)&gt;0,"Market differs on same shipment",IF($D110&lt;$C110,"Arrival before ship date",IF(AND($E110="Local",$D110&lt;&gt;$C110),"Local: dates must match",IF(N($G110)&lt;=0,"Qty must be more than 0","OK"))))))</f>
        <v>OK</v>
      </c>
    </row>
    <row r="111" customFormat="false" ht="15" hidden="false" customHeight="false" outlineLevel="0" collapsed="false">
      <c r="A111" s="26" t="s">
        <v>151</v>
      </c>
      <c r="B111" s="26" t="s">
        <v>90</v>
      </c>
      <c r="C111" s="27" t="n">
        <v>46237</v>
      </c>
      <c r="D111" s="27" t="n">
        <v>46239</v>
      </c>
      <c r="E111" s="26" t="s">
        <v>70</v>
      </c>
      <c r="F111" s="26" t="s">
        <v>94</v>
      </c>
      <c r="G111" s="28" t="n">
        <v>80</v>
      </c>
      <c r="H111" s="26"/>
      <c r="I111" s="29" t="str">
        <f aca="false">IF($A111="","",IF(COUNTIFS(tblShipment[Shipment ID],$A111,tblShipment[Item Code],$F111)&gt;1,"Item listed twice",IF(COUNTIFS(tblShipment[Shipment ID],$A111,tblShipment[Market],"&lt;&gt;"&amp;$B111)&gt;0,"Market differs on same shipment",IF($D111&lt;$C111,"Arrival before ship date",IF(AND($E111="Local",$D111&lt;&gt;$C111),"Local: dates must match",IF(N($G111)&lt;=0,"Qty must be more than 0","OK"))))))</f>
        <v>OK</v>
      </c>
    </row>
    <row r="112" customFormat="false" ht="15" hidden="false" customHeight="false" outlineLevel="0" collapsed="false">
      <c r="A112" s="26" t="s">
        <v>151</v>
      </c>
      <c r="B112" s="26" t="s">
        <v>90</v>
      </c>
      <c r="C112" s="27" t="n">
        <v>46237</v>
      </c>
      <c r="D112" s="27" t="n">
        <v>46239</v>
      </c>
      <c r="E112" s="26" t="s">
        <v>70</v>
      </c>
      <c r="F112" s="26" t="s">
        <v>67</v>
      </c>
      <c r="G112" s="28" t="n">
        <v>40</v>
      </c>
      <c r="H112" s="26"/>
      <c r="I112" s="29" t="str">
        <f aca="false">IF($A112="","",IF(COUNTIFS(tblShipment[Shipment ID],$A112,tblShipment[Item Code],$F112)&gt;1,"Item listed twice",IF(COUNTIFS(tblShipment[Shipment ID],$A112,tblShipment[Market],"&lt;&gt;"&amp;$B112)&gt;0,"Market differs on same shipment",IF($D112&lt;$C112,"Arrival before ship date",IF(AND($E112="Local",$D112&lt;&gt;$C112),"Local: dates must match",IF(N($G112)&lt;=0,"Qty must be more than 0","OK"))))))</f>
        <v>OK</v>
      </c>
    </row>
    <row r="113" customFormat="false" ht="15" hidden="false" customHeight="false" outlineLevel="0" collapsed="false">
      <c r="A113" s="26" t="s">
        <v>151</v>
      </c>
      <c r="B113" s="26" t="s">
        <v>90</v>
      </c>
      <c r="C113" s="27" t="n">
        <v>46237</v>
      </c>
      <c r="D113" s="27" t="n">
        <v>46239</v>
      </c>
      <c r="E113" s="26" t="s">
        <v>70</v>
      </c>
      <c r="F113" s="26" t="s">
        <v>83</v>
      </c>
      <c r="G113" s="28" t="n">
        <v>40</v>
      </c>
      <c r="H113" s="26"/>
      <c r="I113" s="29" t="str">
        <f aca="false">IF($A113="","",IF(COUNTIFS(tblShipment[Shipment ID],$A113,tblShipment[Item Code],$F113)&gt;1,"Item listed twice",IF(COUNTIFS(tblShipment[Shipment ID],$A113,tblShipment[Market],"&lt;&gt;"&amp;$B113)&gt;0,"Market differs on same shipment",IF($D113&lt;$C113,"Arrival before ship date",IF(AND($E113="Local",$D113&lt;&gt;$C113),"Local: dates must match",IF(N($G113)&lt;=0,"Qty must be more than 0","OK"))))))</f>
        <v>OK</v>
      </c>
    </row>
    <row r="114" customFormat="false" ht="15" hidden="false" customHeight="false" outlineLevel="0" collapsed="false">
      <c r="A114" s="26" t="s">
        <v>152</v>
      </c>
      <c r="B114" s="26" t="s">
        <v>90</v>
      </c>
      <c r="C114" s="27" t="n">
        <v>46241</v>
      </c>
      <c r="D114" s="27" t="n">
        <v>46243</v>
      </c>
      <c r="E114" s="26" t="s">
        <v>70</v>
      </c>
      <c r="F114" s="26" t="s">
        <v>67</v>
      </c>
      <c r="G114" s="28" t="n">
        <v>120</v>
      </c>
      <c r="H114" s="26"/>
      <c r="I114" s="29" t="str">
        <f aca="false">IF($A114="","",IF(COUNTIFS(tblShipment[Shipment ID],$A114,tblShipment[Item Code],$F114)&gt;1,"Item listed twice",IF(COUNTIFS(tblShipment[Shipment ID],$A114,tblShipment[Market],"&lt;&gt;"&amp;$B114)&gt;0,"Market differs on same shipment",IF($D114&lt;$C114,"Arrival before ship date",IF(AND($E114="Local",$D114&lt;&gt;$C114),"Local: dates must match",IF(N($G114)&lt;=0,"Qty must be more than 0","OK"))))))</f>
        <v>OK</v>
      </c>
    </row>
    <row r="115" customFormat="false" ht="15" hidden="false" customHeight="false" outlineLevel="0" collapsed="false">
      <c r="A115" s="26" t="s">
        <v>152</v>
      </c>
      <c r="B115" s="26" t="s">
        <v>90</v>
      </c>
      <c r="C115" s="27" t="n">
        <v>46241</v>
      </c>
      <c r="D115" s="27" t="n">
        <v>46243</v>
      </c>
      <c r="E115" s="26" t="s">
        <v>70</v>
      </c>
      <c r="F115" s="26" t="s">
        <v>94</v>
      </c>
      <c r="G115" s="28" t="n">
        <v>100</v>
      </c>
      <c r="H115" s="26"/>
      <c r="I115" s="29" t="str">
        <f aca="false">IF($A115="","",IF(COUNTIFS(tblShipment[Shipment ID],$A115,tblShipment[Item Code],$F115)&gt;1,"Item listed twice",IF(COUNTIFS(tblShipment[Shipment ID],$A115,tblShipment[Market],"&lt;&gt;"&amp;$B115)&gt;0,"Market differs on same shipment",IF($D115&lt;$C115,"Arrival before ship date",IF(AND($E115="Local",$D115&lt;&gt;$C115),"Local: dates must match",IF(N($G115)&lt;=0,"Qty must be more than 0","OK"))))))</f>
        <v>OK</v>
      </c>
    </row>
    <row r="116" customFormat="false" ht="15" hidden="false" customHeight="false" outlineLevel="0" collapsed="false">
      <c r="A116" s="26" t="s">
        <v>152</v>
      </c>
      <c r="B116" s="26" t="s">
        <v>90</v>
      </c>
      <c r="C116" s="27" t="n">
        <v>46241</v>
      </c>
      <c r="D116" s="27" t="n">
        <v>46243</v>
      </c>
      <c r="E116" s="26" t="s">
        <v>70</v>
      </c>
      <c r="F116" s="26" t="s">
        <v>88</v>
      </c>
      <c r="G116" s="28" t="n">
        <v>120</v>
      </c>
      <c r="H116" s="26"/>
      <c r="I116" s="29" t="str">
        <f aca="false">IF($A116="","",IF(COUNTIFS(tblShipment[Shipment ID],$A116,tblShipment[Item Code],$F116)&gt;1,"Item listed twice",IF(COUNTIFS(tblShipment[Shipment ID],$A116,tblShipment[Market],"&lt;&gt;"&amp;$B116)&gt;0,"Market differs on same shipment",IF($D116&lt;$C116,"Arrival before ship date",IF(AND($E116="Local",$D116&lt;&gt;$C116),"Local: dates must match",IF(N($G116)&lt;=0,"Qty must be more than 0","OK"))))))</f>
        <v>OK</v>
      </c>
    </row>
    <row r="117" customFormat="false" ht="15" hidden="false" customHeight="false" outlineLevel="0" collapsed="false">
      <c r="A117" s="26" t="s">
        <v>152</v>
      </c>
      <c r="B117" s="26" t="s">
        <v>90</v>
      </c>
      <c r="C117" s="27" t="n">
        <v>46243</v>
      </c>
      <c r="D117" s="27" t="n">
        <v>46243</v>
      </c>
      <c r="E117" s="26" t="s">
        <v>82</v>
      </c>
      <c r="F117" s="26" t="s">
        <v>99</v>
      </c>
      <c r="G117" s="28" t="n">
        <v>50</v>
      </c>
      <c r="H117" s="26"/>
      <c r="I117" s="29" t="str">
        <f aca="false">IF($A117="","",IF(COUNTIFS(tblShipment[Shipment ID],$A117,tblShipment[Item Code],$F117)&gt;1,"Item listed twice",IF(COUNTIFS(tblShipment[Shipment ID],$A117,tblShipment[Market],"&lt;&gt;"&amp;$B117)&gt;0,"Market differs on same shipment",IF($D117&lt;$C117,"Arrival before ship date",IF(AND($E117="Local",$D117&lt;&gt;$C117),"Local: dates must match",IF(N($G117)&lt;=0,"Qty must be more than 0","OK"))))))</f>
        <v>OK</v>
      </c>
    </row>
    <row r="118" customFormat="false" ht="15" hidden="false" customHeight="false" outlineLevel="0" collapsed="false">
      <c r="A118" s="26" t="s">
        <v>153</v>
      </c>
      <c r="B118" s="26" t="s">
        <v>90</v>
      </c>
      <c r="C118" s="27" t="n">
        <v>46246</v>
      </c>
      <c r="D118" s="27" t="n">
        <v>46248</v>
      </c>
      <c r="E118" s="26" t="s">
        <v>70</v>
      </c>
      <c r="F118" s="26" t="s">
        <v>94</v>
      </c>
      <c r="G118" s="28" t="n">
        <v>100</v>
      </c>
      <c r="H118" s="26"/>
      <c r="I118" s="29" t="str">
        <f aca="false">IF($A118="","",IF(COUNTIFS(tblShipment[Shipment ID],$A118,tblShipment[Item Code],$F118)&gt;1,"Item listed twice",IF(COUNTIFS(tblShipment[Shipment ID],$A118,tblShipment[Market],"&lt;&gt;"&amp;$B118)&gt;0,"Market differs on same shipment",IF($D118&lt;$C118,"Arrival before ship date",IF(AND($E118="Local",$D118&lt;&gt;$C118),"Local: dates must match",IF(N($G118)&lt;=0,"Qty must be more than 0","OK"))))))</f>
        <v>OK</v>
      </c>
    </row>
    <row r="119" customFormat="false" ht="15" hidden="false" customHeight="false" outlineLevel="0" collapsed="false">
      <c r="A119" s="26" t="s">
        <v>153</v>
      </c>
      <c r="B119" s="26" t="s">
        <v>90</v>
      </c>
      <c r="C119" s="27" t="n">
        <v>46246</v>
      </c>
      <c r="D119" s="27" t="n">
        <v>46248</v>
      </c>
      <c r="E119" s="26" t="s">
        <v>70</v>
      </c>
      <c r="F119" s="26" t="s">
        <v>83</v>
      </c>
      <c r="G119" s="28" t="n">
        <v>50</v>
      </c>
      <c r="H119" s="26"/>
      <c r="I119" s="29" t="str">
        <f aca="false">IF($A119="","",IF(COUNTIFS(tblShipment[Shipment ID],$A119,tblShipment[Item Code],$F119)&gt;1,"Item listed twice",IF(COUNTIFS(tblShipment[Shipment ID],$A119,tblShipment[Market],"&lt;&gt;"&amp;$B119)&gt;0,"Market differs on same shipment",IF($D119&lt;$C119,"Arrival before ship date",IF(AND($E119="Local",$D119&lt;&gt;$C119),"Local: dates must match",IF(N($G119)&lt;=0,"Qty must be more than 0","OK"))))))</f>
        <v>OK</v>
      </c>
    </row>
    <row r="120" customFormat="false" ht="15" hidden="false" customHeight="false" outlineLevel="0" collapsed="false">
      <c r="A120" s="26" t="s">
        <v>153</v>
      </c>
      <c r="B120" s="26" t="s">
        <v>90</v>
      </c>
      <c r="C120" s="27" t="n">
        <v>46246</v>
      </c>
      <c r="D120" s="27" t="n">
        <v>46248</v>
      </c>
      <c r="E120" s="26" t="s">
        <v>70</v>
      </c>
      <c r="F120" s="26" t="s">
        <v>88</v>
      </c>
      <c r="G120" s="28" t="n">
        <v>80</v>
      </c>
      <c r="H120" s="26"/>
      <c r="I120" s="29" t="str">
        <f aca="false">IF($A120="","",IF(COUNTIFS(tblShipment[Shipment ID],$A120,tblShipment[Item Code],$F120)&gt;1,"Item listed twice",IF(COUNTIFS(tblShipment[Shipment ID],$A120,tblShipment[Market],"&lt;&gt;"&amp;$B120)&gt;0,"Market differs on same shipment",IF($D120&lt;$C120,"Arrival before ship date",IF(AND($E120="Local",$D120&lt;&gt;$C120),"Local: dates must match",IF(N($G120)&lt;=0,"Qty must be more than 0","OK"))))))</f>
        <v>OK</v>
      </c>
    </row>
    <row r="121" customFormat="false" ht="15" hidden="false" customHeight="false" outlineLevel="0" collapsed="false">
      <c r="A121" s="26" t="s">
        <v>153</v>
      </c>
      <c r="B121" s="26" t="s">
        <v>90</v>
      </c>
      <c r="C121" s="27" t="n">
        <v>46246</v>
      </c>
      <c r="D121" s="27" t="n">
        <v>46248</v>
      </c>
      <c r="E121" s="26" t="s">
        <v>70</v>
      </c>
      <c r="F121" s="26" t="s">
        <v>76</v>
      </c>
      <c r="G121" s="28" t="n">
        <v>80</v>
      </c>
      <c r="H121" s="26"/>
      <c r="I121" s="29" t="str">
        <f aca="false">IF($A121="","",IF(COUNTIFS(tblShipment[Shipment ID],$A121,tblShipment[Item Code],$F121)&gt;1,"Item listed twice",IF(COUNTIFS(tblShipment[Shipment ID],$A121,tblShipment[Market],"&lt;&gt;"&amp;$B121)&gt;0,"Market differs on same shipment",IF($D121&lt;$C121,"Arrival before ship date",IF(AND($E121="Local",$D121&lt;&gt;$C121),"Local: dates must match",IF(N($G121)&lt;=0,"Qty must be more than 0","OK"))))))</f>
        <v>OK</v>
      </c>
    </row>
  </sheetData>
  <conditionalFormatting sqref="I7:I8000">
    <cfRule type="expression" priority="2" aboveAverage="0" equalAverage="0" bottom="0" percent="0" rank="0" text="" dxfId="8">
      <formula>AND(I7&lt;&gt;"",I7&lt;&gt;"OK")</formula>
    </cfRule>
  </conditionalFormatting>
  <dataValidations count="3">
    <dataValidation allowBlank="true" errorStyle="stop" operator="between" showDropDown="false" showErrorMessage="false" showInputMessage="false" sqref="B7:B1121" type="list">
      <formula1>lstMarkets</formula1>
      <formula2>0</formula2>
    </dataValidation>
    <dataValidation allowBlank="true" errorStyle="stop" operator="between" showDropDown="false" showErrorMessage="false" showInputMessage="false" sqref="E7:E1121" type="list">
      <formula1>lstSource</formula1>
      <formula2>0</formula2>
    </dataValidation>
    <dataValidation allowBlank="true" errorStyle="stop" operator="between" showDropDown="false" showErrorMessage="false" showInputMessage="false" sqref="F7:F1121" type="list">
      <formula1>lstItems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9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24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4" customFormat="false" ht="15" hidden="false" customHeight="false" outlineLevel="0" collapsed="false">
      <c r="A4" s="2" t="s">
        <v>156</v>
      </c>
    </row>
    <row r="6" customFormat="false" ht="30" hidden="false" customHeight="true" outlineLevel="0" collapsed="false">
      <c r="A6" s="9" t="s">
        <v>157</v>
      </c>
      <c r="B6" s="9" t="s">
        <v>56</v>
      </c>
      <c r="C6" s="9" t="s">
        <v>158</v>
      </c>
      <c r="D6" s="9" t="s">
        <v>159</v>
      </c>
      <c r="E6" s="9" t="s">
        <v>60</v>
      </c>
      <c r="F6" s="9" t="s">
        <v>160</v>
      </c>
      <c r="G6" s="9" t="s">
        <v>161</v>
      </c>
      <c r="H6" s="9" t="s">
        <v>57</v>
      </c>
      <c r="I6" s="9" t="s">
        <v>58</v>
      </c>
      <c r="J6" s="9" t="s">
        <v>122</v>
      </c>
      <c r="K6" s="25" t="s">
        <v>123</v>
      </c>
    </row>
    <row r="7" customFormat="false" ht="15" hidden="false" customHeight="false" outlineLevel="0" collapsed="false">
      <c r="A7" s="27" t="n">
        <v>46221</v>
      </c>
      <c r="B7" s="26" t="s">
        <v>78</v>
      </c>
      <c r="C7" s="26" t="s">
        <v>131</v>
      </c>
      <c r="D7" s="26" t="s">
        <v>76</v>
      </c>
      <c r="E7" s="26" t="s">
        <v>81</v>
      </c>
      <c r="F7" s="28" t="n">
        <v>2</v>
      </c>
      <c r="G7" s="28"/>
      <c r="H7" s="26"/>
      <c r="I7" s="26"/>
      <c r="J7" s="26" t="s">
        <v>162</v>
      </c>
      <c r="K7" s="29" t="str">
        <f aca="false">IF($A7="","",IF(COUNTIFS(tblMoveTypes[Movement],$E7)=0,"Unknown movement type",IF(COUNTIF(tblShipment[Shipment ID],$C7)=0,"Unknown shipment",IF(COUNTIFS(tblShipment[Shipment ID],$C7,tblShipment[Market],$B7)=0,"Market does not match shipment",IF(AND(IFERROR(INDEX(tblMoveTypes[Item?],MATCH($E7,tblMoveTypes[Movement],0)),"?")="Yes",$D7=""),"Item needed",IF(AND(IFERROR(INDEX(tblMoveTypes[Item?],MATCH($E7,tblMoveTypes[Movement],0)),"?")="No",$D7&lt;&gt;""),"Leave Item blank",IF(AND(IFERROR(INDEX(tblMoveTypes[Courier?],MATCH($E7,tblMoveTypes[Movement],0)),"?")="Yes",$H7=""),"Courier needed",IF(AND(IFERROR(INDEX(tblMoveTypes[Courier?],MATCH($E7,tblMoveTypes[Movement],0)),"?")="No",$H7&lt;&gt;""),"Leave Courier blank",IF(AND(IFERROR(INDEX(tblMoveTypes[Orders?],MATCH($E7,tblMoveTypes[Movement],0)),"?")="Yes",$G7=""),"Orders needed",IF(AND(IFERROR(INDEX(tblMoveTypes[Orders?],MATCH($E7,tblMoveTypes[Movement],0)),"?")="No",$G7&lt;&gt;""),"Leave Orders blank",IF(AND(IFERROR(INDEX(tblMoveTypes[Reason?],MATCH($E7,tblMoveTypes[Movement],0)),"?")="Yes",$I7=""),"Reason needed",IF(AND(IFERROR(INDEX(tblMoveTypes[Qty?],MATCH($E7,tblMoveTypes[Movement],0)),"?")="Yes",N($F7)&lt;=0),"Qty needed",IF($A7&lt;_xlfn.MINIFS(tblShipment[Arrival Date],tblShipment[Shipment ID],$C7),"Date before arrival",IF(AND($D7&lt;&gt;"",COUNTIFS(tblShipment[Shipment ID],$C7,tblShipment[Item Code],$D7)=0),"Item not in this shipment",IF(AND($H7&lt;&gt;"",COUNTIFS(tblCouriers[Courier],$H7,tblCouriers[Market],$B7)=0),"Courier not in this market","OK")))))))))))))))</f>
        <v>OK</v>
      </c>
    </row>
    <row r="8" customFormat="false" ht="15" hidden="false" customHeight="false" outlineLevel="0" collapsed="false">
      <c r="A8" s="27" t="n">
        <v>46221</v>
      </c>
      <c r="B8" s="26" t="s">
        <v>78</v>
      </c>
      <c r="C8" s="26" t="s">
        <v>131</v>
      </c>
      <c r="D8" s="26" t="s">
        <v>76</v>
      </c>
      <c r="E8" s="26" t="s">
        <v>74</v>
      </c>
      <c r="F8" s="28" t="n">
        <v>98</v>
      </c>
      <c r="G8" s="28"/>
      <c r="H8" s="26"/>
      <c r="I8" s="26"/>
      <c r="J8" s="26"/>
      <c r="K8" s="29" t="str">
        <f aca="false">IF($A8="","",IF(COUNTIFS(tblMoveTypes[Movement],$E8)=0,"Unknown movement type",IF(COUNTIF(tblShipment[Shipment ID],$C8)=0,"Unknown shipment",IF(COUNTIFS(tblShipment[Shipment ID],$C8,tblShipment[Market],$B8)=0,"Market does not match shipment",IF(AND(IFERROR(INDEX(tblMoveTypes[Item?],MATCH($E8,tblMoveTypes[Movement],0)),"?")="Yes",$D8=""),"Item needed",IF(AND(IFERROR(INDEX(tblMoveTypes[Item?],MATCH($E8,tblMoveTypes[Movement],0)),"?")="No",$D8&lt;&gt;""),"Leave Item blank",IF(AND(IFERROR(INDEX(tblMoveTypes[Courier?],MATCH($E8,tblMoveTypes[Movement],0)),"?")="Yes",$H8=""),"Courier needed",IF(AND(IFERROR(INDEX(tblMoveTypes[Courier?],MATCH($E8,tblMoveTypes[Movement],0)),"?")="No",$H8&lt;&gt;""),"Leave Courier blank",IF(AND(IFERROR(INDEX(tblMoveTypes[Orders?],MATCH($E8,tblMoveTypes[Movement],0)),"?")="Yes",$G8=""),"Orders needed",IF(AND(IFERROR(INDEX(tblMoveTypes[Orders?],MATCH($E8,tblMoveTypes[Movement],0)),"?")="No",$G8&lt;&gt;""),"Leave Orders blank",IF(AND(IFERROR(INDEX(tblMoveTypes[Reason?],MATCH($E8,tblMoveTypes[Movement],0)),"?")="Yes",$I8=""),"Reason needed",IF(AND(IFERROR(INDEX(tblMoveTypes[Qty?],MATCH($E8,tblMoveTypes[Movement],0)),"?")="Yes",N($F8)&lt;=0),"Qty needed",IF($A8&lt;_xlfn.MINIFS(tblShipment[Arrival Date],tblShipment[Shipment ID],$C8),"Date before arrival",IF(AND($D8&lt;&gt;"",COUNTIFS(tblShipment[Shipment ID],$C8,tblShipment[Item Code],$D8)=0),"Item not in this shipment",IF(AND($H8&lt;&gt;"",COUNTIFS(tblCouriers[Courier],$H8,tblCouriers[Market],$B8)=0),"Courier not in this market","OK")))))))))))))))</f>
        <v>OK</v>
      </c>
    </row>
    <row r="9" customFormat="false" ht="15" hidden="false" customHeight="false" outlineLevel="0" collapsed="false">
      <c r="A9" s="27" t="n">
        <v>46221</v>
      </c>
      <c r="B9" s="26" t="s">
        <v>78</v>
      </c>
      <c r="C9" s="26" t="s">
        <v>131</v>
      </c>
      <c r="D9" s="26" t="s">
        <v>83</v>
      </c>
      <c r="E9" s="26" t="s">
        <v>81</v>
      </c>
      <c r="F9" s="28" t="n">
        <v>1</v>
      </c>
      <c r="G9" s="28"/>
      <c r="H9" s="26"/>
      <c r="I9" s="26"/>
      <c r="J9" s="26" t="s">
        <v>162</v>
      </c>
      <c r="K9" s="29" t="str">
        <f aca="false">IF($A9="","",IF(COUNTIFS(tblMoveTypes[Movement],$E9)=0,"Unknown movement type",IF(COUNTIF(tblShipment[Shipment ID],$C9)=0,"Unknown shipment",IF(COUNTIFS(tblShipment[Shipment ID],$C9,tblShipment[Market],$B9)=0,"Market does not match shipment",IF(AND(IFERROR(INDEX(tblMoveTypes[Item?],MATCH($E9,tblMoveTypes[Movement],0)),"?")="Yes",$D9=""),"Item needed",IF(AND(IFERROR(INDEX(tblMoveTypes[Item?],MATCH($E9,tblMoveTypes[Movement],0)),"?")="No",$D9&lt;&gt;""),"Leave Item blank",IF(AND(IFERROR(INDEX(tblMoveTypes[Courier?],MATCH($E9,tblMoveTypes[Movement],0)),"?")="Yes",$H9=""),"Courier needed",IF(AND(IFERROR(INDEX(tblMoveTypes[Courier?],MATCH($E9,tblMoveTypes[Movement],0)),"?")="No",$H9&lt;&gt;""),"Leave Courier blank",IF(AND(IFERROR(INDEX(tblMoveTypes[Orders?],MATCH($E9,tblMoveTypes[Movement],0)),"?")="Yes",$G9=""),"Orders needed",IF(AND(IFERROR(INDEX(tblMoveTypes[Orders?],MATCH($E9,tblMoveTypes[Movement],0)),"?")="No",$G9&lt;&gt;""),"Leave Orders blank",IF(AND(IFERROR(INDEX(tblMoveTypes[Reason?],MATCH($E9,tblMoveTypes[Movement],0)),"?")="Yes",$I9=""),"Reason needed",IF(AND(IFERROR(INDEX(tblMoveTypes[Qty?],MATCH($E9,tblMoveTypes[Movement],0)),"?")="Yes",N($F9)&lt;=0),"Qty needed",IF($A9&lt;_xlfn.MINIFS(tblShipment[Arrival Date],tblShipment[Shipment ID],$C9),"Date before arrival",IF(AND($D9&lt;&gt;"",COUNTIFS(tblShipment[Shipment ID],$C9,tblShipment[Item Code],$D9)=0),"Item not in this shipment",IF(AND($H9&lt;&gt;"",COUNTIFS(tblCouriers[Courier],$H9,tblCouriers[Market],$B9)=0),"Courier not in this market","OK")))))))))))))))</f>
        <v>OK</v>
      </c>
    </row>
    <row r="10" customFormat="false" ht="15" hidden="false" customHeight="false" outlineLevel="0" collapsed="false">
      <c r="A10" s="27" t="n">
        <v>46221</v>
      </c>
      <c r="B10" s="26" t="s">
        <v>78</v>
      </c>
      <c r="C10" s="26" t="s">
        <v>131</v>
      </c>
      <c r="D10" s="26" t="s">
        <v>83</v>
      </c>
      <c r="E10" s="26" t="s">
        <v>74</v>
      </c>
      <c r="F10" s="28" t="n">
        <v>99</v>
      </c>
      <c r="G10" s="28"/>
      <c r="H10" s="26"/>
      <c r="I10" s="26"/>
      <c r="J10" s="26"/>
      <c r="K10" s="29" t="str">
        <f aca="false">IF($A10="","",IF(COUNTIFS(tblMoveTypes[Movement],$E10)=0,"Unknown movement type",IF(COUNTIF(tblShipment[Shipment ID],$C10)=0,"Unknown shipment",IF(COUNTIFS(tblShipment[Shipment ID],$C10,tblShipment[Market],$B10)=0,"Market does not match shipment",IF(AND(IFERROR(INDEX(tblMoveTypes[Item?],MATCH($E10,tblMoveTypes[Movement],0)),"?")="Yes",$D10=""),"Item needed",IF(AND(IFERROR(INDEX(tblMoveTypes[Item?],MATCH($E10,tblMoveTypes[Movement],0)),"?")="No",$D10&lt;&gt;""),"Leave Item blank",IF(AND(IFERROR(INDEX(tblMoveTypes[Courier?],MATCH($E10,tblMoveTypes[Movement],0)),"?")="Yes",$H10=""),"Courier needed",IF(AND(IFERROR(INDEX(tblMoveTypes[Courier?],MATCH($E10,tblMoveTypes[Movement],0)),"?")="No",$H10&lt;&gt;""),"Leave Courier blank",IF(AND(IFERROR(INDEX(tblMoveTypes[Orders?],MATCH($E10,tblMoveTypes[Movement],0)),"?")="Yes",$G10=""),"Orders needed",IF(AND(IFERROR(INDEX(tblMoveTypes[Orders?],MATCH($E10,tblMoveTypes[Movement],0)),"?")="No",$G10&lt;&gt;""),"Leave Orders blank",IF(AND(IFERROR(INDEX(tblMoveTypes[Reason?],MATCH($E10,tblMoveTypes[Movement],0)),"?")="Yes",$I10=""),"Reason needed",IF(AND(IFERROR(INDEX(tblMoveTypes[Qty?],MATCH($E10,tblMoveTypes[Movement],0)),"?")="Yes",N($F10)&lt;=0),"Qty needed",IF($A10&lt;_xlfn.MINIFS(tblShipment[Arrival Date],tblShipment[Shipment ID],$C10),"Date before arrival",IF(AND($D10&lt;&gt;"",COUNTIFS(tblShipment[Shipment ID],$C10,tblShipment[Item Code],$D10)=0),"Item not in this shipment",IF(AND($H10&lt;&gt;"",COUNTIFS(tblCouriers[Courier],$H10,tblCouriers[Market],$B10)=0),"Courier not in this market","OK")))))))))))))))</f>
        <v>OK</v>
      </c>
    </row>
    <row r="11" customFormat="false" ht="15" hidden="false" customHeight="false" outlineLevel="0" collapsed="false">
      <c r="A11" s="27" t="n">
        <v>46221</v>
      </c>
      <c r="B11" s="26" t="s">
        <v>78</v>
      </c>
      <c r="C11" s="26" t="s">
        <v>131</v>
      </c>
      <c r="D11" s="26" t="s">
        <v>99</v>
      </c>
      <c r="E11" s="26" t="s">
        <v>81</v>
      </c>
      <c r="F11" s="28" t="n">
        <v>1</v>
      </c>
      <c r="G11" s="28"/>
      <c r="H11" s="26"/>
      <c r="I11" s="26"/>
      <c r="J11" s="26" t="s">
        <v>162</v>
      </c>
      <c r="K11" s="29" t="str">
        <f aca="false">IF($A11="","",IF(COUNTIFS(tblMoveTypes[Movement],$E11)=0,"Unknown movement type",IF(COUNTIF(tblShipment[Shipment ID],$C11)=0,"Unknown shipment",IF(COUNTIFS(tblShipment[Shipment ID],$C11,tblShipment[Market],$B11)=0,"Market does not match shipment",IF(AND(IFERROR(INDEX(tblMoveTypes[Item?],MATCH($E11,tblMoveTypes[Movement],0)),"?")="Yes",$D11=""),"Item needed",IF(AND(IFERROR(INDEX(tblMoveTypes[Item?],MATCH($E11,tblMoveTypes[Movement],0)),"?")="No",$D11&lt;&gt;""),"Leave Item blank",IF(AND(IFERROR(INDEX(tblMoveTypes[Courier?],MATCH($E11,tblMoveTypes[Movement],0)),"?")="Yes",$H11=""),"Courier needed",IF(AND(IFERROR(INDEX(tblMoveTypes[Courier?],MATCH($E11,tblMoveTypes[Movement],0)),"?")="No",$H11&lt;&gt;""),"Leave Courier blank",IF(AND(IFERROR(INDEX(tblMoveTypes[Orders?],MATCH($E11,tblMoveTypes[Movement],0)),"?")="Yes",$G11=""),"Orders needed",IF(AND(IFERROR(INDEX(tblMoveTypes[Orders?],MATCH($E11,tblMoveTypes[Movement],0)),"?")="No",$G11&lt;&gt;""),"Leave Orders blank",IF(AND(IFERROR(INDEX(tblMoveTypes[Reason?],MATCH($E11,tblMoveTypes[Movement],0)),"?")="Yes",$I11=""),"Reason needed",IF(AND(IFERROR(INDEX(tblMoveTypes[Qty?],MATCH($E11,tblMoveTypes[Movement],0)),"?")="Yes",N($F11)&lt;=0),"Qty needed",IF($A11&lt;_xlfn.MINIFS(tblShipment[Arrival Date],tblShipment[Shipment ID],$C11),"Date before arrival",IF(AND($D11&lt;&gt;"",COUNTIFS(tblShipment[Shipment ID],$C11,tblShipment[Item Code],$D11)=0),"Item not in this shipment",IF(AND($H11&lt;&gt;"",COUNTIFS(tblCouriers[Courier],$H11,tblCouriers[Market],$B11)=0),"Courier not in this market","OK")))))))))))))))</f>
        <v>OK</v>
      </c>
    </row>
    <row r="12" customFormat="false" ht="15" hidden="false" customHeight="false" outlineLevel="0" collapsed="false">
      <c r="A12" s="27" t="n">
        <v>46221</v>
      </c>
      <c r="B12" s="26" t="s">
        <v>78</v>
      </c>
      <c r="C12" s="26" t="s">
        <v>131</v>
      </c>
      <c r="D12" s="26" t="s">
        <v>99</v>
      </c>
      <c r="E12" s="26" t="s">
        <v>74</v>
      </c>
      <c r="F12" s="28" t="n">
        <v>39</v>
      </c>
      <c r="G12" s="28"/>
      <c r="H12" s="26"/>
      <c r="I12" s="26"/>
      <c r="J12" s="26"/>
      <c r="K12" s="29" t="str">
        <f aca="false">IF($A12="","",IF(COUNTIFS(tblMoveTypes[Movement],$E12)=0,"Unknown movement type",IF(COUNTIF(tblShipment[Shipment ID],$C12)=0,"Unknown shipment",IF(COUNTIFS(tblShipment[Shipment ID],$C12,tblShipment[Market],$B12)=0,"Market does not match shipment",IF(AND(IFERROR(INDEX(tblMoveTypes[Item?],MATCH($E12,tblMoveTypes[Movement],0)),"?")="Yes",$D12=""),"Item needed",IF(AND(IFERROR(INDEX(tblMoveTypes[Item?],MATCH($E12,tblMoveTypes[Movement],0)),"?")="No",$D12&lt;&gt;""),"Leave Item blank",IF(AND(IFERROR(INDEX(tblMoveTypes[Courier?],MATCH($E12,tblMoveTypes[Movement],0)),"?")="Yes",$H12=""),"Courier needed",IF(AND(IFERROR(INDEX(tblMoveTypes[Courier?],MATCH($E12,tblMoveTypes[Movement],0)),"?")="No",$H12&lt;&gt;""),"Leave Courier blank",IF(AND(IFERROR(INDEX(tblMoveTypes[Orders?],MATCH($E12,tblMoveTypes[Movement],0)),"?")="Yes",$G12=""),"Orders needed",IF(AND(IFERROR(INDEX(tblMoveTypes[Orders?],MATCH($E12,tblMoveTypes[Movement],0)),"?")="No",$G12&lt;&gt;""),"Leave Orders blank",IF(AND(IFERROR(INDEX(tblMoveTypes[Reason?],MATCH($E12,tblMoveTypes[Movement],0)),"?")="Yes",$I12=""),"Reason needed",IF(AND(IFERROR(INDEX(tblMoveTypes[Qty?],MATCH($E12,tblMoveTypes[Movement],0)),"?")="Yes",N($F12)&lt;=0),"Qty needed",IF($A12&lt;_xlfn.MINIFS(tblShipment[Arrival Date],tblShipment[Shipment ID],$C12),"Date before arrival",IF(AND($D12&lt;&gt;"",COUNTIFS(tblShipment[Shipment ID],$C12,tblShipment[Item Code],$D12)=0),"Item not in this shipment",IF(AND($H12&lt;&gt;"",COUNTIFS(tblCouriers[Courier],$H12,tblCouriers[Market],$B12)=0),"Courier not in this market","OK")))))))))))))))</f>
        <v>OK</v>
      </c>
    </row>
    <row r="13" customFormat="false" ht="15" hidden="false" customHeight="false" outlineLevel="0" collapsed="false">
      <c r="A13" s="27" t="n">
        <v>46221</v>
      </c>
      <c r="B13" s="26" t="s">
        <v>78</v>
      </c>
      <c r="C13" s="26" t="s">
        <v>131</v>
      </c>
      <c r="D13" s="26" t="s">
        <v>88</v>
      </c>
      <c r="E13" s="26" t="s">
        <v>74</v>
      </c>
      <c r="F13" s="28" t="n">
        <v>80</v>
      </c>
      <c r="G13" s="28"/>
      <c r="H13" s="26"/>
      <c r="I13" s="26"/>
      <c r="J13" s="26"/>
      <c r="K13" s="29" t="str">
        <f aca="false">IF($A13="","",IF(COUNTIFS(tblMoveTypes[Movement],$E13)=0,"Unknown movement type",IF(COUNTIF(tblShipment[Shipment ID],$C13)=0,"Unknown shipment",IF(COUNTIFS(tblShipment[Shipment ID],$C13,tblShipment[Market],$B13)=0,"Market does not match shipment",IF(AND(IFERROR(INDEX(tblMoveTypes[Item?],MATCH($E13,tblMoveTypes[Movement],0)),"?")="Yes",$D13=""),"Item needed",IF(AND(IFERROR(INDEX(tblMoveTypes[Item?],MATCH($E13,tblMoveTypes[Movement],0)),"?")="No",$D13&lt;&gt;""),"Leave Item blank",IF(AND(IFERROR(INDEX(tblMoveTypes[Courier?],MATCH($E13,tblMoveTypes[Movement],0)),"?")="Yes",$H13=""),"Courier needed",IF(AND(IFERROR(INDEX(tblMoveTypes[Courier?],MATCH($E13,tblMoveTypes[Movement],0)),"?")="No",$H13&lt;&gt;""),"Leave Courier blank",IF(AND(IFERROR(INDEX(tblMoveTypes[Orders?],MATCH($E13,tblMoveTypes[Movement],0)),"?")="Yes",$G13=""),"Orders needed",IF(AND(IFERROR(INDEX(tblMoveTypes[Orders?],MATCH($E13,tblMoveTypes[Movement],0)),"?")="No",$G13&lt;&gt;""),"Leave Orders blank",IF(AND(IFERROR(INDEX(tblMoveTypes[Reason?],MATCH($E13,tblMoveTypes[Movement],0)),"?")="Yes",$I13=""),"Reason needed",IF(AND(IFERROR(INDEX(tblMoveTypes[Qty?],MATCH($E13,tblMoveTypes[Movement],0)),"?")="Yes",N($F13)&lt;=0),"Qty needed",IF($A13&lt;_xlfn.MINIFS(tblShipment[Arrival Date],tblShipment[Shipment ID],$C13),"Date before arrival",IF(AND($D13&lt;&gt;"",COUNTIFS(tblShipment[Shipment ID],$C13,tblShipment[Item Code],$D13)=0),"Item not in this shipment",IF(AND($H13&lt;&gt;"",COUNTIFS(tblCouriers[Courier],$H13,tblCouriers[Market],$B13)=0),"Courier not in this market","OK")))))))))))))))</f>
        <v>OK</v>
      </c>
    </row>
    <row r="14" customFormat="false" ht="15" hidden="false" customHeight="false" outlineLevel="0" collapsed="false">
      <c r="A14" s="27" t="n">
        <v>46221</v>
      </c>
      <c r="B14" s="26" t="s">
        <v>78</v>
      </c>
      <c r="C14" s="26" t="s">
        <v>131</v>
      </c>
      <c r="D14" s="26"/>
      <c r="E14" s="26" t="s">
        <v>98</v>
      </c>
      <c r="F14" s="28"/>
      <c r="G14" s="28" t="n">
        <v>45</v>
      </c>
      <c r="H14" s="26"/>
      <c r="I14" s="26"/>
      <c r="J14" s="26"/>
      <c r="K14" s="29" t="str">
        <f aca="false">IF($A14="","",IF(COUNTIFS(tblMoveTypes[Movement],$E14)=0,"Unknown movement type",IF(COUNTIF(tblShipment[Shipment ID],$C14)=0,"Unknown shipment",IF(COUNTIFS(tblShipment[Shipment ID],$C14,tblShipment[Market],$B14)=0,"Market does not match shipment",IF(AND(IFERROR(INDEX(tblMoveTypes[Item?],MATCH($E14,tblMoveTypes[Movement],0)),"?")="Yes",$D14=""),"Item needed",IF(AND(IFERROR(INDEX(tblMoveTypes[Item?],MATCH($E14,tblMoveTypes[Movement],0)),"?")="No",$D14&lt;&gt;""),"Leave Item blank",IF(AND(IFERROR(INDEX(tblMoveTypes[Courier?],MATCH($E14,tblMoveTypes[Movement],0)),"?")="Yes",$H14=""),"Courier needed",IF(AND(IFERROR(INDEX(tblMoveTypes[Courier?],MATCH($E14,tblMoveTypes[Movement],0)),"?")="No",$H14&lt;&gt;""),"Leave Courier blank",IF(AND(IFERROR(INDEX(tblMoveTypes[Orders?],MATCH($E14,tblMoveTypes[Movement],0)),"?")="Yes",$G14=""),"Orders needed",IF(AND(IFERROR(INDEX(tblMoveTypes[Orders?],MATCH($E14,tblMoveTypes[Movement],0)),"?")="No",$G14&lt;&gt;""),"Leave Orders blank",IF(AND(IFERROR(INDEX(tblMoveTypes[Reason?],MATCH($E14,tblMoveTypes[Movement],0)),"?")="Yes",$I14=""),"Reason needed",IF(AND(IFERROR(INDEX(tblMoveTypes[Qty?],MATCH($E14,tblMoveTypes[Movement],0)),"?")="Yes",N($F14)&lt;=0),"Qty needed",IF($A14&lt;_xlfn.MINIFS(tblShipment[Arrival Date],tblShipment[Shipment ID],$C14),"Date before arrival",IF(AND($D14&lt;&gt;"",COUNTIFS(tblShipment[Shipment ID],$C14,tblShipment[Item Code],$D14)=0),"Item not in this shipment",IF(AND($H14&lt;&gt;"",COUNTIFS(tblCouriers[Courier],$H14,tblCouriers[Market],$B14)=0),"Courier not in this market","OK")))))))))))))))</f>
        <v>OK</v>
      </c>
    </row>
    <row r="15" customFormat="false" ht="15" hidden="false" customHeight="false" outlineLevel="0" collapsed="false">
      <c r="A15" s="27" t="n">
        <v>46221</v>
      </c>
      <c r="B15" s="26" t="s">
        <v>78</v>
      </c>
      <c r="C15" s="26" t="s">
        <v>131</v>
      </c>
      <c r="D15" s="26" t="s">
        <v>76</v>
      </c>
      <c r="E15" s="26" t="s">
        <v>73</v>
      </c>
      <c r="F15" s="28" t="n">
        <v>6</v>
      </c>
      <c r="G15" s="28"/>
      <c r="H15" s="26"/>
      <c r="I15" s="26" t="s">
        <v>80</v>
      </c>
      <c r="J15" s="26"/>
      <c r="K15" s="29" t="str">
        <f aca="false">IF($A15="","",IF(COUNTIFS(tblMoveTypes[Movement],$E15)=0,"Unknown movement type",IF(COUNTIF(tblShipment[Shipment ID],$C15)=0,"Unknown shipment",IF(COUNTIFS(tblShipment[Shipment ID],$C15,tblShipment[Market],$B15)=0,"Market does not match shipment",IF(AND(IFERROR(INDEX(tblMoveTypes[Item?],MATCH($E15,tblMoveTypes[Movement],0)),"?")="Yes",$D15=""),"Item needed",IF(AND(IFERROR(INDEX(tblMoveTypes[Item?],MATCH($E15,tblMoveTypes[Movement],0)),"?")="No",$D15&lt;&gt;""),"Leave Item blank",IF(AND(IFERROR(INDEX(tblMoveTypes[Courier?],MATCH($E15,tblMoveTypes[Movement],0)),"?")="Yes",$H15=""),"Courier needed",IF(AND(IFERROR(INDEX(tblMoveTypes[Courier?],MATCH($E15,tblMoveTypes[Movement],0)),"?")="No",$H15&lt;&gt;""),"Leave Courier blank",IF(AND(IFERROR(INDEX(tblMoveTypes[Orders?],MATCH($E15,tblMoveTypes[Movement],0)),"?")="Yes",$G15=""),"Orders needed",IF(AND(IFERROR(INDEX(tblMoveTypes[Orders?],MATCH($E15,tblMoveTypes[Movement],0)),"?")="No",$G15&lt;&gt;""),"Leave Orders blank",IF(AND(IFERROR(INDEX(tblMoveTypes[Reason?],MATCH($E15,tblMoveTypes[Movement],0)),"?")="Yes",$I15=""),"Reason needed",IF(AND(IFERROR(INDEX(tblMoveTypes[Qty?],MATCH($E15,tblMoveTypes[Movement],0)),"?")="Yes",N($F15)&lt;=0),"Qty needed",IF($A15&lt;_xlfn.MINIFS(tblShipment[Arrival Date],tblShipment[Shipment ID],$C15),"Date before arrival",IF(AND($D15&lt;&gt;"",COUNTIFS(tblShipment[Shipment ID],$C15,tblShipment[Item Code],$D15)=0),"Item not in this shipment",IF(AND($H15&lt;&gt;"",COUNTIFS(tblCouriers[Courier],$H15,tblCouriers[Market],$B15)=0),"Courier not in this market","OK")))))))))))))))</f>
        <v>OK</v>
      </c>
    </row>
    <row r="16" customFormat="false" ht="15" hidden="false" customHeight="false" outlineLevel="0" collapsed="false">
      <c r="A16" s="27" t="n">
        <v>46221</v>
      </c>
      <c r="B16" s="26" t="s">
        <v>78</v>
      </c>
      <c r="C16" s="26" t="s">
        <v>131</v>
      </c>
      <c r="D16" s="26" t="s">
        <v>83</v>
      </c>
      <c r="E16" s="26" t="s">
        <v>73</v>
      </c>
      <c r="F16" s="28" t="n">
        <v>4</v>
      </c>
      <c r="G16" s="28"/>
      <c r="H16" s="26"/>
      <c r="I16" s="26" t="s">
        <v>80</v>
      </c>
      <c r="J16" s="26"/>
      <c r="K16" s="29" t="str">
        <f aca="false">IF($A16="","",IF(COUNTIFS(tblMoveTypes[Movement],$E16)=0,"Unknown movement type",IF(COUNTIF(tblShipment[Shipment ID],$C16)=0,"Unknown shipment",IF(COUNTIFS(tblShipment[Shipment ID],$C16,tblShipment[Market],$B16)=0,"Market does not match shipment",IF(AND(IFERROR(INDEX(tblMoveTypes[Item?],MATCH($E16,tblMoveTypes[Movement],0)),"?")="Yes",$D16=""),"Item needed",IF(AND(IFERROR(INDEX(tblMoveTypes[Item?],MATCH($E16,tblMoveTypes[Movement],0)),"?")="No",$D16&lt;&gt;""),"Leave Item blank",IF(AND(IFERROR(INDEX(tblMoveTypes[Courier?],MATCH($E16,tblMoveTypes[Movement],0)),"?")="Yes",$H16=""),"Courier needed",IF(AND(IFERROR(INDEX(tblMoveTypes[Courier?],MATCH($E16,tblMoveTypes[Movement],0)),"?")="No",$H16&lt;&gt;""),"Leave Courier blank",IF(AND(IFERROR(INDEX(tblMoveTypes[Orders?],MATCH($E16,tblMoveTypes[Movement],0)),"?")="Yes",$G16=""),"Orders needed",IF(AND(IFERROR(INDEX(tblMoveTypes[Orders?],MATCH($E16,tblMoveTypes[Movement],0)),"?")="No",$G16&lt;&gt;""),"Leave Orders blank",IF(AND(IFERROR(INDEX(tblMoveTypes[Reason?],MATCH($E16,tblMoveTypes[Movement],0)),"?")="Yes",$I16=""),"Reason needed",IF(AND(IFERROR(INDEX(tblMoveTypes[Qty?],MATCH($E16,tblMoveTypes[Movement],0)),"?")="Yes",N($F16)&lt;=0),"Qty needed",IF($A16&lt;_xlfn.MINIFS(tblShipment[Arrival Date],tblShipment[Shipment ID],$C16),"Date before arrival",IF(AND($D16&lt;&gt;"",COUNTIFS(tblShipment[Shipment ID],$C16,tblShipment[Item Code],$D16)=0),"Item not in this shipment",IF(AND($H16&lt;&gt;"",COUNTIFS(tblCouriers[Courier],$H16,tblCouriers[Market],$B16)=0),"Courier not in this market","OK")))))))))))))))</f>
        <v>OK</v>
      </c>
    </row>
    <row r="17" customFormat="false" ht="15" hidden="false" customHeight="false" outlineLevel="0" collapsed="false">
      <c r="A17" s="27" t="n">
        <v>46221</v>
      </c>
      <c r="B17" s="26" t="s">
        <v>78</v>
      </c>
      <c r="C17" s="26" t="s">
        <v>131</v>
      </c>
      <c r="D17" s="26" t="s">
        <v>99</v>
      </c>
      <c r="E17" s="26" t="s">
        <v>73</v>
      </c>
      <c r="F17" s="28" t="n">
        <v>2</v>
      </c>
      <c r="G17" s="28"/>
      <c r="H17" s="26"/>
      <c r="I17" s="26" t="s">
        <v>72</v>
      </c>
      <c r="J17" s="26"/>
      <c r="K17" s="29" t="str">
        <f aca="false">IF($A17="","",IF(COUNTIFS(tblMoveTypes[Movement],$E17)=0,"Unknown movement type",IF(COUNTIF(tblShipment[Shipment ID],$C17)=0,"Unknown shipment",IF(COUNTIFS(tblShipment[Shipment ID],$C17,tblShipment[Market],$B17)=0,"Market does not match shipment",IF(AND(IFERROR(INDEX(tblMoveTypes[Item?],MATCH($E17,tblMoveTypes[Movement],0)),"?")="Yes",$D17=""),"Item needed",IF(AND(IFERROR(INDEX(tblMoveTypes[Item?],MATCH($E17,tblMoveTypes[Movement],0)),"?")="No",$D17&lt;&gt;""),"Leave Item blank",IF(AND(IFERROR(INDEX(tblMoveTypes[Courier?],MATCH($E17,tblMoveTypes[Movement],0)),"?")="Yes",$H17=""),"Courier needed",IF(AND(IFERROR(INDEX(tblMoveTypes[Courier?],MATCH($E17,tblMoveTypes[Movement],0)),"?")="No",$H17&lt;&gt;""),"Leave Courier blank",IF(AND(IFERROR(INDEX(tblMoveTypes[Orders?],MATCH($E17,tblMoveTypes[Movement],0)),"?")="Yes",$G17=""),"Orders needed",IF(AND(IFERROR(INDEX(tblMoveTypes[Orders?],MATCH($E17,tblMoveTypes[Movement],0)),"?")="No",$G17&lt;&gt;""),"Leave Orders blank",IF(AND(IFERROR(INDEX(tblMoveTypes[Reason?],MATCH($E17,tblMoveTypes[Movement],0)),"?")="Yes",$I17=""),"Reason needed",IF(AND(IFERROR(INDEX(tblMoveTypes[Qty?],MATCH($E17,tblMoveTypes[Movement],0)),"?")="Yes",N($F17)&lt;=0),"Qty needed",IF($A17&lt;_xlfn.MINIFS(tblShipment[Arrival Date],tblShipment[Shipment ID],$C17),"Date before arrival",IF(AND($D17&lt;&gt;"",COUNTIFS(tblShipment[Shipment ID],$C17,tblShipment[Item Code],$D17)=0),"Item not in this shipment",IF(AND($H17&lt;&gt;"",COUNTIFS(tblCouriers[Courier],$H17,tblCouriers[Market],$B17)=0),"Courier not in this market","OK")))))))))))))))</f>
        <v>OK</v>
      </c>
    </row>
    <row r="18" customFormat="false" ht="15" hidden="false" customHeight="false" outlineLevel="0" collapsed="false">
      <c r="A18" s="27" t="n">
        <v>46221</v>
      </c>
      <c r="B18" s="26" t="s">
        <v>78</v>
      </c>
      <c r="C18" s="26" t="s">
        <v>131</v>
      </c>
      <c r="D18" s="26" t="s">
        <v>88</v>
      </c>
      <c r="E18" s="26" t="s">
        <v>73</v>
      </c>
      <c r="F18" s="28" t="n">
        <v>2</v>
      </c>
      <c r="G18" s="28"/>
      <c r="H18" s="26"/>
      <c r="I18" s="26" t="s">
        <v>87</v>
      </c>
      <c r="J18" s="26"/>
      <c r="K18" s="29" t="str">
        <f aca="false">IF($A18="","",IF(COUNTIFS(tblMoveTypes[Movement],$E18)=0,"Unknown movement type",IF(COUNTIF(tblShipment[Shipment ID],$C18)=0,"Unknown shipment",IF(COUNTIFS(tblShipment[Shipment ID],$C18,tblShipment[Market],$B18)=0,"Market does not match shipment",IF(AND(IFERROR(INDEX(tblMoveTypes[Item?],MATCH($E18,tblMoveTypes[Movement],0)),"?")="Yes",$D18=""),"Item needed",IF(AND(IFERROR(INDEX(tblMoveTypes[Item?],MATCH($E18,tblMoveTypes[Movement],0)),"?")="No",$D18&lt;&gt;""),"Leave Item blank",IF(AND(IFERROR(INDEX(tblMoveTypes[Courier?],MATCH($E18,tblMoveTypes[Movement],0)),"?")="Yes",$H18=""),"Courier needed",IF(AND(IFERROR(INDEX(tblMoveTypes[Courier?],MATCH($E18,tblMoveTypes[Movement],0)),"?")="No",$H18&lt;&gt;""),"Leave Courier blank",IF(AND(IFERROR(INDEX(tblMoveTypes[Orders?],MATCH($E18,tblMoveTypes[Movement],0)),"?")="Yes",$G18=""),"Orders needed",IF(AND(IFERROR(INDEX(tblMoveTypes[Orders?],MATCH($E18,tblMoveTypes[Movement],0)),"?")="No",$G18&lt;&gt;""),"Leave Orders blank",IF(AND(IFERROR(INDEX(tblMoveTypes[Reason?],MATCH($E18,tblMoveTypes[Movement],0)),"?")="Yes",$I18=""),"Reason needed",IF(AND(IFERROR(INDEX(tblMoveTypes[Qty?],MATCH($E18,tblMoveTypes[Movement],0)),"?")="Yes",N($F18)&lt;=0),"Qty needed",IF($A18&lt;_xlfn.MINIFS(tblShipment[Arrival Date],tblShipment[Shipment ID],$C18),"Date before arrival",IF(AND($D18&lt;&gt;"",COUNTIFS(tblShipment[Shipment ID],$C18,tblShipment[Item Code],$D18)=0),"Item not in this shipment",IF(AND($H18&lt;&gt;"",COUNTIFS(tblCouriers[Courier],$H18,tblCouriers[Market],$B18)=0),"Courier not in this market","OK")))))))))))))))</f>
        <v>OK</v>
      </c>
    </row>
    <row r="19" customFormat="false" ht="15" hidden="false" customHeight="false" outlineLevel="0" collapsed="false">
      <c r="A19" s="27" t="n">
        <v>46221</v>
      </c>
      <c r="B19" s="26" t="s">
        <v>78</v>
      </c>
      <c r="C19" s="26" t="s">
        <v>131</v>
      </c>
      <c r="D19" s="26" t="s">
        <v>76</v>
      </c>
      <c r="E19" s="26" t="s">
        <v>93</v>
      </c>
      <c r="F19" s="28" t="n">
        <v>55</v>
      </c>
      <c r="G19" s="28"/>
      <c r="H19" s="26" t="s">
        <v>79</v>
      </c>
      <c r="I19" s="26"/>
      <c r="J19" s="26"/>
      <c r="K19" s="29" t="str">
        <f aca="false">IF($A19="","",IF(COUNTIFS(tblMoveTypes[Movement],$E19)=0,"Unknown movement type",IF(COUNTIF(tblShipment[Shipment ID],$C19)=0,"Unknown shipment",IF(COUNTIFS(tblShipment[Shipment ID],$C19,tblShipment[Market],$B19)=0,"Market does not match shipment",IF(AND(IFERROR(INDEX(tblMoveTypes[Item?],MATCH($E19,tblMoveTypes[Movement],0)),"?")="Yes",$D19=""),"Item needed",IF(AND(IFERROR(INDEX(tblMoveTypes[Item?],MATCH($E19,tblMoveTypes[Movement],0)),"?")="No",$D19&lt;&gt;""),"Leave Item blank",IF(AND(IFERROR(INDEX(tblMoveTypes[Courier?],MATCH($E19,tblMoveTypes[Movement],0)),"?")="Yes",$H19=""),"Courier needed",IF(AND(IFERROR(INDEX(tblMoveTypes[Courier?],MATCH($E19,tblMoveTypes[Movement],0)),"?")="No",$H19&lt;&gt;""),"Leave Courier blank",IF(AND(IFERROR(INDEX(tblMoveTypes[Orders?],MATCH($E19,tblMoveTypes[Movement],0)),"?")="Yes",$G19=""),"Orders needed",IF(AND(IFERROR(INDEX(tblMoveTypes[Orders?],MATCH($E19,tblMoveTypes[Movement],0)),"?")="No",$G19&lt;&gt;""),"Leave Orders blank",IF(AND(IFERROR(INDEX(tblMoveTypes[Reason?],MATCH($E19,tblMoveTypes[Movement],0)),"?")="Yes",$I19=""),"Reason needed",IF(AND(IFERROR(INDEX(tblMoveTypes[Qty?],MATCH($E19,tblMoveTypes[Movement],0)),"?")="Yes",N($F19)&lt;=0),"Qty needed",IF($A19&lt;_xlfn.MINIFS(tblShipment[Arrival Date],tblShipment[Shipment ID],$C19),"Date before arrival",IF(AND($D19&lt;&gt;"",COUNTIFS(tblShipment[Shipment ID],$C19,tblShipment[Item Code],$D19)=0),"Item not in this shipment",IF(AND($H19&lt;&gt;"",COUNTIFS(tblCouriers[Courier],$H19,tblCouriers[Market],$B19)=0),"Courier not in this market","OK")))))))))))))))</f>
        <v>OK</v>
      </c>
    </row>
    <row r="20" customFormat="false" ht="15" hidden="false" customHeight="false" outlineLevel="0" collapsed="false">
      <c r="A20" s="27" t="n">
        <v>46221</v>
      </c>
      <c r="B20" s="26" t="s">
        <v>78</v>
      </c>
      <c r="C20" s="26" t="s">
        <v>131</v>
      </c>
      <c r="D20" s="26" t="s">
        <v>76</v>
      </c>
      <c r="E20" s="26" t="s">
        <v>93</v>
      </c>
      <c r="F20" s="28" t="n">
        <v>37</v>
      </c>
      <c r="G20" s="28"/>
      <c r="H20" s="26" t="s">
        <v>86</v>
      </c>
      <c r="I20" s="26"/>
      <c r="J20" s="26"/>
      <c r="K20" s="29" t="str">
        <f aca="false">IF($A20="","",IF(COUNTIFS(tblMoveTypes[Movement],$E20)=0,"Unknown movement type",IF(COUNTIF(tblShipment[Shipment ID],$C20)=0,"Unknown shipment",IF(COUNTIFS(tblShipment[Shipment ID],$C20,tblShipment[Market],$B20)=0,"Market does not match shipment",IF(AND(IFERROR(INDEX(tblMoveTypes[Item?],MATCH($E20,tblMoveTypes[Movement],0)),"?")="Yes",$D20=""),"Item needed",IF(AND(IFERROR(INDEX(tblMoveTypes[Item?],MATCH($E20,tblMoveTypes[Movement],0)),"?")="No",$D20&lt;&gt;""),"Leave Item blank",IF(AND(IFERROR(INDEX(tblMoveTypes[Courier?],MATCH($E20,tblMoveTypes[Movement],0)),"?")="Yes",$H20=""),"Courier needed",IF(AND(IFERROR(INDEX(tblMoveTypes[Courier?],MATCH($E20,tblMoveTypes[Movement],0)),"?")="No",$H20&lt;&gt;""),"Leave Courier blank",IF(AND(IFERROR(INDEX(tblMoveTypes[Orders?],MATCH($E20,tblMoveTypes[Movement],0)),"?")="Yes",$G20=""),"Orders needed",IF(AND(IFERROR(INDEX(tblMoveTypes[Orders?],MATCH($E20,tblMoveTypes[Movement],0)),"?")="No",$G20&lt;&gt;""),"Leave Orders blank",IF(AND(IFERROR(INDEX(tblMoveTypes[Reason?],MATCH($E20,tblMoveTypes[Movement],0)),"?")="Yes",$I20=""),"Reason needed",IF(AND(IFERROR(INDEX(tblMoveTypes[Qty?],MATCH($E20,tblMoveTypes[Movement],0)),"?")="Yes",N($F20)&lt;=0),"Qty needed",IF($A20&lt;_xlfn.MINIFS(tblShipment[Arrival Date],tblShipment[Shipment ID],$C20),"Date before arrival",IF(AND($D20&lt;&gt;"",COUNTIFS(tblShipment[Shipment ID],$C20,tblShipment[Item Code],$D20)=0),"Item not in this shipment",IF(AND($H20&lt;&gt;"",COUNTIFS(tblCouriers[Courier],$H20,tblCouriers[Market],$B20)=0),"Courier not in this market","OK")))))))))))))))</f>
        <v>OK</v>
      </c>
    </row>
    <row r="21" customFormat="false" ht="15" hidden="false" customHeight="false" outlineLevel="0" collapsed="false">
      <c r="A21" s="27" t="n">
        <v>46221</v>
      </c>
      <c r="B21" s="26" t="s">
        <v>78</v>
      </c>
      <c r="C21" s="26" t="s">
        <v>131</v>
      </c>
      <c r="D21" s="26" t="s">
        <v>83</v>
      </c>
      <c r="E21" s="26" t="s">
        <v>93</v>
      </c>
      <c r="F21" s="28" t="n">
        <v>57</v>
      </c>
      <c r="G21" s="28"/>
      <c r="H21" s="26" t="s">
        <v>79</v>
      </c>
      <c r="I21" s="26"/>
      <c r="J21" s="26"/>
      <c r="K21" s="29" t="str">
        <f aca="false">IF($A21="","",IF(COUNTIFS(tblMoveTypes[Movement],$E21)=0,"Unknown movement type",IF(COUNTIF(tblShipment[Shipment ID],$C21)=0,"Unknown shipment",IF(COUNTIFS(tblShipment[Shipment ID],$C21,tblShipment[Market],$B21)=0,"Market does not match shipment",IF(AND(IFERROR(INDEX(tblMoveTypes[Item?],MATCH($E21,tblMoveTypes[Movement],0)),"?")="Yes",$D21=""),"Item needed",IF(AND(IFERROR(INDEX(tblMoveTypes[Item?],MATCH($E21,tblMoveTypes[Movement],0)),"?")="No",$D21&lt;&gt;""),"Leave Item blank",IF(AND(IFERROR(INDEX(tblMoveTypes[Courier?],MATCH($E21,tblMoveTypes[Movement],0)),"?")="Yes",$H21=""),"Courier needed",IF(AND(IFERROR(INDEX(tblMoveTypes[Courier?],MATCH($E21,tblMoveTypes[Movement],0)),"?")="No",$H21&lt;&gt;""),"Leave Courier blank",IF(AND(IFERROR(INDEX(tblMoveTypes[Orders?],MATCH($E21,tblMoveTypes[Movement],0)),"?")="Yes",$G21=""),"Orders needed",IF(AND(IFERROR(INDEX(tblMoveTypes[Orders?],MATCH($E21,tblMoveTypes[Movement],0)),"?")="No",$G21&lt;&gt;""),"Leave Orders blank",IF(AND(IFERROR(INDEX(tblMoveTypes[Reason?],MATCH($E21,tblMoveTypes[Movement],0)),"?")="Yes",$I21=""),"Reason needed",IF(AND(IFERROR(INDEX(tblMoveTypes[Qty?],MATCH($E21,tblMoveTypes[Movement],0)),"?")="Yes",N($F21)&lt;=0),"Qty needed",IF($A21&lt;_xlfn.MINIFS(tblShipment[Arrival Date],tblShipment[Shipment ID],$C21),"Date before arrival",IF(AND($D21&lt;&gt;"",COUNTIFS(tblShipment[Shipment ID],$C21,tblShipment[Item Code],$D21)=0),"Item not in this shipment",IF(AND($H21&lt;&gt;"",COUNTIFS(tblCouriers[Courier],$H21,tblCouriers[Market],$B21)=0),"Courier not in this market","OK")))))))))))))))</f>
        <v>OK</v>
      </c>
    </row>
    <row r="22" customFormat="false" ht="15" hidden="false" customHeight="false" outlineLevel="0" collapsed="false">
      <c r="A22" s="27" t="n">
        <v>46221</v>
      </c>
      <c r="B22" s="26" t="s">
        <v>78</v>
      </c>
      <c r="C22" s="26" t="s">
        <v>131</v>
      </c>
      <c r="D22" s="26" t="s">
        <v>83</v>
      </c>
      <c r="E22" s="26" t="s">
        <v>93</v>
      </c>
      <c r="F22" s="28" t="n">
        <v>38</v>
      </c>
      <c r="G22" s="28"/>
      <c r="H22" s="26" t="s">
        <v>86</v>
      </c>
      <c r="I22" s="26"/>
      <c r="J22" s="26"/>
      <c r="K22" s="29" t="str">
        <f aca="false">IF($A22="","",IF(COUNTIFS(tblMoveTypes[Movement],$E22)=0,"Unknown movement type",IF(COUNTIF(tblShipment[Shipment ID],$C22)=0,"Unknown shipment",IF(COUNTIFS(tblShipment[Shipment ID],$C22,tblShipment[Market],$B22)=0,"Market does not match shipment",IF(AND(IFERROR(INDEX(tblMoveTypes[Item?],MATCH($E22,tblMoveTypes[Movement],0)),"?")="Yes",$D22=""),"Item needed",IF(AND(IFERROR(INDEX(tblMoveTypes[Item?],MATCH($E22,tblMoveTypes[Movement],0)),"?")="No",$D22&lt;&gt;""),"Leave Item blank",IF(AND(IFERROR(INDEX(tblMoveTypes[Courier?],MATCH($E22,tblMoveTypes[Movement],0)),"?")="Yes",$H22=""),"Courier needed",IF(AND(IFERROR(INDEX(tblMoveTypes[Courier?],MATCH($E22,tblMoveTypes[Movement],0)),"?")="No",$H22&lt;&gt;""),"Leave Courier blank",IF(AND(IFERROR(INDEX(tblMoveTypes[Orders?],MATCH($E22,tblMoveTypes[Movement],0)),"?")="Yes",$G22=""),"Orders needed",IF(AND(IFERROR(INDEX(tblMoveTypes[Orders?],MATCH($E22,tblMoveTypes[Movement],0)),"?")="No",$G22&lt;&gt;""),"Leave Orders blank",IF(AND(IFERROR(INDEX(tblMoveTypes[Reason?],MATCH($E22,tblMoveTypes[Movement],0)),"?")="Yes",$I22=""),"Reason needed",IF(AND(IFERROR(INDEX(tblMoveTypes[Qty?],MATCH($E22,tblMoveTypes[Movement],0)),"?")="Yes",N($F22)&lt;=0),"Qty needed",IF($A22&lt;_xlfn.MINIFS(tblShipment[Arrival Date],tblShipment[Shipment ID],$C22),"Date before arrival",IF(AND($D22&lt;&gt;"",COUNTIFS(tblShipment[Shipment ID],$C22,tblShipment[Item Code],$D22)=0),"Item not in this shipment",IF(AND($H22&lt;&gt;"",COUNTIFS(tblCouriers[Courier],$H22,tblCouriers[Market],$B22)=0),"Courier not in this market","OK")))))))))))))))</f>
        <v>OK</v>
      </c>
    </row>
    <row r="23" customFormat="false" ht="15" hidden="false" customHeight="false" outlineLevel="0" collapsed="false">
      <c r="A23" s="27" t="n">
        <v>46221</v>
      </c>
      <c r="B23" s="26" t="s">
        <v>78</v>
      </c>
      <c r="C23" s="26" t="s">
        <v>131</v>
      </c>
      <c r="D23" s="26" t="s">
        <v>99</v>
      </c>
      <c r="E23" s="26" t="s">
        <v>93</v>
      </c>
      <c r="F23" s="28" t="n">
        <v>22</v>
      </c>
      <c r="G23" s="28"/>
      <c r="H23" s="26" t="s">
        <v>79</v>
      </c>
      <c r="I23" s="26"/>
      <c r="J23" s="26"/>
      <c r="K23" s="29" t="str">
        <f aca="false">IF($A23="","",IF(COUNTIFS(tblMoveTypes[Movement],$E23)=0,"Unknown movement type",IF(COUNTIF(tblShipment[Shipment ID],$C23)=0,"Unknown shipment",IF(COUNTIFS(tblShipment[Shipment ID],$C23,tblShipment[Market],$B23)=0,"Market does not match shipment",IF(AND(IFERROR(INDEX(tblMoveTypes[Item?],MATCH($E23,tblMoveTypes[Movement],0)),"?")="Yes",$D23=""),"Item needed",IF(AND(IFERROR(INDEX(tblMoveTypes[Item?],MATCH($E23,tblMoveTypes[Movement],0)),"?")="No",$D23&lt;&gt;""),"Leave Item blank",IF(AND(IFERROR(INDEX(tblMoveTypes[Courier?],MATCH($E23,tblMoveTypes[Movement],0)),"?")="Yes",$H23=""),"Courier needed",IF(AND(IFERROR(INDEX(tblMoveTypes[Courier?],MATCH($E23,tblMoveTypes[Movement],0)),"?")="No",$H23&lt;&gt;""),"Leave Courier blank",IF(AND(IFERROR(INDEX(tblMoveTypes[Orders?],MATCH($E23,tblMoveTypes[Movement],0)),"?")="Yes",$G23=""),"Orders needed",IF(AND(IFERROR(INDEX(tblMoveTypes[Orders?],MATCH($E23,tblMoveTypes[Movement],0)),"?")="No",$G23&lt;&gt;""),"Leave Orders blank",IF(AND(IFERROR(INDEX(tblMoveTypes[Reason?],MATCH($E23,tblMoveTypes[Movement],0)),"?")="Yes",$I23=""),"Reason needed",IF(AND(IFERROR(INDEX(tblMoveTypes[Qty?],MATCH($E23,tblMoveTypes[Movement],0)),"?")="Yes",N($F23)&lt;=0),"Qty needed",IF($A23&lt;_xlfn.MINIFS(tblShipment[Arrival Date],tblShipment[Shipment ID],$C23),"Date before arrival",IF(AND($D23&lt;&gt;"",COUNTIFS(tblShipment[Shipment ID],$C23,tblShipment[Item Code],$D23)=0),"Item not in this shipment",IF(AND($H23&lt;&gt;"",COUNTIFS(tblCouriers[Courier],$H23,tblCouriers[Market],$B23)=0),"Courier not in this market","OK")))))))))))))))</f>
        <v>OK</v>
      </c>
    </row>
    <row r="24" customFormat="false" ht="15" hidden="false" customHeight="false" outlineLevel="0" collapsed="false">
      <c r="A24" s="27" t="n">
        <v>46221</v>
      </c>
      <c r="B24" s="26" t="s">
        <v>78</v>
      </c>
      <c r="C24" s="26" t="s">
        <v>131</v>
      </c>
      <c r="D24" s="26" t="s">
        <v>99</v>
      </c>
      <c r="E24" s="26" t="s">
        <v>93</v>
      </c>
      <c r="F24" s="28" t="n">
        <v>15</v>
      </c>
      <c r="G24" s="28"/>
      <c r="H24" s="26" t="s">
        <v>86</v>
      </c>
      <c r="I24" s="26"/>
      <c r="J24" s="26"/>
      <c r="K24" s="29" t="str">
        <f aca="false">IF($A24="","",IF(COUNTIFS(tblMoveTypes[Movement],$E24)=0,"Unknown movement type",IF(COUNTIF(tblShipment[Shipment ID],$C24)=0,"Unknown shipment",IF(COUNTIFS(tblShipment[Shipment ID],$C24,tblShipment[Market],$B24)=0,"Market does not match shipment",IF(AND(IFERROR(INDEX(tblMoveTypes[Item?],MATCH($E24,tblMoveTypes[Movement],0)),"?")="Yes",$D24=""),"Item needed",IF(AND(IFERROR(INDEX(tblMoveTypes[Item?],MATCH($E24,tblMoveTypes[Movement],0)),"?")="No",$D24&lt;&gt;""),"Leave Item blank",IF(AND(IFERROR(INDEX(tblMoveTypes[Courier?],MATCH($E24,tblMoveTypes[Movement],0)),"?")="Yes",$H24=""),"Courier needed",IF(AND(IFERROR(INDEX(tblMoveTypes[Courier?],MATCH($E24,tblMoveTypes[Movement],0)),"?")="No",$H24&lt;&gt;""),"Leave Courier blank",IF(AND(IFERROR(INDEX(tblMoveTypes[Orders?],MATCH($E24,tblMoveTypes[Movement],0)),"?")="Yes",$G24=""),"Orders needed",IF(AND(IFERROR(INDEX(tblMoveTypes[Orders?],MATCH($E24,tblMoveTypes[Movement],0)),"?")="No",$G24&lt;&gt;""),"Leave Orders blank",IF(AND(IFERROR(INDEX(tblMoveTypes[Reason?],MATCH($E24,tblMoveTypes[Movement],0)),"?")="Yes",$I24=""),"Reason needed",IF(AND(IFERROR(INDEX(tblMoveTypes[Qty?],MATCH($E24,tblMoveTypes[Movement],0)),"?")="Yes",N($F24)&lt;=0),"Qty needed",IF($A24&lt;_xlfn.MINIFS(tblShipment[Arrival Date],tblShipment[Shipment ID],$C24),"Date before arrival",IF(AND($D24&lt;&gt;"",COUNTIFS(tblShipment[Shipment ID],$C24,tblShipment[Item Code],$D24)=0),"Item not in this shipment",IF(AND($H24&lt;&gt;"",COUNTIFS(tblCouriers[Courier],$H24,tblCouriers[Market],$B24)=0),"Courier not in this market","OK")))))))))))))))</f>
        <v>OK</v>
      </c>
    </row>
    <row r="25" customFormat="false" ht="15" hidden="false" customHeight="false" outlineLevel="0" collapsed="false">
      <c r="A25" s="27" t="n">
        <v>46221</v>
      </c>
      <c r="B25" s="26" t="s">
        <v>78</v>
      </c>
      <c r="C25" s="26" t="s">
        <v>131</v>
      </c>
      <c r="D25" s="26" t="s">
        <v>88</v>
      </c>
      <c r="E25" s="26" t="s">
        <v>93</v>
      </c>
      <c r="F25" s="28" t="n">
        <v>47</v>
      </c>
      <c r="G25" s="28"/>
      <c r="H25" s="26" t="s">
        <v>79</v>
      </c>
      <c r="I25" s="26"/>
      <c r="J25" s="26"/>
      <c r="K25" s="29" t="str">
        <f aca="false">IF($A25="","",IF(COUNTIFS(tblMoveTypes[Movement],$E25)=0,"Unknown movement type",IF(COUNTIF(tblShipment[Shipment ID],$C25)=0,"Unknown shipment",IF(COUNTIFS(tblShipment[Shipment ID],$C25,tblShipment[Market],$B25)=0,"Market does not match shipment",IF(AND(IFERROR(INDEX(tblMoveTypes[Item?],MATCH($E25,tblMoveTypes[Movement],0)),"?")="Yes",$D25=""),"Item needed",IF(AND(IFERROR(INDEX(tblMoveTypes[Item?],MATCH($E25,tblMoveTypes[Movement],0)),"?")="No",$D25&lt;&gt;""),"Leave Item blank",IF(AND(IFERROR(INDEX(tblMoveTypes[Courier?],MATCH($E25,tblMoveTypes[Movement],0)),"?")="Yes",$H25=""),"Courier needed",IF(AND(IFERROR(INDEX(tblMoveTypes[Courier?],MATCH($E25,tblMoveTypes[Movement],0)),"?")="No",$H25&lt;&gt;""),"Leave Courier blank",IF(AND(IFERROR(INDEX(tblMoveTypes[Orders?],MATCH($E25,tblMoveTypes[Movement],0)),"?")="Yes",$G25=""),"Orders needed",IF(AND(IFERROR(INDEX(tblMoveTypes[Orders?],MATCH($E25,tblMoveTypes[Movement],0)),"?")="No",$G25&lt;&gt;""),"Leave Orders blank",IF(AND(IFERROR(INDEX(tblMoveTypes[Reason?],MATCH($E25,tblMoveTypes[Movement],0)),"?")="Yes",$I25=""),"Reason needed",IF(AND(IFERROR(INDEX(tblMoveTypes[Qty?],MATCH($E25,tblMoveTypes[Movement],0)),"?")="Yes",N($F25)&lt;=0),"Qty needed",IF($A25&lt;_xlfn.MINIFS(tblShipment[Arrival Date],tblShipment[Shipment ID],$C25),"Date before arrival",IF(AND($D25&lt;&gt;"",COUNTIFS(tblShipment[Shipment ID],$C25,tblShipment[Item Code],$D25)=0),"Item not in this shipment",IF(AND($H25&lt;&gt;"",COUNTIFS(tblCouriers[Courier],$H25,tblCouriers[Market],$B25)=0),"Courier not in this market","OK")))))))))))))))</f>
        <v>OK</v>
      </c>
    </row>
    <row r="26" customFormat="false" ht="15" hidden="false" customHeight="false" outlineLevel="0" collapsed="false">
      <c r="A26" s="27" t="n">
        <v>46221</v>
      </c>
      <c r="B26" s="26" t="s">
        <v>78</v>
      </c>
      <c r="C26" s="26" t="s">
        <v>131</v>
      </c>
      <c r="D26" s="26" t="s">
        <v>88</v>
      </c>
      <c r="E26" s="26" t="s">
        <v>93</v>
      </c>
      <c r="F26" s="28" t="n">
        <v>31</v>
      </c>
      <c r="G26" s="28"/>
      <c r="H26" s="26" t="s">
        <v>86</v>
      </c>
      <c r="I26" s="26"/>
      <c r="J26" s="26"/>
      <c r="K26" s="29" t="str">
        <f aca="false">IF($A26="","",IF(COUNTIFS(tblMoveTypes[Movement],$E26)=0,"Unknown movement type",IF(COUNTIF(tblShipment[Shipment ID],$C26)=0,"Unknown shipment",IF(COUNTIFS(tblShipment[Shipment ID],$C26,tblShipment[Market],$B26)=0,"Market does not match shipment",IF(AND(IFERROR(INDEX(tblMoveTypes[Item?],MATCH($E26,tblMoveTypes[Movement],0)),"?")="Yes",$D26=""),"Item needed",IF(AND(IFERROR(INDEX(tblMoveTypes[Item?],MATCH($E26,tblMoveTypes[Movement],0)),"?")="No",$D26&lt;&gt;""),"Leave Item blank",IF(AND(IFERROR(INDEX(tblMoveTypes[Courier?],MATCH($E26,tblMoveTypes[Movement],0)),"?")="Yes",$H26=""),"Courier needed",IF(AND(IFERROR(INDEX(tblMoveTypes[Courier?],MATCH($E26,tblMoveTypes[Movement],0)),"?")="No",$H26&lt;&gt;""),"Leave Courier blank",IF(AND(IFERROR(INDEX(tblMoveTypes[Orders?],MATCH($E26,tblMoveTypes[Movement],0)),"?")="Yes",$G26=""),"Orders needed",IF(AND(IFERROR(INDEX(tblMoveTypes[Orders?],MATCH($E26,tblMoveTypes[Movement],0)),"?")="No",$G26&lt;&gt;""),"Leave Orders blank",IF(AND(IFERROR(INDEX(tblMoveTypes[Reason?],MATCH($E26,tblMoveTypes[Movement],0)),"?")="Yes",$I26=""),"Reason needed",IF(AND(IFERROR(INDEX(tblMoveTypes[Qty?],MATCH($E26,tblMoveTypes[Movement],0)),"?")="Yes",N($F26)&lt;=0),"Qty needed",IF($A26&lt;_xlfn.MINIFS(tblShipment[Arrival Date],tblShipment[Shipment ID],$C26),"Date before arrival",IF(AND($D26&lt;&gt;"",COUNTIFS(tblShipment[Shipment ID],$C26,tblShipment[Item Code],$D26)=0),"Item not in this shipment",IF(AND($H26&lt;&gt;"",COUNTIFS(tblCouriers[Courier],$H26,tblCouriers[Market],$B26)=0),"Courier not in this market","OK")))))))))))))))</f>
        <v>OK</v>
      </c>
    </row>
    <row r="27" customFormat="false" ht="15" hidden="false" customHeight="false" outlineLevel="0" collapsed="false">
      <c r="A27" s="27" t="n">
        <v>46221</v>
      </c>
      <c r="B27" s="26" t="s">
        <v>78</v>
      </c>
      <c r="C27" s="26" t="s">
        <v>131</v>
      </c>
      <c r="D27" s="26"/>
      <c r="E27" s="26" t="s">
        <v>104</v>
      </c>
      <c r="F27" s="28"/>
      <c r="G27" s="28" t="n">
        <v>27</v>
      </c>
      <c r="H27" s="26" t="s">
        <v>79</v>
      </c>
      <c r="I27" s="26"/>
      <c r="J27" s="26"/>
      <c r="K27" s="29" t="str">
        <f aca="false">IF($A27="","",IF(COUNTIFS(tblMoveTypes[Movement],$E27)=0,"Unknown movement type",IF(COUNTIF(tblShipment[Shipment ID],$C27)=0,"Unknown shipment",IF(COUNTIFS(tblShipment[Shipment ID],$C27,tblShipment[Market],$B27)=0,"Market does not match shipment",IF(AND(IFERROR(INDEX(tblMoveTypes[Item?],MATCH($E27,tblMoveTypes[Movement],0)),"?")="Yes",$D27=""),"Item needed",IF(AND(IFERROR(INDEX(tblMoveTypes[Item?],MATCH($E27,tblMoveTypes[Movement],0)),"?")="No",$D27&lt;&gt;""),"Leave Item blank",IF(AND(IFERROR(INDEX(tblMoveTypes[Courier?],MATCH($E27,tblMoveTypes[Movement],0)),"?")="Yes",$H27=""),"Courier needed",IF(AND(IFERROR(INDEX(tblMoveTypes[Courier?],MATCH($E27,tblMoveTypes[Movement],0)),"?")="No",$H27&lt;&gt;""),"Leave Courier blank",IF(AND(IFERROR(INDEX(tblMoveTypes[Orders?],MATCH($E27,tblMoveTypes[Movement],0)),"?")="Yes",$G27=""),"Orders needed",IF(AND(IFERROR(INDEX(tblMoveTypes[Orders?],MATCH($E27,tblMoveTypes[Movement],0)),"?")="No",$G27&lt;&gt;""),"Leave Orders blank",IF(AND(IFERROR(INDEX(tblMoveTypes[Reason?],MATCH($E27,tblMoveTypes[Movement],0)),"?")="Yes",$I27=""),"Reason needed",IF(AND(IFERROR(INDEX(tblMoveTypes[Qty?],MATCH($E27,tblMoveTypes[Movement],0)),"?")="Yes",N($F27)&lt;=0),"Qty needed",IF($A27&lt;_xlfn.MINIFS(tblShipment[Arrival Date],tblShipment[Shipment ID],$C27),"Date before arrival",IF(AND($D27&lt;&gt;"",COUNTIFS(tblShipment[Shipment ID],$C27,tblShipment[Item Code],$D27)=0),"Item not in this shipment",IF(AND($H27&lt;&gt;"",COUNTIFS(tblCouriers[Courier],$H27,tblCouriers[Market],$B27)=0),"Courier not in this market","OK")))))))))))))))</f>
        <v>OK</v>
      </c>
    </row>
    <row r="28" customFormat="false" ht="15" hidden="false" customHeight="false" outlineLevel="0" collapsed="false">
      <c r="A28" s="27" t="n">
        <v>46221</v>
      </c>
      <c r="B28" s="26" t="s">
        <v>78</v>
      </c>
      <c r="C28" s="26" t="s">
        <v>131</v>
      </c>
      <c r="D28" s="26"/>
      <c r="E28" s="26" t="s">
        <v>106</v>
      </c>
      <c r="F28" s="28" t="n">
        <v>78</v>
      </c>
      <c r="G28" s="28" t="n">
        <v>12</v>
      </c>
      <c r="H28" s="26" t="s">
        <v>79</v>
      </c>
      <c r="I28" s="26"/>
      <c r="J28" s="26"/>
      <c r="K28" s="29" t="str">
        <f aca="false">IF($A28="","",IF(COUNTIFS(tblMoveTypes[Movement],$E28)=0,"Unknown movement type",IF(COUNTIF(tblShipment[Shipment ID],$C28)=0,"Unknown shipment",IF(COUNTIFS(tblShipment[Shipment ID],$C28,tblShipment[Market],$B28)=0,"Market does not match shipment",IF(AND(IFERROR(INDEX(tblMoveTypes[Item?],MATCH($E28,tblMoveTypes[Movement],0)),"?")="Yes",$D28=""),"Item needed",IF(AND(IFERROR(INDEX(tblMoveTypes[Item?],MATCH($E28,tblMoveTypes[Movement],0)),"?")="No",$D28&lt;&gt;""),"Leave Item blank",IF(AND(IFERROR(INDEX(tblMoveTypes[Courier?],MATCH($E28,tblMoveTypes[Movement],0)),"?")="Yes",$H28=""),"Courier needed",IF(AND(IFERROR(INDEX(tblMoveTypes[Courier?],MATCH($E28,tblMoveTypes[Movement],0)),"?")="No",$H28&lt;&gt;""),"Leave Courier blank",IF(AND(IFERROR(INDEX(tblMoveTypes[Orders?],MATCH($E28,tblMoveTypes[Movement],0)),"?")="Yes",$G28=""),"Orders needed",IF(AND(IFERROR(INDEX(tblMoveTypes[Orders?],MATCH($E28,tblMoveTypes[Movement],0)),"?")="No",$G28&lt;&gt;""),"Leave Orders blank",IF(AND(IFERROR(INDEX(tblMoveTypes[Reason?],MATCH($E28,tblMoveTypes[Movement],0)),"?")="Yes",$I28=""),"Reason needed",IF(AND(IFERROR(INDEX(tblMoveTypes[Qty?],MATCH($E28,tblMoveTypes[Movement],0)),"?")="Yes",N($F28)&lt;=0),"Qty needed",IF($A28&lt;_xlfn.MINIFS(tblShipment[Arrival Date],tblShipment[Shipment ID],$C28),"Date before arrival",IF(AND($D28&lt;&gt;"",COUNTIFS(tblShipment[Shipment ID],$C28,tblShipment[Item Code],$D28)=0),"Item not in this shipment",IF(AND($H28&lt;&gt;"",COUNTIFS(tblCouriers[Courier],$H28,tblCouriers[Market],$B28)=0),"Courier not in this market","OK")))))))))))))))</f>
        <v>OK</v>
      </c>
    </row>
    <row r="29" customFormat="false" ht="15" hidden="false" customHeight="false" outlineLevel="0" collapsed="false">
      <c r="A29" s="27" t="n">
        <v>46221</v>
      </c>
      <c r="B29" s="26" t="s">
        <v>78</v>
      </c>
      <c r="C29" s="26" t="s">
        <v>131</v>
      </c>
      <c r="D29" s="26"/>
      <c r="E29" s="26" t="s">
        <v>104</v>
      </c>
      <c r="F29" s="28"/>
      <c r="G29" s="28" t="n">
        <v>18</v>
      </c>
      <c r="H29" s="26" t="s">
        <v>86</v>
      </c>
      <c r="I29" s="26"/>
      <c r="J29" s="26"/>
      <c r="K29" s="29" t="str">
        <f aca="false">IF($A29="","",IF(COUNTIFS(tblMoveTypes[Movement],$E29)=0,"Unknown movement type",IF(COUNTIF(tblShipment[Shipment ID],$C29)=0,"Unknown shipment",IF(COUNTIFS(tblShipment[Shipment ID],$C29,tblShipment[Market],$B29)=0,"Market does not match shipment",IF(AND(IFERROR(INDEX(tblMoveTypes[Item?],MATCH($E29,tblMoveTypes[Movement],0)),"?")="Yes",$D29=""),"Item needed",IF(AND(IFERROR(INDEX(tblMoveTypes[Item?],MATCH($E29,tblMoveTypes[Movement],0)),"?")="No",$D29&lt;&gt;""),"Leave Item blank",IF(AND(IFERROR(INDEX(tblMoveTypes[Courier?],MATCH($E29,tblMoveTypes[Movement],0)),"?")="Yes",$H29=""),"Courier needed",IF(AND(IFERROR(INDEX(tblMoveTypes[Courier?],MATCH($E29,tblMoveTypes[Movement],0)),"?")="No",$H29&lt;&gt;""),"Leave Courier blank",IF(AND(IFERROR(INDEX(tblMoveTypes[Orders?],MATCH($E29,tblMoveTypes[Movement],0)),"?")="Yes",$G29=""),"Orders needed",IF(AND(IFERROR(INDEX(tblMoveTypes[Orders?],MATCH($E29,tblMoveTypes[Movement],0)),"?")="No",$G29&lt;&gt;""),"Leave Orders blank",IF(AND(IFERROR(INDEX(tblMoveTypes[Reason?],MATCH($E29,tblMoveTypes[Movement],0)),"?")="Yes",$I29=""),"Reason needed",IF(AND(IFERROR(INDEX(tblMoveTypes[Qty?],MATCH($E29,tblMoveTypes[Movement],0)),"?")="Yes",N($F29)&lt;=0),"Qty needed",IF($A29&lt;_xlfn.MINIFS(tblShipment[Arrival Date],tblShipment[Shipment ID],$C29),"Date before arrival",IF(AND($D29&lt;&gt;"",COUNTIFS(tblShipment[Shipment ID],$C29,tblShipment[Item Code],$D29)=0),"Item not in this shipment",IF(AND($H29&lt;&gt;"",COUNTIFS(tblCouriers[Courier],$H29,tblCouriers[Market],$B29)=0),"Courier not in this market","OK")))))))))))))))</f>
        <v>OK</v>
      </c>
    </row>
    <row r="30" customFormat="false" ht="15" hidden="false" customHeight="false" outlineLevel="0" collapsed="false">
      <c r="A30" s="27" t="n">
        <v>46222</v>
      </c>
      <c r="B30" s="26" t="s">
        <v>70</v>
      </c>
      <c r="C30" s="26" t="s">
        <v>124</v>
      </c>
      <c r="D30" s="26" t="s">
        <v>88</v>
      </c>
      <c r="E30" s="26" t="s">
        <v>74</v>
      </c>
      <c r="F30" s="28" t="n">
        <v>100</v>
      </c>
      <c r="G30" s="28"/>
      <c r="H30" s="26"/>
      <c r="I30" s="26"/>
      <c r="J30" s="26"/>
      <c r="K30" s="29" t="str">
        <f aca="false">IF($A30="","",IF(COUNTIFS(tblMoveTypes[Movement],$E30)=0,"Unknown movement type",IF(COUNTIF(tblShipment[Shipment ID],$C30)=0,"Unknown shipment",IF(COUNTIFS(tblShipment[Shipment ID],$C30,tblShipment[Market],$B30)=0,"Market does not match shipment",IF(AND(IFERROR(INDEX(tblMoveTypes[Item?],MATCH($E30,tblMoveTypes[Movement],0)),"?")="Yes",$D30=""),"Item needed",IF(AND(IFERROR(INDEX(tblMoveTypes[Item?],MATCH($E30,tblMoveTypes[Movement],0)),"?")="No",$D30&lt;&gt;""),"Leave Item blank",IF(AND(IFERROR(INDEX(tblMoveTypes[Courier?],MATCH($E30,tblMoveTypes[Movement],0)),"?")="Yes",$H30=""),"Courier needed",IF(AND(IFERROR(INDEX(tblMoveTypes[Courier?],MATCH($E30,tblMoveTypes[Movement],0)),"?")="No",$H30&lt;&gt;""),"Leave Courier blank",IF(AND(IFERROR(INDEX(tblMoveTypes[Orders?],MATCH($E30,tblMoveTypes[Movement],0)),"?")="Yes",$G30=""),"Orders needed",IF(AND(IFERROR(INDEX(tblMoveTypes[Orders?],MATCH($E30,tblMoveTypes[Movement],0)),"?")="No",$G30&lt;&gt;""),"Leave Orders blank",IF(AND(IFERROR(INDEX(tblMoveTypes[Reason?],MATCH($E30,tblMoveTypes[Movement],0)),"?")="Yes",$I30=""),"Reason needed",IF(AND(IFERROR(INDEX(tblMoveTypes[Qty?],MATCH($E30,tblMoveTypes[Movement],0)),"?")="Yes",N($F30)&lt;=0),"Qty needed",IF($A30&lt;_xlfn.MINIFS(tblShipment[Arrival Date],tblShipment[Shipment ID],$C30),"Date before arrival",IF(AND($D30&lt;&gt;"",COUNTIFS(tblShipment[Shipment ID],$C30,tblShipment[Item Code],$D30)=0),"Item not in this shipment",IF(AND($H30&lt;&gt;"",COUNTIFS(tblCouriers[Courier],$H30,tblCouriers[Market],$B30)=0),"Courier not in this market","OK")))))))))))))))</f>
        <v>OK</v>
      </c>
    </row>
    <row r="31" customFormat="false" ht="15" hidden="false" customHeight="false" outlineLevel="0" collapsed="false">
      <c r="A31" s="27" t="n">
        <v>46222</v>
      </c>
      <c r="B31" s="26" t="s">
        <v>70</v>
      </c>
      <c r="C31" s="26" t="s">
        <v>124</v>
      </c>
      <c r="D31" s="26" t="s">
        <v>67</v>
      </c>
      <c r="E31" s="26" t="s">
        <v>81</v>
      </c>
      <c r="F31" s="28" t="n">
        <v>1</v>
      </c>
      <c r="G31" s="28"/>
      <c r="H31" s="26"/>
      <c r="I31" s="26"/>
      <c r="J31" s="26" t="s">
        <v>162</v>
      </c>
      <c r="K31" s="29" t="str">
        <f aca="false">IF($A31="","",IF(COUNTIFS(tblMoveTypes[Movement],$E31)=0,"Unknown movement type",IF(COUNTIF(tblShipment[Shipment ID],$C31)=0,"Unknown shipment",IF(COUNTIFS(tblShipment[Shipment ID],$C31,tblShipment[Market],$B31)=0,"Market does not match shipment",IF(AND(IFERROR(INDEX(tblMoveTypes[Item?],MATCH($E31,tblMoveTypes[Movement],0)),"?")="Yes",$D31=""),"Item needed",IF(AND(IFERROR(INDEX(tblMoveTypes[Item?],MATCH($E31,tblMoveTypes[Movement],0)),"?")="No",$D31&lt;&gt;""),"Leave Item blank",IF(AND(IFERROR(INDEX(tblMoveTypes[Courier?],MATCH($E31,tblMoveTypes[Movement],0)),"?")="Yes",$H31=""),"Courier needed",IF(AND(IFERROR(INDEX(tblMoveTypes[Courier?],MATCH($E31,tblMoveTypes[Movement],0)),"?")="No",$H31&lt;&gt;""),"Leave Courier blank",IF(AND(IFERROR(INDEX(tblMoveTypes[Orders?],MATCH($E31,tblMoveTypes[Movement],0)),"?")="Yes",$G31=""),"Orders needed",IF(AND(IFERROR(INDEX(tblMoveTypes[Orders?],MATCH($E31,tblMoveTypes[Movement],0)),"?")="No",$G31&lt;&gt;""),"Leave Orders blank",IF(AND(IFERROR(INDEX(tblMoveTypes[Reason?],MATCH($E31,tblMoveTypes[Movement],0)),"?")="Yes",$I31=""),"Reason needed",IF(AND(IFERROR(INDEX(tblMoveTypes[Qty?],MATCH($E31,tblMoveTypes[Movement],0)),"?")="Yes",N($F31)&lt;=0),"Qty needed",IF($A31&lt;_xlfn.MINIFS(tblShipment[Arrival Date],tblShipment[Shipment ID],$C31),"Date before arrival",IF(AND($D31&lt;&gt;"",COUNTIFS(tblShipment[Shipment ID],$C31,tblShipment[Item Code],$D31)=0),"Item not in this shipment",IF(AND($H31&lt;&gt;"",COUNTIFS(tblCouriers[Courier],$H31,tblCouriers[Market],$B31)=0),"Courier not in this market","OK")))))))))))))))</f>
        <v>OK</v>
      </c>
    </row>
    <row r="32" customFormat="false" ht="15" hidden="false" customHeight="false" outlineLevel="0" collapsed="false">
      <c r="A32" s="27" t="n">
        <v>46222</v>
      </c>
      <c r="B32" s="26" t="s">
        <v>70</v>
      </c>
      <c r="C32" s="26" t="s">
        <v>124</v>
      </c>
      <c r="D32" s="26" t="s">
        <v>67</v>
      </c>
      <c r="E32" s="26" t="s">
        <v>74</v>
      </c>
      <c r="F32" s="28" t="n">
        <v>39</v>
      </c>
      <c r="G32" s="28"/>
      <c r="H32" s="26"/>
      <c r="I32" s="26"/>
      <c r="J32" s="26"/>
      <c r="K32" s="29" t="str">
        <f aca="false">IF($A32="","",IF(COUNTIFS(tblMoveTypes[Movement],$E32)=0,"Unknown movement type",IF(COUNTIF(tblShipment[Shipment ID],$C32)=0,"Unknown shipment",IF(COUNTIFS(tblShipment[Shipment ID],$C32,tblShipment[Market],$B32)=0,"Market does not match shipment",IF(AND(IFERROR(INDEX(tblMoveTypes[Item?],MATCH($E32,tblMoveTypes[Movement],0)),"?")="Yes",$D32=""),"Item needed",IF(AND(IFERROR(INDEX(tblMoveTypes[Item?],MATCH($E32,tblMoveTypes[Movement],0)),"?")="No",$D32&lt;&gt;""),"Leave Item blank",IF(AND(IFERROR(INDEX(tblMoveTypes[Courier?],MATCH($E32,tblMoveTypes[Movement],0)),"?")="Yes",$H32=""),"Courier needed",IF(AND(IFERROR(INDEX(tblMoveTypes[Courier?],MATCH($E32,tblMoveTypes[Movement],0)),"?")="No",$H32&lt;&gt;""),"Leave Courier blank",IF(AND(IFERROR(INDEX(tblMoveTypes[Orders?],MATCH($E32,tblMoveTypes[Movement],0)),"?")="Yes",$G32=""),"Orders needed",IF(AND(IFERROR(INDEX(tblMoveTypes[Orders?],MATCH($E32,tblMoveTypes[Movement],0)),"?")="No",$G32&lt;&gt;""),"Leave Orders blank",IF(AND(IFERROR(INDEX(tblMoveTypes[Reason?],MATCH($E32,tblMoveTypes[Movement],0)),"?")="Yes",$I32=""),"Reason needed",IF(AND(IFERROR(INDEX(tblMoveTypes[Qty?],MATCH($E32,tblMoveTypes[Movement],0)),"?")="Yes",N($F32)&lt;=0),"Qty needed",IF($A32&lt;_xlfn.MINIFS(tblShipment[Arrival Date],tblShipment[Shipment ID],$C32),"Date before arrival",IF(AND($D32&lt;&gt;"",COUNTIFS(tblShipment[Shipment ID],$C32,tblShipment[Item Code],$D32)=0),"Item not in this shipment",IF(AND($H32&lt;&gt;"",COUNTIFS(tblCouriers[Courier],$H32,tblCouriers[Market],$B32)=0),"Courier not in this market","OK")))))))))))))))</f>
        <v>OK</v>
      </c>
    </row>
    <row r="33" customFormat="false" ht="15" hidden="false" customHeight="false" outlineLevel="0" collapsed="false">
      <c r="A33" s="27" t="n">
        <v>46222</v>
      </c>
      <c r="B33" s="26" t="s">
        <v>70</v>
      </c>
      <c r="C33" s="26" t="s">
        <v>124</v>
      </c>
      <c r="D33" s="26" t="s">
        <v>94</v>
      </c>
      <c r="E33" s="26" t="s">
        <v>74</v>
      </c>
      <c r="F33" s="28" t="n">
        <v>60</v>
      </c>
      <c r="G33" s="28"/>
      <c r="H33" s="26"/>
      <c r="I33" s="26"/>
      <c r="J33" s="26"/>
      <c r="K33" s="29" t="str">
        <f aca="false">IF($A33="","",IF(COUNTIFS(tblMoveTypes[Movement],$E33)=0,"Unknown movement type",IF(COUNTIF(tblShipment[Shipment ID],$C33)=0,"Unknown shipment",IF(COUNTIFS(tblShipment[Shipment ID],$C33,tblShipment[Market],$B33)=0,"Market does not match shipment",IF(AND(IFERROR(INDEX(tblMoveTypes[Item?],MATCH($E33,tblMoveTypes[Movement],0)),"?")="Yes",$D33=""),"Item needed",IF(AND(IFERROR(INDEX(tblMoveTypes[Item?],MATCH($E33,tblMoveTypes[Movement],0)),"?")="No",$D33&lt;&gt;""),"Leave Item blank",IF(AND(IFERROR(INDEX(tblMoveTypes[Courier?],MATCH($E33,tblMoveTypes[Movement],0)),"?")="Yes",$H33=""),"Courier needed",IF(AND(IFERROR(INDEX(tblMoveTypes[Courier?],MATCH($E33,tblMoveTypes[Movement],0)),"?")="No",$H33&lt;&gt;""),"Leave Courier blank",IF(AND(IFERROR(INDEX(tblMoveTypes[Orders?],MATCH($E33,tblMoveTypes[Movement],0)),"?")="Yes",$G33=""),"Orders needed",IF(AND(IFERROR(INDEX(tblMoveTypes[Orders?],MATCH($E33,tblMoveTypes[Movement],0)),"?")="No",$G33&lt;&gt;""),"Leave Orders blank",IF(AND(IFERROR(INDEX(tblMoveTypes[Reason?],MATCH($E33,tblMoveTypes[Movement],0)),"?")="Yes",$I33=""),"Reason needed",IF(AND(IFERROR(INDEX(tblMoveTypes[Qty?],MATCH($E33,tblMoveTypes[Movement],0)),"?")="Yes",N($F33)&lt;=0),"Qty needed",IF($A33&lt;_xlfn.MINIFS(tblShipment[Arrival Date],tblShipment[Shipment ID],$C33),"Date before arrival",IF(AND($D33&lt;&gt;"",COUNTIFS(tblShipment[Shipment ID],$C33,tblShipment[Item Code],$D33)=0),"Item not in this shipment",IF(AND($H33&lt;&gt;"",COUNTIFS(tblCouriers[Courier],$H33,tblCouriers[Market],$B33)=0),"Courier not in this market","OK")))))))))))))))</f>
        <v>OK</v>
      </c>
    </row>
    <row r="34" customFormat="false" ht="15" hidden="false" customHeight="false" outlineLevel="0" collapsed="false">
      <c r="A34" s="27" t="n">
        <v>46222</v>
      </c>
      <c r="B34" s="26" t="s">
        <v>70</v>
      </c>
      <c r="C34" s="26" t="s">
        <v>124</v>
      </c>
      <c r="D34" s="26"/>
      <c r="E34" s="26" t="s">
        <v>98</v>
      </c>
      <c r="F34" s="28"/>
      <c r="G34" s="28" t="n">
        <v>28</v>
      </c>
      <c r="H34" s="26"/>
      <c r="I34" s="26"/>
      <c r="J34" s="26"/>
      <c r="K34" s="29" t="str">
        <f aca="false">IF($A34="","",IF(COUNTIFS(tblMoveTypes[Movement],$E34)=0,"Unknown movement type",IF(COUNTIF(tblShipment[Shipment ID],$C34)=0,"Unknown shipment",IF(COUNTIFS(tblShipment[Shipment ID],$C34,tblShipment[Market],$B34)=0,"Market does not match shipment",IF(AND(IFERROR(INDEX(tblMoveTypes[Item?],MATCH($E34,tblMoveTypes[Movement],0)),"?")="Yes",$D34=""),"Item needed",IF(AND(IFERROR(INDEX(tblMoveTypes[Item?],MATCH($E34,tblMoveTypes[Movement],0)),"?")="No",$D34&lt;&gt;""),"Leave Item blank",IF(AND(IFERROR(INDEX(tblMoveTypes[Courier?],MATCH($E34,tblMoveTypes[Movement],0)),"?")="Yes",$H34=""),"Courier needed",IF(AND(IFERROR(INDEX(tblMoveTypes[Courier?],MATCH($E34,tblMoveTypes[Movement],0)),"?")="No",$H34&lt;&gt;""),"Leave Courier blank",IF(AND(IFERROR(INDEX(tblMoveTypes[Orders?],MATCH($E34,tblMoveTypes[Movement],0)),"?")="Yes",$G34=""),"Orders needed",IF(AND(IFERROR(INDEX(tblMoveTypes[Orders?],MATCH($E34,tblMoveTypes[Movement],0)),"?")="No",$G34&lt;&gt;""),"Leave Orders blank",IF(AND(IFERROR(INDEX(tblMoveTypes[Reason?],MATCH($E34,tblMoveTypes[Movement],0)),"?")="Yes",$I34=""),"Reason needed",IF(AND(IFERROR(INDEX(tblMoveTypes[Qty?],MATCH($E34,tblMoveTypes[Movement],0)),"?")="Yes",N($F34)&lt;=0),"Qty needed",IF($A34&lt;_xlfn.MINIFS(tblShipment[Arrival Date],tblShipment[Shipment ID],$C34),"Date before arrival",IF(AND($D34&lt;&gt;"",COUNTIFS(tblShipment[Shipment ID],$C34,tblShipment[Item Code],$D34)=0),"Item not in this shipment",IF(AND($H34&lt;&gt;"",COUNTIFS(tblCouriers[Courier],$H34,tblCouriers[Market],$B34)=0),"Courier not in this market","OK")))))))))))))))</f>
        <v>OK</v>
      </c>
    </row>
    <row r="35" customFormat="false" ht="15" hidden="false" customHeight="false" outlineLevel="0" collapsed="false">
      <c r="A35" s="27" t="n">
        <v>46222</v>
      </c>
      <c r="B35" s="26" t="s">
        <v>70</v>
      </c>
      <c r="C35" s="26" t="s">
        <v>124</v>
      </c>
      <c r="D35" s="26" t="s">
        <v>88</v>
      </c>
      <c r="E35" s="26" t="s">
        <v>73</v>
      </c>
      <c r="F35" s="28" t="n">
        <v>4</v>
      </c>
      <c r="G35" s="28"/>
      <c r="H35" s="26"/>
      <c r="I35" s="26" t="s">
        <v>72</v>
      </c>
      <c r="J35" s="26"/>
      <c r="K35" s="29" t="str">
        <f aca="false">IF($A35="","",IF(COUNTIFS(tblMoveTypes[Movement],$E35)=0,"Unknown movement type",IF(COUNTIF(tblShipment[Shipment ID],$C35)=0,"Unknown shipment",IF(COUNTIFS(tblShipment[Shipment ID],$C35,tblShipment[Market],$B35)=0,"Market does not match shipment",IF(AND(IFERROR(INDEX(tblMoveTypes[Item?],MATCH($E35,tblMoveTypes[Movement],0)),"?")="Yes",$D35=""),"Item needed",IF(AND(IFERROR(INDEX(tblMoveTypes[Item?],MATCH($E35,tblMoveTypes[Movement],0)),"?")="No",$D35&lt;&gt;""),"Leave Item blank",IF(AND(IFERROR(INDEX(tblMoveTypes[Courier?],MATCH($E35,tblMoveTypes[Movement],0)),"?")="Yes",$H35=""),"Courier needed",IF(AND(IFERROR(INDEX(tblMoveTypes[Courier?],MATCH($E35,tblMoveTypes[Movement],0)),"?")="No",$H35&lt;&gt;""),"Leave Courier blank",IF(AND(IFERROR(INDEX(tblMoveTypes[Orders?],MATCH($E35,tblMoveTypes[Movement],0)),"?")="Yes",$G35=""),"Orders needed",IF(AND(IFERROR(INDEX(tblMoveTypes[Orders?],MATCH($E35,tblMoveTypes[Movement],0)),"?")="No",$G35&lt;&gt;""),"Leave Orders blank",IF(AND(IFERROR(INDEX(tblMoveTypes[Reason?],MATCH($E35,tblMoveTypes[Movement],0)),"?")="Yes",$I35=""),"Reason needed",IF(AND(IFERROR(INDEX(tblMoveTypes[Qty?],MATCH($E35,tblMoveTypes[Movement],0)),"?")="Yes",N($F35)&lt;=0),"Qty needed",IF($A35&lt;_xlfn.MINIFS(tblShipment[Arrival Date],tblShipment[Shipment ID],$C35),"Date before arrival",IF(AND($D35&lt;&gt;"",COUNTIFS(tblShipment[Shipment ID],$C35,tblShipment[Item Code],$D35)=0),"Item not in this shipment",IF(AND($H35&lt;&gt;"",COUNTIFS(tblCouriers[Courier],$H35,tblCouriers[Market],$B35)=0),"Courier not in this market","OK")))))))))))))))</f>
        <v>OK</v>
      </c>
    </row>
    <row r="36" customFormat="false" ht="15" hidden="false" customHeight="false" outlineLevel="0" collapsed="false">
      <c r="A36" s="27" t="n">
        <v>46222</v>
      </c>
      <c r="B36" s="26" t="s">
        <v>70</v>
      </c>
      <c r="C36" s="26" t="s">
        <v>124</v>
      </c>
      <c r="D36" s="26" t="s">
        <v>67</v>
      </c>
      <c r="E36" s="26" t="s">
        <v>73</v>
      </c>
      <c r="F36" s="28" t="n">
        <v>1</v>
      </c>
      <c r="G36" s="28"/>
      <c r="H36" s="26"/>
      <c r="I36" s="26" t="s">
        <v>80</v>
      </c>
      <c r="J36" s="26"/>
      <c r="K36" s="29" t="str">
        <f aca="false">IF($A36="","",IF(COUNTIFS(tblMoveTypes[Movement],$E36)=0,"Unknown movement type",IF(COUNTIF(tblShipment[Shipment ID],$C36)=0,"Unknown shipment",IF(COUNTIFS(tblShipment[Shipment ID],$C36,tblShipment[Market],$B36)=0,"Market does not match shipment",IF(AND(IFERROR(INDEX(tblMoveTypes[Item?],MATCH($E36,tblMoveTypes[Movement],0)),"?")="Yes",$D36=""),"Item needed",IF(AND(IFERROR(INDEX(tblMoveTypes[Item?],MATCH($E36,tblMoveTypes[Movement],0)),"?")="No",$D36&lt;&gt;""),"Leave Item blank",IF(AND(IFERROR(INDEX(tblMoveTypes[Courier?],MATCH($E36,tblMoveTypes[Movement],0)),"?")="Yes",$H36=""),"Courier needed",IF(AND(IFERROR(INDEX(tblMoveTypes[Courier?],MATCH($E36,tblMoveTypes[Movement],0)),"?")="No",$H36&lt;&gt;""),"Leave Courier blank",IF(AND(IFERROR(INDEX(tblMoveTypes[Orders?],MATCH($E36,tblMoveTypes[Movement],0)),"?")="Yes",$G36=""),"Orders needed",IF(AND(IFERROR(INDEX(tblMoveTypes[Orders?],MATCH($E36,tblMoveTypes[Movement],0)),"?")="No",$G36&lt;&gt;""),"Leave Orders blank",IF(AND(IFERROR(INDEX(tblMoveTypes[Reason?],MATCH($E36,tblMoveTypes[Movement],0)),"?")="Yes",$I36=""),"Reason needed",IF(AND(IFERROR(INDEX(tblMoveTypes[Qty?],MATCH($E36,tblMoveTypes[Movement],0)),"?")="Yes",N($F36)&lt;=0),"Qty needed",IF($A36&lt;_xlfn.MINIFS(tblShipment[Arrival Date],tblShipment[Shipment ID],$C36),"Date before arrival",IF(AND($D36&lt;&gt;"",COUNTIFS(tblShipment[Shipment ID],$C36,tblShipment[Item Code],$D36)=0),"Item not in this shipment",IF(AND($H36&lt;&gt;"",COUNTIFS(tblCouriers[Courier],$H36,tblCouriers[Market],$B36)=0),"Courier not in this market","OK")))))))))))))))</f>
        <v>OK</v>
      </c>
    </row>
    <row r="37" customFormat="false" ht="15" hidden="false" customHeight="false" outlineLevel="0" collapsed="false">
      <c r="A37" s="27" t="n">
        <v>46222</v>
      </c>
      <c r="B37" s="26" t="s">
        <v>70</v>
      </c>
      <c r="C37" s="26" t="s">
        <v>124</v>
      </c>
      <c r="D37" s="26" t="s">
        <v>94</v>
      </c>
      <c r="E37" s="26" t="s">
        <v>73</v>
      </c>
      <c r="F37" s="28" t="n">
        <v>2</v>
      </c>
      <c r="G37" s="28"/>
      <c r="H37" s="26"/>
      <c r="I37" s="26" t="s">
        <v>80</v>
      </c>
      <c r="J37" s="26"/>
      <c r="K37" s="29" t="str">
        <f aca="false">IF($A37="","",IF(COUNTIFS(tblMoveTypes[Movement],$E37)=0,"Unknown movement type",IF(COUNTIF(tblShipment[Shipment ID],$C37)=0,"Unknown shipment",IF(COUNTIFS(tblShipment[Shipment ID],$C37,tblShipment[Market],$B37)=0,"Market does not match shipment",IF(AND(IFERROR(INDEX(tblMoveTypes[Item?],MATCH($E37,tblMoveTypes[Movement],0)),"?")="Yes",$D37=""),"Item needed",IF(AND(IFERROR(INDEX(tblMoveTypes[Item?],MATCH($E37,tblMoveTypes[Movement],0)),"?")="No",$D37&lt;&gt;""),"Leave Item blank",IF(AND(IFERROR(INDEX(tblMoveTypes[Courier?],MATCH($E37,tblMoveTypes[Movement],0)),"?")="Yes",$H37=""),"Courier needed",IF(AND(IFERROR(INDEX(tblMoveTypes[Courier?],MATCH($E37,tblMoveTypes[Movement],0)),"?")="No",$H37&lt;&gt;""),"Leave Courier blank",IF(AND(IFERROR(INDEX(tblMoveTypes[Orders?],MATCH($E37,tblMoveTypes[Movement],0)),"?")="Yes",$G37=""),"Orders needed",IF(AND(IFERROR(INDEX(tblMoveTypes[Orders?],MATCH($E37,tblMoveTypes[Movement],0)),"?")="No",$G37&lt;&gt;""),"Leave Orders blank",IF(AND(IFERROR(INDEX(tblMoveTypes[Reason?],MATCH($E37,tblMoveTypes[Movement],0)),"?")="Yes",$I37=""),"Reason needed",IF(AND(IFERROR(INDEX(tblMoveTypes[Qty?],MATCH($E37,tblMoveTypes[Movement],0)),"?")="Yes",N($F37)&lt;=0),"Qty needed",IF($A37&lt;_xlfn.MINIFS(tblShipment[Arrival Date],tblShipment[Shipment ID],$C37),"Date before arrival",IF(AND($D37&lt;&gt;"",COUNTIFS(tblShipment[Shipment ID],$C37,tblShipment[Item Code],$D37)=0),"Item not in this shipment",IF(AND($H37&lt;&gt;"",COUNTIFS(tblCouriers[Courier],$H37,tblCouriers[Market],$B37)=0),"Courier not in this market","OK")))))))))))))))</f>
        <v>OK</v>
      </c>
    </row>
    <row r="38" customFormat="false" ht="15" hidden="false" customHeight="false" outlineLevel="0" collapsed="false">
      <c r="A38" s="27" t="n">
        <v>46222</v>
      </c>
      <c r="B38" s="26" t="s">
        <v>70</v>
      </c>
      <c r="C38" s="26" t="s">
        <v>124</v>
      </c>
      <c r="D38" s="26" t="s">
        <v>88</v>
      </c>
      <c r="E38" s="26" t="s">
        <v>93</v>
      </c>
      <c r="F38" s="28" t="n">
        <v>96</v>
      </c>
      <c r="G38" s="28"/>
      <c r="H38" s="26" t="s">
        <v>71</v>
      </c>
      <c r="I38" s="26"/>
      <c r="J38" s="26"/>
      <c r="K38" s="29" t="str">
        <f aca="false">IF($A38="","",IF(COUNTIFS(tblMoveTypes[Movement],$E38)=0,"Unknown movement type",IF(COUNTIF(tblShipment[Shipment ID],$C38)=0,"Unknown shipment",IF(COUNTIFS(tblShipment[Shipment ID],$C38,tblShipment[Market],$B38)=0,"Market does not match shipment",IF(AND(IFERROR(INDEX(tblMoveTypes[Item?],MATCH($E38,tblMoveTypes[Movement],0)),"?")="Yes",$D38=""),"Item needed",IF(AND(IFERROR(INDEX(tblMoveTypes[Item?],MATCH($E38,tblMoveTypes[Movement],0)),"?")="No",$D38&lt;&gt;""),"Leave Item blank",IF(AND(IFERROR(INDEX(tblMoveTypes[Courier?],MATCH($E38,tblMoveTypes[Movement],0)),"?")="Yes",$H38=""),"Courier needed",IF(AND(IFERROR(INDEX(tblMoveTypes[Courier?],MATCH($E38,tblMoveTypes[Movement],0)),"?")="No",$H38&lt;&gt;""),"Leave Courier blank",IF(AND(IFERROR(INDEX(tblMoveTypes[Orders?],MATCH($E38,tblMoveTypes[Movement],0)),"?")="Yes",$G38=""),"Orders needed",IF(AND(IFERROR(INDEX(tblMoveTypes[Orders?],MATCH($E38,tblMoveTypes[Movement],0)),"?")="No",$G38&lt;&gt;""),"Leave Orders blank",IF(AND(IFERROR(INDEX(tblMoveTypes[Reason?],MATCH($E38,tblMoveTypes[Movement],0)),"?")="Yes",$I38=""),"Reason needed",IF(AND(IFERROR(INDEX(tblMoveTypes[Qty?],MATCH($E38,tblMoveTypes[Movement],0)),"?")="Yes",N($F38)&lt;=0),"Qty needed",IF($A38&lt;_xlfn.MINIFS(tblShipment[Arrival Date],tblShipment[Shipment ID],$C38),"Date before arrival",IF(AND($D38&lt;&gt;"",COUNTIFS(tblShipment[Shipment ID],$C38,tblShipment[Item Code],$D38)=0),"Item not in this shipment",IF(AND($H38&lt;&gt;"",COUNTIFS(tblCouriers[Courier],$H38,tblCouriers[Market],$B38)=0),"Courier not in this market","OK")))))))))))))))</f>
        <v>OK</v>
      </c>
    </row>
    <row r="39" customFormat="false" ht="15" hidden="false" customHeight="false" outlineLevel="0" collapsed="false">
      <c r="A39" s="27" t="n">
        <v>46222</v>
      </c>
      <c r="B39" s="26" t="s">
        <v>70</v>
      </c>
      <c r="C39" s="26" t="s">
        <v>124</v>
      </c>
      <c r="D39" s="26" t="s">
        <v>67</v>
      </c>
      <c r="E39" s="26" t="s">
        <v>93</v>
      </c>
      <c r="F39" s="28" t="n">
        <v>38</v>
      </c>
      <c r="G39" s="28"/>
      <c r="H39" s="26" t="s">
        <v>71</v>
      </c>
      <c r="I39" s="26"/>
      <c r="J39" s="26"/>
      <c r="K39" s="29" t="str">
        <f aca="false">IF($A39="","",IF(COUNTIFS(tblMoveTypes[Movement],$E39)=0,"Unknown movement type",IF(COUNTIF(tblShipment[Shipment ID],$C39)=0,"Unknown shipment",IF(COUNTIFS(tblShipment[Shipment ID],$C39,tblShipment[Market],$B39)=0,"Market does not match shipment",IF(AND(IFERROR(INDEX(tblMoveTypes[Item?],MATCH($E39,tblMoveTypes[Movement],0)),"?")="Yes",$D39=""),"Item needed",IF(AND(IFERROR(INDEX(tblMoveTypes[Item?],MATCH($E39,tblMoveTypes[Movement],0)),"?")="No",$D39&lt;&gt;""),"Leave Item blank",IF(AND(IFERROR(INDEX(tblMoveTypes[Courier?],MATCH($E39,tblMoveTypes[Movement],0)),"?")="Yes",$H39=""),"Courier needed",IF(AND(IFERROR(INDEX(tblMoveTypes[Courier?],MATCH($E39,tblMoveTypes[Movement],0)),"?")="No",$H39&lt;&gt;""),"Leave Courier blank",IF(AND(IFERROR(INDEX(tblMoveTypes[Orders?],MATCH($E39,tblMoveTypes[Movement],0)),"?")="Yes",$G39=""),"Orders needed",IF(AND(IFERROR(INDEX(tblMoveTypes[Orders?],MATCH($E39,tblMoveTypes[Movement],0)),"?")="No",$G39&lt;&gt;""),"Leave Orders blank",IF(AND(IFERROR(INDEX(tblMoveTypes[Reason?],MATCH($E39,tblMoveTypes[Movement],0)),"?")="Yes",$I39=""),"Reason needed",IF(AND(IFERROR(INDEX(tblMoveTypes[Qty?],MATCH($E39,tblMoveTypes[Movement],0)),"?")="Yes",N($F39)&lt;=0),"Qty needed",IF($A39&lt;_xlfn.MINIFS(tblShipment[Arrival Date],tblShipment[Shipment ID],$C39),"Date before arrival",IF(AND($D39&lt;&gt;"",COUNTIFS(tblShipment[Shipment ID],$C39,tblShipment[Item Code],$D39)=0),"Item not in this shipment",IF(AND($H39&lt;&gt;"",COUNTIFS(tblCouriers[Courier],$H39,tblCouriers[Market],$B39)=0),"Courier not in this market","OK")))))))))))))))</f>
        <v>OK</v>
      </c>
    </row>
    <row r="40" customFormat="false" ht="15" hidden="false" customHeight="false" outlineLevel="0" collapsed="false">
      <c r="A40" s="27" t="n">
        <v>46222</v>
      </c>
      <c r="B40" s="26" t="s">
        <v>70</v>
      </c>
      <c r="C40" s="26" t="s">
        <v>124</v>
      </c>
      <c r="D40" s="26" t="s">
        <v>94</v>
      </c>
      <c r="E40" s="26" t="s">
        <v>93</v>
      </c>
      <c r="F40" s="28" t="n">
        <v>58</v>
      </c>
      <c r="G40" s="28"/>
      <c r="H40" s="26" t="s">
        <v>71</v>
      </c>
      <c r="I40" s="26"/>
      <c r="J40" s="26"/>
      <c r="K40" s="29" t="str">
        <f aca="false">IF($A40="","",IF(COUNTIFS(tblMoveTypes[Movement],$E40)=0,"Unknown movement type",IF(COUNTIF(tblShipment[Shipment ID],$C40)=0,"Unknown shipment",IF(COUNTIFS(tblShipment[Shipment ID],$C40,tblShipment[Market],$B40)=0,"Market does not match shipment",IF(AND(IFERROR(INDEX(tblMoveTypes[Item?],MATCH($E40,tblMoveTypes[Movement],0)),"?")="Yes",$D40=""),"Item needed",IF(AND(IFERROR(INDEX(tblMoveTypes[Item?],MATCH($E40,tblMoveTypes[Movement],0)),"?")="No",$D40&lt;&gt;""),"Leave Item blank",IF(AND(IFERROR(INDEX(tblMoveTypes[Courier?],MATCH($E40,tblMoveTypes[Movement],0)),"?")="Yes",$H40=""),"Courier needed",IF(AND(IFERROR(INDEX(tblMoveTypes[Courier?],MATCH($E40,tblMoveTypes[Movement],0)),"?")="No",$H40&lt;&gt;""),"Leave Courier blank",IF(AND(IFERROR(INDEX(tblMoveTypes[Orders?],MATCH($E40,tblMoveTypes[Movement],0)),"?")="Yes",$G40=""),"Orders needed",IF(AND(IFERROR(INDEX(tblMoveTypes[Orders?],MATCH($E40,tblMoveTypes[Movement],0)),"?")="No",$G40&lt;&gt;""),"Leave Orders blank",IF(AND(IFERROR(INDEX(tblMoveTypes[Reason?],MATCH($E40,tblMoveTypes[Movement],0)),"?")="Yes",$I40=""),"Reason needed",IF(AND(IFERROR(INDEX(tblMoveTypes[Qty?],MATCH($E40,tblMoveTypes[Movement],0)),"?")="Yes",N($F40)&lt;=0),"Qty needed",IF($A40&lt;_xlfn.MINIFS(tblShipment[Arrival Date],tblShipment[Shipment ID],$C40),"Date before arrival",IF(AND($D40&lt;&gt;"",COUNTIFS(tblShipment[Shipment ID],$C40,tblShipment[Item Code],$D40)=0),"Item not in this shipment",IF(AND($H40&lt;&gt;"",COUNTIFS(tblCouriers[Courier],$H40,tblCouriers[Market],$B40)=0),"Courier not in this market","OK")))))))))))))))</f>
        <v>OK</v>
      </c>
    </row>
    <row r="41" customFormat="false" ht="15" hidden="false" customHeight="false" outlineLevel="0" collapsed="false">
      <c r="A41" s="27" t="n">
        <v>46222</v>
      </c>
      <c r="B41" s="26" t="s">
        <v>70</v>
      </c>
      <c r="C41" s="26" t="s">
        <v>124</v>
      </c>
      <c r="D41" s="26"/>
      <c r="E41" s="26" t="s">
        <v>104</v>
      </c>
      <c r="F41" s="28"/>
      <c r="G41" s="28" t="n">
        <v>28</v>
      </c>
      <c r="H41" s="26" t="s">
        <v>71</v>
      </c>
      <c r="I41" s="26"/>
      <c r="J41" s="26"/>
      <c r="K41" s="29" t="str">
        <f aca="false">IF($A41="","",IF(COUNTIFS(tblMoveTypes[Movement],$E41)=0,"Unknown movement type",IF(COUNTIF(tblShipment[Shipment ID],$C41)=0,"Unknown shipment",IF(COUNTIFS(tblShipment[Shipment ID],$C41,tblShipment[Market],$B41)=0,"Market does not match shipment",IF(AND(IFERROR(INDEX(tblMoveTypes[Item?],MATCH($E41,tblMoveTypes[Movement],0)),"?")="Yes",$D41=""),"Item needed",IF(AND(IFERROR(INDEX(tblMoveTypes[Item?],MATCH($E41,tblMoveTypes[Movement],0)),"?")="No",$D41&lt;&gt;""),"Leave Item blank",IF(AND(IFERROR(INDEX(tblMoveTypes[Courier?],MATCH($E41,tblMoveTypes[Movement],0)),"?")="Yes",$H41=""),"Courier needed",IF(AND(IFERROR(INDEX(tblMoveTypes[Courier?],MATCH($E41,tblMoveTypes[Movement],0)),"?")="No",$H41&lt;&gt;""),"Leave Courier blank",IF(AND(IFERROR(INDEX(tblMoveTypes[Orders?],MATCH($E41,tblMoveTypes[Movement],0)),"?")="Yes",$G41=""),"Orders needed",IF(AND(IFERROR(INDEX(tblMoveTypes[Orders?],MATCH($E41,tblMoveTypes[Movement],0)),"?")="No",$G41&lt;&gt;""),"Leave Orders blank",IF(AND(IFERROR(INDEX(tblMoveTypes[Reason?],MATCH($E41,tblMoveTypes[Movement],0)),"?")="Yes",$I41=""),"Reason needed",IF(AND(IFERROR(INDEX(tblMoveTypes[Qty?],MATCH($E41,tblMoveTypes[Movement],0)),"?")="Yes",N($F41)&lt;=0),"Qty needed",IF($A41&lt;_xlfn.MINIFS(tblShipment[Arrival Date],tblShipment[Shipment ID],$C41),"Date before arrival",IF(AND($D41&lt;&gt;"",COUNTIFS(tblShipment[Shipment ID],$C41,tblShipment[Item Code],$D41)=0),"Item not in this shipment",IF(AND($H41&lt;&gt;"",COUNTIFS(tblCouriers[Courier],$H41,tblCouriers[Market],$B41)=0),"Courier not in this market","OK")))))))))))))))</f>
        <v>OK</v>
      </c>
    </row>
    <row r="42" customFormat="false" ht="15" hidden="false" customHeight="false" outlineLevel="0" collapsed="false">
      <c r="A42" s="27" t="n">
        <v>46222</v>
      </c>
      <c r="B42" s="26" t="s">
        <v>70</v>
      </c>
      <c r="C42" s="26" t="s">
        <v>124</v>
      </c>
      <c r="D42" s="26"/>
      <c r="E42" s="26" t="s">
        <v>106</v>
      </c>
      <c r="F42" s="28" t="n">
        <v>107</v>
      </c>
      <c r="G42" s="28" t="n">
        <v>16</v>
      </c>
      <c r="H42" s="26" t="s">
        <v>71</v>
      </c>
      <c r="I42" s="26"/>
      <c r="J42" s="26"/>
      <c r="K42" s="29" t="str">
        <f aca="false">IF($A42="","",IF(COUNTIFS(tblMoveTypes[Movement],$E42)=0,"Unknown movement type",IF(COUNTIF(tblShipment[Shipment ID],$C42)=0,"Unknown shipment",IF(COUNTIFS(tblShipment[Shipment ID],$C42,tblShipment[Market],$B42)=0,"Market does not match shipment",IF(AND(IFERROR(INDEX(tblMoveTypes[Item?],MATCH($E42,tblMoveTypes[Movement],0)),"?")="Yes",$D42=""),"Item needed",IF(AND(IFERROR(INDEX(tblMoveTypes[Item?],MATCH($E42,tblMoveTypes[Movement],0)),"?")="No",$D42&lt;&gt;""),"Leave Item blank",IF(AND(IFERROR(INDEX(tblMoveTypes[Courier?],MATCH($E42,tblMoveTypes[Movement],0)),"?")="Yes",$H42=""),"Courier needed",IF(AND(IFERROR(INDEX(tblMoveTypes[Courier?],MATCH($E42,tblMoveTypes[Movement],0)),"?")="No",$H42&lt;&gt;""),"Leave Courier blank",IF(AND(IFERROR(INDEX(tblMoveTypes[Orders?],MATCH($E42,tblMoveTypes[Movement],0)),"?")="Yes",$G42=""),"Orders needed",IF(AND(IFERROR(INDEX(tblMoveTypes[Orders?],MATCH($E42,tblMoveTypes[Movement],0)),"?")="No",$G42&lt;&gt;""),"Leave Orders blank",IF(AND(IFERROR(INDEX(tblMoveTypes[Reason?],MATCH($E42,tblMoveTypes[Movement],0)),"?")="Yes",$I42=""),"Reason needed",IF(AND(IFERROR(INDEX(tblMoveTypes[Qty?],MATCH($E42,tblMoveTypes[Movement],0)),"?")="Yes",N($F42)&lt;=0),"Qty needed",IF($A42&lt;_xlfn.MINIFS(tblShipment[Arrival Date],tblShipment[Shipment ID],$C42),"Date before arrival",IF(AND($D42&lt;&gt;"",COUNTIFS(tblShipment[Shipment ID],$C42,tblShipment[Item Code],$D42)=0),"Item not in this shipment",IF(AND($H42&lt;&gt;"",COUNTIFS(tblCouriers[Courier],$H42,tblCouriers[Market],$B42)=0),"Courier not in this market","OK")))))))))))))))</f>
        <v>OK</v>
      </c>
    </row>
    <row r="43" customFormat="false" ht="15" hidden="false" customHeight="false" outlineLevel="0" collapsed="false">
      <c r="A43" s="27" t="n">
        <v>46222</v>
      </c>
      <c r="B43" s="26" t="s">
        <v>78</v>
      </c>
      <c r="C43" s="26" t="s">
        <v>131</v>
      </c>
      <c r="D43" s="26"/>
      <c r="E43" s="26" t="s">
        <v>106</v>
      </c>
      <c r="F43" s="28" t="n">
        <v>42</v>
      </c>
      <c r="G43" s="28" t="n">
        <v>6</v>
      </c>
      <c r="H43" s="26" t="s">
        <v>79</v>
      </c>
      <c r="I43" s="26"/>
      <c r="J43" s="26"/>
      <c r="K43" s="29" t="str">
        <f aca="false">IF($A43="","",IF(COUNTIFS(tblMoveTypes[Movement],$E43)=0,"Unknown movement type",IF(COUNTIF(tblShipment[Shipment ID],$C43)=0,"Unknown shipment",IF(COUNTIFS(tblShipment[Shipment ID],$C43,tblShipment[Market],$B43)=0,"Market does not match shipment",IF(AND(IFERROR(INDEX(tblMoveTypes[Item?],MATCH($E43,tblMoveTypes[Movement],0)),"?")="Yes",$D43=""),"Item needed",IF(AND(IFERROR(INDEX(tblMoveTypes[Item?],MATCH($E43,tblMoveTypes[Movement],0)),"?")="No",$D43&lt;&gt;""),"Leave Item blank",IF(AND(IFERROR(INDEX(tblMoveTypes[Courier?],MATCH($E43,tblMoveTypes[Movement],0)),"?")="Yes",$H43=""),"Courier needed",IF(AND(IFERROR(INDEX(tblMoveTypes[Courier?],MATCH($E43,tblMoveTypes[Movement],0)),"?")="No",$H43&lt;&gt;""),"Leave Courier blank",IF(AND(IFERROR(INDEX(tblMoveTypes[Orders?],MATCH($E43,tblMoveTypes[Movement],0)),"?")="Yes",$G43=""),"Orders needed",IF(AND(IFERROR(INDEX(tblMoveTypes[Orders?],MATCH($E43,tblMoveTypes[Movement],0)),"?")="No",$G43&lt;&gt;""),"Leave Orders blank",IF(AND(IFERROR(INDEX(tblMoveTypes[Reason?],MATCH($E43,tblMoveTypes[Movement],0)),"?")="Yes",$I43=""),"Reason needed",IF(AND(IFERROR(INDEX(tblMoveTypes[Qty?],MATCH($E43,tblMoveTypes[Movement],0)),"?")="Yes",N($F43)&lt;=0),"Qty needed",IF($A43&lt;_xlfn.MINIFS(tblShipment[Arrival Date],tblShipment[Shipment ID],$C43),"Date before arrival",IF(AND($D43&lt;&gt;"",COUNTIFS(tblShipment[Shipment ID],$C43,tblShipment[Item Code],$D43)=0),"Item not in this shipment",IF(AND($H43&lt;&gt;"",COUNTIFS(tblCouriers[Courier],$H43,tblCouriers[Market],$B43)=0),"Courier not in this market","OK")))))))))))))))</f>
        <v>OK</v>
      </c>
    </row>
    <row r="44" customFormat="false" ht="15" hidden="false" customHeight="false" outlineLevel="0" collapsed="false">
      <c r="A44" s="27" t="n">
        <v>46223</v>
      </c>
      <c r="B44" s="26" t="s">
        <v>70</v>
      </c>
      <c r="C44" s="26" t="s">
        <v>124</v>
      </c>
      <c r="D44" s="26"/>
      <c r="E44" s="26" t="s">
        <v>106</v>
      </c>
      <c r="F44" s="28" t="n">
        <v>42</v>
      </c>
      <c r="G44" s="28" t="n">
        <v>6</v>
      </c>
      <c r="H44" s="26" t="s">
        <v>71</v>
      </c>
      <c r="I44" s="26"/>
      <c r="J44" s="26"/>
      <c r="K44" s="29" t="str">
        <f aca="false">IF($A44="","",IF(COUNTIFS(tblMoveTypes[Movement],$E44)=0,"Unknown movement type",IF(COUNTIF(tblShipment[Shipment ID],$C44)=0,"Unknown shipment",IF(COUNTIFS(tblShipment[Shipment ID],$C44,tblShipment[Market],$B44)=0,"Market does not match shipment",IF(AND(IFERROR(INDEX(tblMoveTypes[Item?],MATCH($E44,tblMoveTypes[Movement],0)),"?")="Yes",$D44=""),"Item needed",IF(AND(IFERROR(INDEX(tblMoveTypes[Item?],MATCH($E44,tblMoveTypes[Movement],0)),"?")="No",$D44&lt;&gt;""),"Leave Item blank",IF(AND(IFERROR(INDEX(tblMoveTypes[Courier?],MATCH($E44,tblMoveTypes[Movement],0)),"?")="Yes",$H44=""),"Courier needed",IF(AND(IFERROR(INDEX(tblMoveTypes[Courier?],MATCH($E44,tblMoveTypes[Movement],0)),"?")="No",$H44&lt;&gt;""),"Leave Courier blank",IF(AND(IFERROR(INDEX(tblMoveTypes[Orders?],MATCH($E44,tblMoveTypes[Movement],0)),"?")="Yes",$G44=""),"Orders needed",IF(AND(IFERROR(INDEX(tblMoveTypes[Orders?],MATCH($E44,tblMoveTypes[Movement],0)),"?")="No",$G44&lt;&gt;""),"Leave Orders blank",IF(AND(IFERROR(INDEX(tblMoveTypes[Reason?],MATCH($E44,tblMoveTypes[Movement],0)),"?")="Yes",$I44=""),"Reason needed",IF(AND(IFERROR(INDEX(tblMoveTypes[Qty?],MATCH($E44,tblMoveTypes[Movement],0)),"?")="Yes",N($F44)&lt;=0),"Qty needed",IF($A44&lt;_xlfn.MINIFS(tblShipment[Arrival Date],tblShipment[Shipment ID],$C44),"Date before arrival",IF(AND($D44&lt;&gt;"",COUNTIFS(tblShipment[Shipment ID],$C44,tblShipment[Item Code],$D44)=0),"Item not in this shipment",IF(AND($H44&lt;&gt;"",COUNTIFS(tblCouriers[Courier],$H44,tblCouriers[Market],$B44)=0),"Courier not in this market","OK")))))))))))))))</f>
        <v>OK</v>
      </c>
    </row>
    <row r="45" customFormat="false" ht="15" hidden="false" customHeight="false" outlineLevel="0" collapsed="false">
      <c r="A45" s="27" t="n">
        <v>46223</v>
      </c>
      <c r="B45" s="26" t="s">
        <v>85</v>
      </c>
      <c r="C45" s="26" t="s">
        <v>139</v>
      </c>
      <c r="D45" s="26" t="s">
        <v>99</v>
      </c>
      <c r="E45" s="26" t="s">
        <v>74</v>
      </c>
      <c r="F45" s="28" t="n">
        <v>60</v>
      </c>
      <c r="G45" s="28"/>
      <c r="H45" s="26"/>
      <c r="I45" s="26"/>
      <c r="J45" s="26"/>
      <c r="K45" s="29" t="str">
        <f aca="false">IF($A45="","",IF(COUNTIFS(tblMoveTypes[Movement],$E45)=0,"Unknown movement type",IF(COUNTIF(tblShipment[Shipment ID],$C45)=0,"Unknown shipment",IF(COUNTIFS(tblShipment[Shipment ID],$C45,tblShipment[Market],$B45)=0,"Market does not match shipment",IF(AND(IFERROR(INDEX(tblMoveTypes[Item?],MATCH($E45,tblMoveTypes[Movement],0)),"?")="Yes",$D45=""),"Item needed",IF(AND(IFERROR(INDEX(tblMoveTypes[Item?],MATCH($E45,tblMoveTypes[Movement],0)),"?")="No",$D45&lt;&gt;""),"Leave Item blank",IF(AND(IFERROR(INDEX(tblMoveTypes[Courier?],MATCH($E45,tblMoveTypes[Movement],0)),"?")="Yes",$H45=""),"Courier needed",IF(AND(IFERROR(INDEX(tblMoveTypes[Courier?],MATCH($E45,tblMoveTypes[Movement],0)),"?")="No",$H45&lt;&gt;""),"Leave Courier blank",IF(AND(IFERROR(INDEX(tblMoveTypes[Orders?],MATCH($E45,tblMoveTypes[Movement],0)),"?")="Yes",$G45=""),"Orders needed",IF(AND(IFERROR(INDEX(tblMoveTypes[Orders?],MATCH($E45,tblMoveTypes[Movement],0)),"?")="No",$G45&lt;&gt;""),"Leave Orders blank",IF(AND(IFERROR(INDEX(tblMoveTypes[Reason?],MATCH($E45,tblMoveTypes[Movement],0)),"?")="Yes",$I45=""),"Reason needed",IF(AND(IFERROR(INDEX(tblMoveTypes[Qty?],MATCH($E45,tblMoveTypes[Movement],0)),"?")="Yes",N($F45)&lt;=0),"Qty needed",IF($A45&lt;_xlfn.MINIFS(tblShipment[Arrival Date],tblShipment[Shipment ID],$C45),"Date before arrival",IF(AND($D45&lt;&gt;"",COUNTIFS(tblShipment[Shipment ID],$C45,tblShipment[Item Code],$D45)=0),"Item not in this shipment",IF(AND($H45&lt;&gt;"",COUNTIFS(tblCouriers[Courier],$H45,tblCouriers[Market],$B45)=0),"Courier not in this market","OK")))))))))))))))</f>
        <v>OK</v>
      </c>
    </row>
    <row r="46" customFormat="false" ht="15" hidden="false" customHeight="false" outlineLevel="0" collapsed="false">
      <c r="A46" s="27" t="n">
        <v>46223</v>
      </c>
      <c r="B46" s="26" t="s">
        <v>85</v>
      </c>
      <c r="C46" s="26" t="s">
        <v>139</v>
      </c>
      <c r="D46" s="26" t="s">
        <v>76</v>
      </c>
      <c r="E46" s="26" t="s">
        <v>74</v>
      </c>
      <c r="F46" s="28" t="n">
        <v>120</v>
      </c>
      <c r="G46" s="28"/>
      <c r="H46" s="26"/>
      <c r="I46" s="26"/>
      <c r="J46" s="26"/>
      <c r="K46" s="29" t="str">
        <f aca="false">IF($A46="","",IF(COUNTIFS(tblMoveTypes[Movement],$E46)=0,"Unknown movement type",IF(COUNTIF(tblShipment[Shipment ID],$C46)=0,"Unknown shipment",IF(COUNTIFS(tblShipment[Shipment ID],$C46,tblShipment[Market],$B46)=0,"Market does not match shipment",IF(AND(IFERROR(INDEX(tblMoveTypes[Item?],MATCH($E46,tblMoveTypes[Movement],0)),"?")="Yes",$D46=""),"Item needed",IF(AND(IFERROR(INDEX(tblMoveTypes[Item?],MATCH($E46,tblMoveTypes[Movement],0)),"?")="No",$D46&lt;&gt;""),"Leave Item blank",IF(AND(IFERROR(INDEX(tblMoveTypes[Courier?],MATCH($E46,tblMoveTypes[Movement],0)),"?")="Yes",$H46=""),"Courier needed",IF(AND(IFERROR(INDEX(tblMoveTypes[Courier?],MATCH($E46,tblMoveTypes[Movement],0)),"?")="No",$H46&lt;&gt;""),"Leave Courier blank",IF(AND(IFERROR(INDEX(tblMoveTypes[Orders?],MATCH($E46,tblMoveTypes[Movement],0)),"?")="Yes",$G46=""),"Orders needed",IF(AND(IFERROR(INDEX(tblMoveTypes[Orders?],MATCH($E46,tblMoveTypes[Movement],0)),"?")="No",$G46&lt;&gt;""),"Leave Orders blank",IF(AND(IFERROR(INDEX(tblMoveTypes[Reason?],MATCH($E46,tblMoveTypes[Movement],0)),"?")="Yes",$I46=""),"Reason needed",IF(AND(IFERROR(INDEX(tblMoveTypes[Qty?],MATCH($E46,tblMoveTypes[Movement],0)),"?")="Yes",N($F46)&lt;=0),"Qty needed",IF($A46&lt;_xlfn.MINIFS(tblShipment[Arrival Date],tblShipment[Shipment ID],$C46),"Date before arrival",IF(AND($D46&lt;&gt;"",COUNTIFS(tblShipment[Shipment ID],$C46,tblShipment[Item Code],$D46)=0),"Item not in this shipment",IF(AND($H46&lt;&gt;"",COUNTIFS(tblCouriers[Courier],$H46,tblCouriers[Market],$B46)=0),"Courier not in this market","OK")))))))))))))))</f>
        <v>OK</v>
      </c>
    </row>
    <row r="47" customFormat="false" ht="15" hidden="false" customHeight="false" outlineLevel="0" collapsed="false">
      <c r="A47" s="27" t="n">
        <v>46223</v>
      </c>
      <c r="B47" s="26" t="s">
        <v>85</v>
      </c>
      <c r="C47" s="26" t="s">
        <v>139</v>
      </c>
      <c r="D47" s="26" t="s">
        <v>88</v>
      </c>
      <c r="E47" s="26" t="s">
        <v>81</v>
      </c>
      <c r="F47" s="28" t="n">
        <v>3</v>
      </c>
      <c r="G47" s="28"/>
      <c r="H47" s="26"/>
      <c r="I47" s="26"/>
      <c r="J47" s="26" t="s">
        <v>162</v>
      </c>
      <c r="K47" s="29" t="str">
        <f aca="false">IF($A47="","",IF(COUNTIFS(tblMoveTypes[Movement],$E47)=0,"Unknown movement type",IF(COUNTIF(tblShipment[Shipment ID],$C47)=0,"Unknown shipment",IF(COUNTIFS(tblShipment[Shipment ID],$C47,tblShipment[Market],$B47)=0,"Market does not match shipment",IF(AND(IFERROR(INDEX(tblMoveTypes[Item?],MATCH($E47,tblMoveTypes[Movement],0)),"?")="Yes",$D47=""),"Item needed",IF(AND(IFERROR(INDEX(tblMoveTypes[Item?],MATCH($E47,tblMoveTypes[Movement],0)),"?")="No",$D47&lt;&gt;""),"Leave Item blank",IF(AND(IFERROR(INDEX(tblMoveTypes[Courier?],MATCH($E47,tblMoveTypes[Movement],0)),"?")="Yes",$H47=""),"Courier needed",IF(AND(IFERROR(INDEX(tblMoveTypes[Courier?],MATCH($E47,tblMoveTypes[Movement],0)),"?")="No",$H47&lt;&gt;""),"Leave Courier blank",IF(AND(IFERROR(INDEX(tblMoveTypes[Orders?],MATCH($E47,tblMoveTypes[Movement],0)),"?")="Yes",$G47=""),"Orders needed",IF(AND(IFERROR(INDEX(tblMoveTypes[Orders?],MATCH($E47,tblMoveTypes[Movement],0)),"?")="No",$G47&lt;&gt;""),"Leave Orders blank",IF(AND(IFERROR(INDEX(tblMoveTypes[Reason?],MATCH($E47,tblMoveTypes[Movement],0)),"?")="Yes",$I47=""),"Reason needed",IF(AND(IFERROR(INDEX(tblMoveTypes[Qty?],MATCH($E47,tblMoveTypes[Movement],0)),"?")="Yes",N($F47)&lt;=0),"Qty needed",IF($A47&lt;_xlfn.MINIFS(tblShipment[Arrival Date],tblShipment[Shipment ID],$C47),"Date before arrival",IF(AND($D47&lt;&gt;"",COUNTIFS(tblShipment[Shipment ID],$C47,tblShipment[Item Code],$D47)=0),"Item not in this shipment",IF(AND($H47&lt;&gt;"",COUNTIFS(tblCouriers[Courier],$H47,tblCouriers[Market],$B47)=0),"Courier not in this market","OK")))))))))))))))</f>
        <v>OK</v>
      </c>
    </row>
    <row r="48" customFormat="false" ht="15" hidden="false" customHeight="false" outlineLevel="0" collapsed="false">
      <c r="A48" s="27" t="n">
        <v>46223</v>
      </c>
      <c r="B48" s="26" t="s">
        <v>85</v>
      </c>
      <c r="C48" s="26" t="s">
        <v>139</v>
      </c>
      <c r="D48" s="26" t="s">
        <v>88</v>
      </c>
      <c r="E48" s="26" t="s">
        <v>74</v>
      </c>
      <c r="F48" s="28" t="n">
        <v>97</v>
      </c>
      <c r="G48" s="28"/>
      <c r="H48" s="26"/>
      <c r="I48" s="26"/>
      <c r="J48" s="26"/>
      <c r="K48" s="29" t="str">
        <f aca="false">IF($A48="","",IF(COUNTIFS(tblMoveTypes[Movement],$E48)=0,"Unknown movement type",IF(COUNTIF(tblShipment[Shipment ID],$C48)=0,"Unknown shipment",IF(COUNTIFS(tblShipment[Shipment ID],$C48,tblShipment[Market],$B48)=0,"Market does not match shipment",IF(AND(IFERROR(INDEX(tblMoveTypes[Item?],MATCH($E48,tblMoveTypes[Movement],0)),"?")="Yes",$D48=""),"Item needed",IF(AND(IFERROR(INDEX(tblMoveTypes[Item?],MATCH($E48,tblMoveTypes[Movement],0)),"?")="No",$D48&lt;&gt;""),"Leave Item blank",IF(AND(IFERROR(INDEX(tblMoveTypes[Courier?],MATCH($E48,tblMoveTypes[Movement],0)),"?")="Yes",$H48=""),"Courier needed",IF(AND(IFERROR(INDEX(tblMoveTypes[Courier?],MATCH($E48,tblMoveTypes[Movement],0)),"?")="No",$H48&lt;&gt;""),"Leave Courier blank",IF(AND(IFERROR(INDEX(tblMoveTypes[Orders?],MATCH($E48,tblMoveTypes[Movement],0)),"?")="Yes",$G48=""),"Orders needed",IF(AND(IFERROR(INDEX(tblMoveTypes[Orders?],MATCH($E48,tblMoveTypes[Movement],0)),"?")="No",$G48&lt;&gt;""),"Leave Orders blank",IF(AND(IFERROR(INDEX(tblMoveTypes[Reason?],MATCH($E48,tblMoveTypes[Movement],0)),"?")="Yes",$I48=""),"Reason needed",IF(AND(IFERROR(INDEX(tblMoveTypes[Qty?],MATCH($E48,tblMoveTypes[Movement],0)),"?")="Yes",N($F48)&lt;=0),"Qty needed",IF($A48&lt;_xlfn.MINIFS(tblShipment[Arrival Date],tblShipment[Shipment ID],$C48),"Date before arrival",IF(AND($D48&lt;&gt;"",COUNTIFS(tblShipment[Shipment ID],$C48,tblShipment[Item Code],$D48)=0),"Item not in this shipment",IF(AND($H48&lt;&gt;"",COUNTIFS(tblCouriers[Courier],$H48,tblCouriers[Market],$B48)=0),"Courier not in this market","OK")))))))))))))))</f>
        <v>OK</v>
      </c>
    </row>
    <row r="49" customFormat="false" ht="15" hidden="false" customHeight="false" outlineLevel="0" collapsed="false">
      <c r="A49" s="27" t="n">
        <v>46223</v>
      </c>
      <c r="B49" s="26" t="s">
        <v>85</v>
      </c>
      <c r="C49" s="26" t="s">
        <v>139</v>
      </c>
      <c r="D49" s="26"/>
      <c r="E49" s="26" t="s">
        <v>98</v>
      </c>
      <c r="F49" s="28"/>
      <c r="G49" s="28" t="n">
        <v>40</v>
      </c>
      <c r="H49" s="26"/>
      <c r="I49" s="26"/>
      <c r="J49" s="26"/>
      <c r="K49" s="29" t="str">
        <f aca="false">IF($A49="","",IF(COUNTIFS(tblMoveTypes[Movement],$E49)=0,"Unknown movement type",IF(COUNTIF(tblShipment[Shipment ID],$C49)=0,"Unknown shipment",IF(COUNTIFS(tblShipment[Shipment ID],$C49,tblShipment[Market],$B49)=0,"Market does not match shipment",IF(AND(IFERROR(INDEX(tblMoveTypes[Item?],MATCH($E49,tblMoveTypes[Movement],0)),"?")="Yes",$D49=""),"Item needed",IF(AND(IFERROR(INDEX(tblMoveTypes[Item?],MATCH($E49,tblMoveTypes[Movement],0)),"?")="No",$D49&lt;&gt;""),"Leave Item blank",IF(AND(IFERROR(INDEX(tblMoveTypes[Courier?],MATCH($E49,tblMoveTypes[Movement],0)),"?")="Yes",$H49=""),"Courier needed",IF(AND(IFERROR(INDEX(tblMoveTypes[Courier?],MATCH($E49,tblMoveTypes[Movement],0)),"?")="No",$H49&lt;&gt;""),"Leave Courier blank",IF(AND(IFERROR(INDEX(tblMoveTypes[Orders?],MATCH($E49,tblMoveTypes[Movement],0)),"?")="Yes",$G49=""),"Orders needed",IF(AND(IFERROR(INDEX(tblMoveTypes[Orders?],MATCH($E49,tblMoveTypes[Movement],0)),"?")="No",$G49&lt;&gt;""),"Leave Orders blank",IF(AND(IFERROR(INDEX(tblMoveTypes[Reason?],MATCH($E49,tblMoveTypes[Movement],0)),"?")="Yes",$I49=""),"Reason needed",IF(AND(IFERROR(INDEX(tblMoveTypes[Qty?],MATCH($E49,tblMoveTypes[Movement],0)),"?")="Yes",N($F49)&lt;=0),"Qty needed",IF($A49&lt;_xlfn.MINIFS(tblShipment[Arrival Date],tblShipment[Shipment ID],$C49),"Date before arrival",IF(AND($D49&lt;&gt;"",COUNTIFS(tblShipment[Shipment ID],$C49,tblShipment[Item Code],$D49)=0),"Item not in this shipment",IF(AND($H49&lt;&gt;"",COUNTIFS(tblCouriers[Courier],$H49,tblCouriers[Market],$B49)=0),"Courier not in this market","OK")))))))))))))))</f>
        <v>OK</v>
      </c>
    </row>
    <row r="50" customFormat="false" ht="15" hidden="false" customHeight="false" outlineLevel="0" collapsed="false">
      <c r="A50" s="27" t="n">
        <v>46223</v>
      </c>
      <c r="B50" s="26" t="s">
        <v>85</v>
      </c>
      <c r="C50" s="26" t="s">
        <v>139</v>
      </c>
      <c r="D50" s="26" t="s">
        <v>99</v>
      </c>
      <c r="E50" s="26" t="s">
        <v>73</v>
      </c>
      <c r="F50" s="28" t="n">
        <v>2</v>
      </c>
      <c r="G50" s="28"/>
      <c r="H50" s="26"/>
      <c r="I50" s="26" t="s">
        <v>72</v>
      </c>
      <c r="J50" s="26"/>
      <c r="K50" s="29" t="str">
        <f aca="false">IF($A50="","",IF(COUNTIFS(tblMoveTypes[Movement],$E50)=0,"Unknown movement type",IF(COUNTIF(tblShipment[Shipment ID],$C50)=0,"Unknown shipment",IF(COUNTIFS(tblShipment[Shipment ID],$C50,tblShipment[Market],$B50)=0,"Market does not match shipment",IF(AND(IFERROR(INDEX(tblMoveTypes[Item?],MATCH($E50,tblMoveTypes[Movement],0)),"?")="Yes",$D50=""),"Item needed",IF(AND(IFERROR(INDEX(tblMoveTypes[Item?],MATCH($E50,tblMoveTypes[Movement],0)),"?")="No",$D50&lt;&gt;""),"Leave Item blank",IF(AND(IFERROR(INDEX(tblMoveTypes[Courier?],MATCH($E50,tblMoveTypes[Movement],0)),"?")="Yes",$H50=""),"Courier needed",IF(AND(IFERROR(INDEX(tblMoveTypes[Courier?],MATCH($E50,tblMoveTypes[Movement],0)),"?")="No",$H50&lt;&gt;""),"Leave Courier blank",IF(AND(IFERROR(INDEX(tblMoveTypes[Orders?],MATCH($E50,tblMoveTypes[Movement],0)),"?")="Yes",$G50=""),"Orders needed",IF(AND(IFERROR(INDEX(tblMoveTypes[Orders?],MATCH($E50,tblMoveTypes[Movement],0)),"?")="No",$G50&lt;&gt;""),"Leave Orders blank",IF(AND(IFERROR(INDEX(tblMoveTypes[Reason?],MATCH($E50,tblMoveTypes[Movement],0)),"?")="Yes",$I50=""),"Reason needed",IF(AND(IFERROR(INDEX(tblMoveTypes[Qty?],MATCH($E50,tblMoveTypes[Movement],0)),"?")="Yes",N($F50)&lt;=0),"Qty needed",IF($A50&lt;_xlfn.MINIFS(tblShipment[Arrival Date],tblShipment[Shipment ID],$C50),"Date before arrival",IF(AND($D50&lt;&gt;"",COUNTIFS(tblShipment[Shipment ID],$C50,tblShipment[Item Code],$D50)=0),"Item not in this shipment",IF(AND($H50&lt;&gt;"",COUNTIFS(tblCouriers[Courier],$H50,tblCouriers[Market],$B50)=0),"Courier not in this market","OK")))))))))))))))</f>
        <v>OK</v>
      </c>
    </row>
    <row r="51" customFormat="false" ht="15" hidden="false" customHeight="false" outlineLevel="0" collapsed="false">
      <c r="A51" s="27" t="n">
        <v>46223</v>
      </c>
      <c r="B51" s="26" t="s">
        <v>85</v>
      </c>
      <c r="C51" s="26" t="s">
        <v>139</v>
      </c>
      <c r="D51" s="26" t="s">
        <v>76</v>
      </c>
      <c r="E51" s="26" t="s">
        <v>73</v>
      </c>
      <c r="F51" s="28" t="n">
        <v>8</v>
      </c>
      <c r="G51" s="28"/>
      <c r="H51" s="26"/>
      <c r="I51" s="26" t="s">
        <v>72</v>
      </c>
      <c r="J51" s="26"/>
      <c r="K51" s="29" t="str">
        <f aca="false">IF($A51="","",IF(COUNTIFS(tblMoveTypes[Movement],$E51)=0,"Unknown movement type",IF(COUNTIF(tblShipment[Shipment ID],$C51)=0,"Unknown shipment",IF(COUNTIFS(tblShipment[Shipment ID],$C51,tblShipment[Market],$B51)=0,"Market does not match shipment",IF(AND(IFERROR(INDEX(tblMoveTypes[Item?],MATCH($E51,tblMoveTypes[Movement],0)),"?")="Yes",$D51=""),"Item needed",IF(AND(IFERROR(INDEX(tblMoveTypes[Item?],MATCH($E51,tblMoveTypes[Movement],0)),"?")="No",$D51&lt;&gt;""),"Leave Item blank",IF(AND(IFERROR(INDEX(tblMoveTypes[Courier?],MATCH($E51,tblMoveTypes[Movement],0)),"?")="Yes",$H51=""),"Courier needed",IF(AND(IFERROR(INDEX(tblMoveTypes[Courier?],MATCH($E51,tblMoveTypes[Movement],0)),"?")="No",$H51&lt;&gt;""),"Leave Courier blank",IF(AND(IFERROR(INDEX(tblMoveTypes[Orders?],MATCH($E51,tblMoveTypes[Movement],0)),"?")="Yes",$G51=""),"Orders needed",IF(AND(IFERROR(INDEX(tblMoveTypes[Orders?],MATCH($E51,tblMoveTypes[Movement],0)),"?")="No",$G51&lt;&gt;""),"Leave Orders blank",IF(AND(IFERROR(INDEX(tblMoveTypes[Reason?],MATCH($E51,tblMoveTypes[Movement],0)),"?")="Yes",$I51=""),"Reason needed",IF(AND(IFERROR(INDEX(tblMoveTypes[Qty?],MATCH($E51,tblMoveTypes[Movement],0)),"?")="Yes",N($F51)&lt;=0),"Qty needed",IF($A51&lt;_xlfn.MINIFS(tblShipment[Arrival Date],tblShipment[Shipment ID],$C51),"Date before arrival",IF(AND($D51&lt;&gt;"",COUNTIFS(tblShipment[Shipment ID],$C51,tblShipment[Item Code],$D51)=0),"Item not in this shipment",IF(AND($H51&lt;&gt;"",COUNTIFS(tblCouriers[Courier],$H51,tblCouriers[Market],$B51)=0),"Courier not in this market","OK")))))))))))))))</f>
        <v>OK</v>
      </c>
    </row>
    <row r="52" customFormat="false" ht="15" hidden="false" customHeight="false" outlineLevel="0" collapsed="false">
      <c r="A52" s="27" t="n">
        <v>46223</v>
      </c>
      <c r="B52" s="26" t="s">
        <v>85</v>
      </c>
      <c r="C52" s="26" t="s">
        <v>139</v>
      </c>
      <c r="D52" s="26" t="s">
        <v>88</v>
      </c>
      <c r="E52" s="26" t="s">
        <v>73</v>
      </c>
      <c r="F52" s="28" t="n">
        <v>3</v>
      </c>
      <c r="G52" s="28"/>
      <c r="H52" s="26"/>
      <c r="I52" s="26" t="s">
        <v>72</v>
      </c>
      <c r="J52" s="26"/>
      <c r="K52" s="29" t="str">
        <f aca="false">IF($A52="","",IF(COUNTIFS(tblMoveTypes[Movement],$E52)=0,"Unknown movement type",IF(COUNTIF(tblShipment[Shipment ID],$C52)=0,"Unknown shipment",IF(COUNTIFS(tblShipment[Shipment ID],$C52,tblShipment[Market],$B52)=0,"Market does not match shipment",IF(AND(IFERROR(INDEX(tblMoveTypes[Item?],MATCH($E52,tblMoveTypes[Movement],0)),"?")="Yes",$D52=""),"Item needed",IF(AND(IFERROR(INDEX(tblMoveTypes[Item?],MATCH($E52,tblMoveTypes[Movement],0)),"?")="No",$D52&lt;&gt;""),"Leave Item blank",IF(AND(IFERROR(INDEX(tblMoveTypes[Courier?],MATCH($E52,tblMoveTypes[Movement],0)),"?")="Yes",$H52=""),"Courier needed",IF(AND(IFERROR(INDEX(tblMoveTypes[Courier?],MATCH($E52,tblMoveTypes[Movement],0)),"?")="No",$H52&lt;&gt;""),"Leave Courier blank",IF(AND(IFERROR(INDEX(tblMoveTypes[Orders?],MATCH($E52,tblMoveTypes[Movement],0)),"?")="Yes",$G52=""),"Orders needed",IF(AND(IFERROR(INDEX(tblMoveTypes[Orders?],MATCH($E52,tblMoveTypes[Movement],0)),"?")="No",$G52&lt;&gt;""),"Leave Orders blank",IF(AND(IFERROR(INDEX(tblMoveTypes[Reason?],MATCH($E52,tblMoveTypes[Movement],0)),"?")="Yes",$I52=""),"Reason needed",IF(AND(IFERROR(INDEX(tblMoveTypes[Qty?],MATCH($E52,tblMoveTypes[Movement],0)),"?")="Yes",N($F52)&lt;=0),"Qty needed",IF($A52&lt;_xlfn.MINIFS(tblShipment[Arrival Date],tblShipment[Shipment ID],$C52),"Date before arrival",IF(AND($D52&lt;&gt;"",COUNTIFS(tblShipment[Shipment ID],$C52,tblShipment[Item Code],$D52)=0),"Item not in this shipment",IF(AND($H52&lt;&gt;"",COUNTIFS(tblCouriers[Courier],$H52,tblCouriers[Market],$B52)=0),"Courier not in this market","OK")))))))))))))))</f>
        <v>OK</v>
      </c>
    </row>
    <row r="53" customFormat="false" ht="15" hidden="false" customHeight="false" outlineLevel="0" collapsed="false">
      <c r="A53" s="27" t="n">
        <v>46223</v>
      </c>
      <c r="B53" s="26" t="s">
        <v>85</v>
      </c>
      <c r="C53" s="26" t="s">
        <v>139</v>
      </c>
      <c r="D53" s="26" t="s">
        <v>99</v>
      </c>
      <c r="E53" s="26" t="s">
        <v>93</v>
      </c>
      <c r="F53" s="28" t="n">
        <v>35</v>
      </c>
      <c r="G53" s="28"/>
      <c r="H53" s="26" t="s">
        <v>91</v>
      </c>
      <c r="I53" s="26"/>
      <c r="J53" s="26"/>
      <c r="K53" s="29" t="str">
        <f aca="false">IF($A53="","",IF(COUNTIFS(tblMoveTypes[Movement],$E53)=0,"Unknown movement type",IF(COUNTIF(tblShipment[Shipment ID],$C53)=0,"Unknown shipment",IF(COUNTIFS(tblShipment[Shipment ID],$C53,tblShipment[Market],$B53)=0,"Market does not match shipment",IF(AND(IFERROR(INDEX(tblMoveTypes[Item?],MATCH($E53,tblMoveTypes[Movement],0)),"?")="Yes",$D53=""),"Item needed",IF(AND(IFERROR(INDEX(tblMoveTypes[Item?],MATCH($E53,tblMoveTypes[Movement],0)),"?")="No",$D53&lt;&gt;""),"Leave Item blank",IF(AND(IFERROR(INDEX(tblMoveTypes[Courier?],MATCH($E53,tblMoveTypes[Movement],0)),"?")="Yes",$H53=""),"Courier needed",IF(AND(IFERROR(INDEX(tblMoveTypes[Courier?],MATCH($E53,tblMoveTypes[Movement],0)),"?")="No",$H53&lt;&gt;""),"Leave Courier blank",IF(AND(IFERROR(INDEX(tblMoveTypes[Orders?],MATCH($E53,tblMoveTypes[Movement],0)),"?")="Yes",$G53=""),"Orders needed",IF(AND(IFERROR(INDEX(tblMoveTypes[Orders?],MATCH($E53,tblMoveTypes[Movement],0)),"?")="No",$G53&lt;&gt;""),"Leave Orders blank",IF(AND(IFERROR(INDEX(tblMoveTypes[Reason?],MATCH($E53,tblMoveTypes[Movement],0)),"?")="Yes",$I53=""),"Reason needed",IF(AND(IFERROR(INDEX(tblMoveTypes[Qty?],MATCH($E53,tblMoveTypes[Movement],0)),"?")="Yes",N($F53)&lt;=0),"Qty needed",IF($A53&lt;_xlfn.MINIFS(tblShipment[Arrival Date],tblShipment[Shipment ID],$C53),"Date before arrival",IF(AND($D53&lt;&gt;"",COUNTIFS(tblShipment[Shipment ID],$C53,tblShipment[Item Code],$D53)=0),"Item not in this shipment",IF(AND($H53&lt;&gt;"",COUNTIFS(tblCouriers[Courier],$H53,tblCouriers[Market],$B53)=0),"Courier not in this market","OK")))))))))))))))</f>
        <v>OK</v>
      </c>
    </row>
    <row r="54" customFormat="false" ht="15" hidden="false" customHeight="false" outlineLevel="0" collapsed="false">
      <c r="A54" s="27" t="n">
        <v>46223</v>
      </c>
      <c r="B54" s="26" t="s">
        <v>85</v>
      </c>
      <c r="C54" s="26" t="s">
        <v>139</v>
      </c>
      <c r="D54" s="26" t="s">
        <v>99</v>
      </c>
      <c r="E54" s="26" t="s">
        <v>93</v>
      </c>
      <c r="F54" s="28" t="n">
        <v>23</v>
      </c>
      <c r="G54" s="28"/>
      <c r="H54" s="26" t="s">
        <v>96</v>
      </c>
      <c r="I54" s="26"/>
      <c r="J54" s="26"/>
      <c r="K54" s="29" t="str">
        <f aca="false">IF($A54="","",IF(COUNTIFS(tblMoveTypes[Movement],$E54)=0,"Unknown movement type",IF(COUNTIF(tblShipment[Shipment ID],$C54)=0,"Unknown shipment",IF(COUNTIFS(tblShipment[Shipment ID],$C54,tblShipment[Market],$B54)=0,"Market does not match shipment",IF(AND(IFERROR(INDEX(tblMoveTypes[Item?],MATCH($E54,tblMoveTypes[Movement],0)),"?")="Yes",$D54=""),"Item needed",IF(AND(IFERROR(INDEX(tblMoveTypes[Item?],MATCH($E54,tblMoveTypes[Movement],0)),"?")="No",$D54&lt;&gt;""),"Leave Item blank",IF(AND(IFERROR(INDEX(tblMoveTypes[Courier?],MATCH($E54,tblMoveTypes[Movement],0)),"?")="Yes",$H54=""),"Courier needed",IF(AND(IFERROR(INDEX(tblMoveTypes[Courier?],MATCH($E54,tblMoveTypes[Movement],0)),"?")="No",$H54&lt;&gt;""),"Leave Courier blank",IF(AND(IFERROR(INDEX(tblMoveTypes[Orders?],MATCH($E54,tblMoveTypes[Movement],0)),"?")="Yes",$G54=""),"Orders needed",IF(AND(IFERROR(INDEX(tblMoveTypes[Orders?],MATCH($E54,tblMoveTypes[Movement],0)),"?")="No",$G54&lt;&gt;""),"Leave Orders blank",IF(AND(IFERROR(INDEX(tblMoveTypes[Reason?],MATCH($E54,tblMoveTypes[Movement],0)),"?")="Yes",$I54=""),"Reason needed",IF(AND(IFERROR(INDEX(tblMoveTypes[Qty?],MATCH($E54,tblMoveTypes[Movement],0)),"?")="Yes",N($F54)&lt;=0),"Qty needed",IF($A54&lt;_xlfn.MINIFS(tblShipment[Arrival Date],tblShipment[Shipment ID],$C54),"Date before arrival",IF(AND($D54&lt;&gt;"",COUNTIFS(tblShipment[Shipment ID],$C54,tblShipment[Item Code],$D54)=0),"Item not in this shipment",IF(AND($H54&lt;&gt;"",COUNTIFS(tblCouriers[Courier],$H54,tblCouriers[Market],$B54)=0),"Courier not in this market","OK")))))))))))))))</f>
        <v>OK</v>
      </c>
    </row>
    <row r="55" customFormat="false" ht="15" hidden="false" customHeight="false" outlineLevel="0" collapsed="false">
      <c r="A55" s="27" t="n">
        <v>46223</v>
      </c>
      <c r="B55" s="26" t="s">
        <v>85</v>
      </c>
      <c r="C55" s="26" t="s">
        <v>139</v>
      </c>
      <c r="D55" s="26" t="s">
        <v>76</v>
      </c>
      <c r="E55" s="26" t="s">
        <v>93</v>
      </c>
      <c r="F55" s="28" t="n">
        <v>67</v>
      </c>
      <c r="G55" s="28"/>
      <c r="H55" s="26" t="s">
        <v>91</v>
      </c>
      <c r="I55" s="26"/>
      <c r="J55" s="26"/>
      <c r="K55" s="29" t="str">
        <f aca="false">IF($A55="","",IF(COUNTIFS(tblMoveTypes[Movement],$E55)=0,"Unknown movement type",IF(COUNTIF(tblShipment[Shipment ID],$C55)=0,"Unknown shipment",IF(COUNTIFS(tblShipment[Shipment ID],$C55,tblShipment[Market],$B55)=0,"Market does not match shipment",IF(AND(IFERROR(INDEX(tblMoveTypes[Item?],MATCH($E55,tblMoveTypes[Movement],0)),"?")="Yes",$D55=""),"Item needed",IF(AND(IFERROR(INDEX(tblMoveTypes[Item?],MATCH($E55,tblMoveTypes[Movement],0)),"?")="No",$D55&lt;&gt;""),"Leave Item blank",IF(AND(IFERROR(INDEX(tblMoveTypes[Courier?],MATCH($E55,tblMoveTypes[Movement],0)),"?")="Yes",$H55=""),"Courier needed",IF(AND(IFERROR(INDEX(tblMoveTypes[Courier?],MATCH($E55,tblMoveTypes[Movement],0)),"?")="No",$H55&lt;&gt;""),"Leave Courier blank",IF(AND(IFERROR(INDEX(tblMoveTypes[Orders?],MATCH($E55,tblMoveTypes[Movement],0)),"?")="Yes",$G55=""),"Orders needed",IF(AND(IFERROR(INDEX(tblMoveTypes[Orders?],MATCH($E55,tblMoveTypes[Movement],0)),"?")="No",$G55&lt;&gt;""),"Leave Orders blank",IF(AND(IFERROR(INDEX(tblMoveTypes[Reason?],MATCH($E55,tblMoveTypes[Movement],0)),"?")="Yes",$I55=""),"Reason needed",IF(AND(IFERROR(INDEX(tblMoveTypes[Qty?],MATCH($E55,tblMoveTypes[Movement],0)),"?")="Yes",N($F55)&lt;=0),"Qty needed",IF($A55&lt;_xlfn.MINIFS(tblShipment[Arrival Date],tblShipment[Shipment ID],$C55),"Date before arrival",IF(AND($D55&lt;&gt;"",COUNTIFS(tblShipment[Shipment ID],$C55,tblShipment[Item Code],$D55)=0),"Item not in this shipment",IF(AND($H55&lt;&gt;"",COUNTIFS(tblCouriers[Courier],$H55,tblCouriers[Market],$B55)=0),"Courier not in this market","OK")))))))))))))))</f>
        <v>OK</v>
      </c>
    </row>
    <row r="56" customFormat="false" ht="15" hidden="false" customHeight="false" outlineLevel="0" collapsed="false">
      <c r="A56" s="27" t="n">
        <v>46223</v>
      </c>
      <c r="B56" s="26" t="s">
        <v>85</v>
      </c>
      <c r="C56" s="26" t="s">
        <v>139</v>
      </c>
      <c r="D56" s="26" t="s">
        <v>76</v>
      </c>
      <c r="E56" s="26" t="s">
        <v>93</v>
      </c>
      <c r="F56" s="28" t="n">
        <v>45</v>
      </c>
      <c r="G56" s="28"/>
      <c r="H56" s="26" t="s">
        <v>96</v>
      </c>
      <c r="I56" s="26"/>
      <c r="J56" s="26"/>
      <c r="K56" s="29" t="str">
        <f aca="false">IF($A56="","",IF(COUNTIFS(tblMoveTypes[Movement],$E56)=0,"Unknown movement type",IF(COUNTIF(tblShipment[Shipment ID],$C56)=0,"Unknown shipment",IF(COUNTIFS(tblShipment[Shipment ID],$C56,tblShipment[Market],$B56)=0,"Market does not match shipment",IF(AND(IFERROR(INDEX(tblMoveTypes[Item?],MATCH($E56,tblMoveTypes[Movement],0)),"?")="Yes",$D56=""),"Item needed",IF(AND(IFERROR(INDEX(tblMoveTypes[Item?],MATCH($E56,tblMoveTypes[Movement],0)),"?")="No",$D56&lt;&gt;""),"Leave Item blank",IF(AND(IFERROR(INDEX(tblMoveTypes[Courier?],MATCH($E56,tblMoveTypes[Movement],0)),"?")="Yes",$H56=""),"Courier needed",IF(AND(IFERROR(INDEX(tblMoveTypes[Courier?],MATCH($E56,tblMoveTypes[Movement],0)),"?")="No",$H56&lt;&gt;""),"Leave Courier blank",IF(AND(IFERROR(INDEX(tblMoveTypes[Orders?],MATCH($E56,tblMoveTypes[Movement],0)),"?")="Yes",$G56=""),"Orders needed",IF(AND(IFERROR(INDEX(tblMoveTypes[Orders?],MATCH($E56,tblMoveTypes[Movement],0)),"?")="No",$G56&lt;&gt;""),"Leave Orders blank",IF(AND(IFERROR(INDEX(tblMoveTypes[Reason?],MATCH($E56,tblMoveTypes[Movement],0)),"?")="Yes",$I56=""),"Reason needed",IF(AND(IFERROR(INDEX(tblMoveTypes[Qty?],MATCH($E56,tblMoveTypes[Movement],0)),"?")="Yes",N($F56)&lt;=0),"Qty needed",IF($A56&lt;_xlfn.MINIFS(tblShipment[Arrival Date],tblShipment[Shipment ID],$C56),"Date before arrival",IF(AND($D56&lt;&gt;"",COUNTIFS(tblShipment[Shipment ID],$C56,tblShipment[Item Code],$D56)=0),"Item not in this shipment",IF(AND($H56&lt;&gt;"",COUNTIFS(tblCouriers[Courier],$H56,tblCouriers[Market],$B56)=0),"Courier not in this market","OK")))))))))))))))</f>
        <v>OK</v>
      </c>
    </row>
    <row r="57" customFormat="false" ht="15" hidden="false" customHeight="false" outlineLevel="0" collapsed="false">
      <c r="A57" s="27" t="n">
        <v>46223</v>
      </c>
      <c r="B57" s="26" t="s">
        <v>85</v>
      </c>
      <c r="C57" s="26" t="s">
        <v>139</v>
      </c>
      <c r="D57" s="26" t="s">
        <v>88</v>
      </c>
      <c r="E57" s="26" t="s">
        <v>93</v>
      </c>
      <c r="F57" s="28" t="n">
        <v>56</v>
      </c>
      <c r="G57" s="28"/>
      <c r="H57" s="26" t="s">
        <v>91</v>
      </c>
      <c r="I57" s="26"/>
      <c r="J57" s="26"/>
      <c r="K57" s="29" t="str">
        <f aca="false">IF($A57="","",IF(COUNTIFS(tblMoveTypes[Movement],$E57)=0,"Unknown movement type",IF(COUNTIF(tblShipment[Shipment ID],$C57)=0,"Unknown shipment",IF(COUNTIFS(tblShipment[Shipment ID],$C57,tblShipment[Market],$B57)=0,"Market does not match shipment",IF(AND(IFERROR(INDEX(tblMoveTypes[Item?],MATCH($E57,tblMoveTypes[Movement],0)),"?")="Yes",$D57=""),"Item needed",IF(AND(IFERROR(INDEX(tblMoveTypes[Item?],MATCH($E57,tblMoveTypes[Movement],0)),"?")="No",$D57&lt;&gt;""),"Leave Item blank",IF(AND(IFERROR(INDEX(tblMoveTypes[Courier?],MATCH($E57,tblMoveTypes[Movement],0)),"?")="Yes",$H57=""),"Courier needed",IF(AND(IFERROR(INDEX(tblMoveTypes[Courier?],MATCH($E57,tblMoveTypes[Movement],0)),"?")="No",$H57&lt;&gt;""),"Leave Courier blank",IF(AND(IFERROR(INDEX(tblMoveTypes[Orders?],MATCH($E57,tblMoveTypes[Movement],0)),"?")="Yes",$G57=""),"Orders needed",IF(AND(IFERROR(INDEX(tblMoveTypes[Orders?],MATCH($E57,tblMoveTypes[Movement],0)),"?")="No",$G57&lt;&gt;""),"Leave Orders blank",IF(AND(IFERROR(INDEX(tblMoveTypes[Reason?],MATCH($E57,tblMoveTypes[Movement],0)),"?")="Yes",$I57=""),"Reason needed",IF(AND(IFERROR(INDEX(tblMoveTypes[Qty?],MATCH($E57,tblMoveTypes[Movement],0)),"?")="Yes",N($F57)&lt;=0),"Qty needed",IF($A57&lt;_xlfn.MINIFS(tblShipment[Arrival Date],tblShipment[Shipment ID],$C57),"Date before arrival",IF(AND($D57&lt;&gt;"",COUNTIFS(tblShipment[Shipment ID],$C57,tblShipment[Item Code],$D57)=0),"Item not in this shipment",IF(AND($H57&lt;&gt;"",COUNTIFS(tblCouriers[Courier],$H57,tblCouriers[Market],$B57)=0),"Courier not in this market","OK")))))))))))))))</f>
        <v>OK</v>
      </c>
    </row>
    <row r="58" customFormat="false" ht="15" hidden="false" customHeight="false" outlineLevel="0" collapsed="false">
      <c r="A58" s="27" t="n">
        <v>46223</v>
      </c>
      <c r="B58" s="26" t="s">
        <v>85</v>
      </c>
      <c r="C58" s="26" t="s">
        <v>139</v>
      </c>
      <c r="D58" s="26" t="s">
        <v>88</v>
      </c>
      <c r="E58" s="26" t="s">
        <v>93</v>
      </c>
      <c r="F58" s="28" t="n">
        <v>38</v>
      </c>
      <c r="G58" s="28"/>
      <c r="H58" s="26" t="s">
        <v>96</v>
      </c>
      <c r="I58" s="26"/>
      <c r="J58" s="26"/>
      <c r="K58" s="29" t="str">
        <f aca="false">IF($A58="","",IF(COUNTIFS(tblMoveTypes[Movement],$E58)=0,"Unknown movement type",IF(COUNTIF(tblShipment[Shipment ID],$C58)=0,"Unknown shipment",IF(COUNTIFS(tblShipment[Shipment ID],$C58,tblShipment[Market],$B58)=0,"Market does not match shipment",IF(AND(IFERROR(INDEX(tblMoveTypes[Item?],MATCH($E58,tblMoveTypes[Movement],0)),"?")="Yes",$D58=""),"Item needed",IF(AND(IFERROR(INDEX(tblMoveTypes[Item?],MATCH($E58,tblMoveTypes[Movement],0)),"?")="No",$D58&lt;&gt;""),"Leave Item blank",IF(AND(IFERROR(INDEX(tblMoveTypes[Courier?],MATCH($E58,tblMoveTypes[Movement],0)),"?")="Yes",$H58=""),"Courier needed",IF(AND(IFERROR(INDEX(tblMoveTypes[Courier?],MATCH($E58,tblMoveTypes[Movement],0)),"?")="No",$H58&lt;&gt;""),"Leave Courier blank",IF(AND(IFERROR(INDEX(tblMoveTypes[Orders?],MATCH($E58,tblMoveTypes[Movement],0)),"?")="Yes",$G58=""),"Orders needed",IF(AND(IFERROR(INDEX(tblMoveTypes[Orders?],MATCH($E58,tblMoveTypes[Movement],0)),"?")="No",$G58&lt;&gt;""),"Leave Orders blank",IF(AND(IFERROR(INDEX(tblMoveTypes[Reason?],MATCH($E58,tblMoveTypes[Movement],0)),"?")="Yes",$I58=""),"Reason needed",IF(AND(IFERROR(INDEX(tblMoveTypes[Qty?],MATCH($E58,tblMoveTypes[Movement],0)),"?")="Yes",N($F58)&lt;=0),"Qty needed",IF($A58&lt;_xlfn.MINIFS(tblShipment[Arrival Date],tblShipment[Shipment ID],$C58),"Date before arrival",IF(AND($D58&lt;&gt;"",COUNTIFS(tblShipment[Shipment ID],$C58,tblShipment[Item Code],$D58)=0),"Item not in this shipment",IF(AND($H58&lt;&gt;"",COUNTIFS(tblCouriers[Courier],$H58,tblCouriers[Market],$B58)=0),"Courier not in this market","OK")))))))))))))))</f>
        <v>OK</v>
      </c>
    </row>
    <row r="59" customFormat="false" ht="15" hidden="false" customHeight="false" outlineLevel="0" collapsed="false">
      <c r="A59" s="27" t="n">
        <v>46223</v>
      </c>
      <c r="B59" s="26" t="s">
        <v>85</v>
      </c>
      <c r="C59" s="26" t="s">
        <v>139</v>
      </c>
      <c r="D59" s="26"/>
      <c r="E59" s="26" t="s">
        <v>104</v>
      </c>
      <c r="F59" s="28"/>
      <c r="G59" s="28" t="n">
        <v>24</v>
      </c>
      <c r="H59" s="26" t="s">
        <v>91</v>
      </c>
      <c r="I59" s="26"/>
      <c r="J59" s="26"/>
      <c r="K59" s="29" t="str">
        <f aca="false">IF($A59="","",IF(COUNTIFS(tblMoveTypes[Movement],$E59)=0,"Unknown movement type",IF(COUNTIF(tblShipment[Shipment ID],$C59)=0,"Unknown shipment",IF(COUNTIFS(tblShipment[Shipment ID],$C59,tblShipment[Market],$B59)=0,"Market does not match shipment",IF(AND(IFERROR(INDEX(tblMoveTypes[Item?],MATCH($E59,tblMoveTypes[Movement],0)),"?")="Yes",$D59=""),"Item needed",IF(AND(IFERROR(INDEX(tblMoveTypes[Item?],MATCH($E59,tblMoveTypes[Movement],0)),"?")="No",$D59&lt;&gt;""),"Leave Item blank",IF(AND(IFERROR(INDEX(tblMoveTypes[Courier?],MATCH($E59,tblMoveTypes[Movement],0)),"?")="Yes",$H59=""),"Courier needed",IF(AND(IFERROR(INDEX(tblMoveTypes[Courier?],MATCH($E59,tblMoveTypes[Movement],0)),"?")="No",$H59&lt;&gt;""),"Leave Courier blank",IF(AND(IFERROR(INDEX(tblMoveTypes[Orders?],MATCH($E59,tblMoveTypes[Movement],0)),"?")="Yes",$G59=""),"Orders needed",IF(AND(IFERROR(INDEX(tblMoveTypes[Orders?],MATCH($E59,tblMoveTypes[Movement],0)),"?")="No",$G59&lt;&gt;""),"Leave Orders blank",IF(AND(IFERROR(INDEX(tblMoveTypes[Reason?],MATCH($E59,tblMoveTypes[Movement],0)),"?")="Yes",$I59=""),"Reason needed",IF(AND(IFERROR(INDEX(tblMoveTypes[Qty?],MATCH($E59,tblMoveTypes[Movement],0)),"?")="Yes",N($F59)&lt;=0),"Qty needed",IF($A59&lt;_xlfn.MINIFS(tblShipment[Arrival Date],tblShipment[Shipment ID],$C59),"Date before arrival",IF(AND($D59&lt;&gt;"",COUNTIFS(tblShipment[Shipment ID],$C59,tblShipment[Item Code],$D59)=0),"Item not in this shipment",IF(AND($H59&lt;&gt;"",COUNTIFS(tblCouriers[Courier],$H59,tblCouriers[Market],$B59)=0),"Courier not in this market","OK")))))))))))))))</f>
        <v>OK</v>
      </c>
    </row>
    <row r="60" customFormat="false" ht="15" hidden="false" customHeight="false" outlineLevel="0" collapsed="false">
      <c r="A60" s="27" t="n">
        <v>46223</v>
      </c>
      <c r="B60" s="26" t="s">
        <v>85</v>
      </c>
      <c r="C60" s="26" t="s">
        <v>139</v>
      </c>
      <c r="D60" s="26"/>
      <c r="E60" s="26" t="s">
        <v>104</v>
      </c>
      <c r="F60" s="28"/>
      <c r="G60" s="28" t="n">
        <v>16</v>
      </c>
      <c r="H60" s="26" t="s">
        <v>96</v>
      </c>
      <c r="I60" s="26"/>
      <c r="J60" s="26"/>
      <c r="K60" s="29" t="str">
        <f aca="false">IF($A60="","",IF(COUNTIFS(tblMoveTypes[Movement],$E60)=0,"Unknown movement type",IF(COUNTIF(tblShipment[Shipment ID],$C60)=0,"Unknown shipment",IF(COUNTIFS(tblShipment[Shipment ID],$C60,tblShipment[Market],$B60)=0,"Market does not match shipment",IF(AND(IFERROR(INDEX(tblMoveTypes[Item?],MATCH($E60,tblMoveTypes[Movement],0)),"?")="Yes",$D60=""),"Item needed",IF(AND(IFERROR(INDEX(tblMoveTypes[Item?],MATCH($E60,tblMoveTypes[Movement],0)),"?")="No",$D60&lt;&gt;""),"Leave Item blank",IF(AND(IFERROR(INDEX(tblMoveTypes[Courier?],MATCH($E60,tblMoveTypes[Movement],0)),"?")="Yes",$H60=""),"Courier needed",IF(AND(IFERROR(INDEX(tblMoveTypes[Courier?],MATCH($E60,tblMoveTypes[Movement],0)),"?")="No",$H60&lt;&gt;""),"Leave Courier blank",IF(AND(IFERROR(INDEX(tblMoveTypes[Orders?],MATCH($E60,tblMoveTypes[Movement],0)),"?")="Yes",$G60=""),"Orders needed",IF(AND(IFERROR(INDEX(tblMoveTypes[Orders?],MATCH($E60,tblMoveTypes[Movement],0)),"?")="No",$G60&lt;&gt;""),"Leave Orders blank",IF(AND(IFERROR(INDEX(tblMoveTypes[Reason?],MATCH($E60,tblMoveTypes[Movement],0)),"?")="Yes",$I60=""),"Reason needed",IF(AND(IFERROR(INDEX(tblMoveTypes[Qty?],MATCH($E60,tblMoveTypes[Movement],0)),"?")="Yes",N($F60)&lt;=0),"Qty needed",IF($A60&lt;_xlfn.MINIFS(tblShipment[Arrival Date],tblShipment[Shipment ID],$C60),"Date before arrival",IF(AND($D60&lt;&gt;"",COUNTIFS(tblShipment[Shipment ID],$C60,tblShipment[Item Code],$D60)=0),"Item not in this shipment",IF(AND($H60&lt;&gt;"",COUNTIFS(tblCouriers[Courier],$H60,tblCouriers[Market],$B60)=0),"Courier not in this market","OK")))))))))))))))</f>
        <v>OK</v>
      </c>
    </row>
    <row r="61" customFormat="false" ht="15" hidden="false" customHeight="false" outlineLevel="0" collapsed="false">
      <c r="A61" s="27" t="n">
        <v>46223</v>
      </c>
      <c r="B61" s="26" t="s">
        <v>90</v>
      </c>
      <c r="C61" s="26" t="s">
        <v>147</v>
      </c>
      <c r="D61" s="26" t="s">
        <v>88</v>
      </c>
      <c r="E61" s="26" t="s">
        <v>81</v>
      </c>
      <c r="F61" s="28" t="n">
        <v>3</v>
      </c>
      <c r="G61" s="28"/>
      <c r="H61" s="26"/>
      <c r="I61" s="26"/>
      <c r="J61" s="26" t="s">
        <v>162</v>
      </c>
      <c r="K61" s="29" t="str">
        <f aca="false">IF($A61="","",IF(COUNTIFS(tblMoveTypes[Movement],$E61)=0,"Unknown movement type",IF(COUNTIF(tblShipment[Shipment ID],$C61)=0,"Unknown shipment",IF(COUNTIFS(tblShipment[Shipment ID],$C61,tblShipment[Market],$B61)=0,"Market does not match shipment",IF(AND(IFERROR(INDEX(tblMoveTypes[Item?],MATCH($E61,tblMoveTypes[Movement],0)),"?")="Yes",$D61=""),"Item needed",IF(AND(IFERROR(INDEX(tblMoveTypes[Item?],MATCH($E61,tblMoveTypes[Movement],0)),"?")="No",$D61&lt;&gt;""),"Leave Item blank",IF(AND(IFERROR(INDEX(tblMoveTypes[Courier?],MATCH($E61,tblMoveTypes[Movement],0)),"?")="Yes",$H61=""),"Courier needed",IF(AND(IFERROR(INDEX(tblMoveTypes[Courier?],MATCH($E61,tblMoveTypes[Movement],0)),"?")="No",$H61&lt;&gt;""),"Leave Courier blank",IF(AND(IFERROR(INDEX(tblMoveTypes[Orders?],MATCH($E61,tblMoveTypes[Movement],0)),"?")="Yes",$G61=""),"Orders needed",IF(AND(IFERROR(INDEX(tblMoveTypes[Orders?],MATCH($E61,tblMoveTypes[Movement],0)),"?")="No",$G61&lt;&gt;""),"Leave Orders blank",IF(AND(IFERROR(INDEX(tblMoveTypes[Reason?],MATCH($E61,tblMoveTypes[Movement],0)),"?")="Yes",$I61=""),"Reason needed",IF(AND(IFERROR(INDEX(tblMoveTypes[Qty?],MATCH($E61,tblMoveTypes[Movement],0)),"?")="Yes",N($F61)&lt;=0),"Qty needed",IF($A61&lt;_xlfn.MINIFS(tblShipment[Arrival Date],tblShipment[Shipment ID],$C61),"Date before arrival",IF(AND($D61&lt;&gt;"",COUNTIFS(tblShipment[Shipment ID],$C61,tblShipment[Item Code],$D61)=0),"Item not in this shipment",IF(AND($H61&lt;&gt;"",COUNTIFS(tblCouriers[Courier],$H61,tblCouriers[Market],$B61)=0),"Courier not in this market","OK")))))))))))))))</f>
        <v>OK</v>
      </c>
    </row>
    <row r="62" customFormat="false" ht="15" hidden="false" customHeight="false" outlineLevel="0" collapsed="false">
      <c r="A62" s="27" t="n">
        <v>46223</v>
      </c>
      <c r="B62" s="26" t="s">
        <v>90</v>
      </c>
      <c r="C62" s="26" t="s">
        <v>147</v>
      </c>
      <c r="D62" s="26" t="s">
        <v>88</v>
      </c>
      <c r="E62" s="26" t="s">
        <v>74</v>
      </c>
      <c r="F62" s="28" t="n">
        <v>47</v>
      </c>
      <c r="G62" s="28"/>
      <c r="H62" s="26"/>
      <c r="I62" s="26"/>
      <c r="J62" s="26"/>
      <c r="K62" s="29" t="str">
        <f aca="false">IF($A62="","",IF(COUNTIFS(tblMoveTypes[Movement],$E62)=0,"Unknown movement type",IF(COUNTIF(tblShipment[Shipment ID],$C62)=0,"Unknown shipment",IF(COUNTIFS(tblShipment[Shipment ID],$C62,tblShipment[Market],$B62)=0,"Market does not match shipment",IF(AND(IFERROR(INDEX(tblMoveTypes[Item?],MATCH($E62,tblMoveTypes[Movement],0)),"?")="Yes",$D62=""),"Item needed",IF(AND(IFERROR(INDEX(tblMoveTypes[Item?],MATCH($E62,tblMoveTypes[Movement],0)),"?")="No",$D62&lt;&gt;""),"Leave Item blank",IF(AND(IFERROR(INDEX(tblMoveTypes[Courier?],MATCH($E62,tblMoveTypes[Movement],0)),"?")="Yes",$H62=""),"Courier needed",IF(AND(IFERROR(INDEX(tblMoveTypes[Courier?],MATCH($E62,tblMoveTypes[Movement],0)),"?")="No",$H62&lt;&gt;""),"Leave Courier blank",IF(AND(IFERROR(INDEX(tblMoveTypes[Orders?],MATCH($E62,tblMoveTypes[Movement],0)),"?")="Yes",$G62=""),"Orders needed",IF(AND(IFERROR(INDEX(tblMoveTypes[Orders?],MATCH($E62,tblMoveTypes[Movement],0)),"?")="No",$G62&lt;&gt;""),"Leave Orders blank",IF(AND(IFERROR(INDEX(tblMoveTypes[Reason?],MATCH($E62,tblMoveTypes[Movement],0)),"?")="Yes",$I62=""),"Reason needed",IF(AND(IFERROR(INDEX(tblMoveTypes[Qty?],MATCH($E62,tblMoveTypes[Movement],0)),"?")="Yes",N($F62)&lt;=0),"Qty needed",IF($A62&lt;_xlfn.MINIFS(tblShipment[Arrival Date],tblShipment[Shipment ID],$C62),"Date before arrival",IF(AND($D62&lt;&gt;"",COUNTIFS(tblShipment[Shipment ID],$C62,tblShipment[Item Code],$D62)=0),"Item not in this shipment",IF(AND($H62&lt;&gt;"",COUNTIFS(tblCouriers[Courier],$H62,tblCouriers[Market],$B62)=0),"Courier not in this market","OK")))))))))))))))</f>
        <v>OK</v>
      </c>
    </row>
    <row r="63" customFormat="false" ht="15" hidden="false" customHeight="false" outlineLevel="0" collapsed="false">
      <c r="A63" s="27" t="n">
        <v>46223</v>
      </c>
      <c r="B63" s="26" t="s">
        <v>90</v>
      </c>
      <c r="C63" s="26" t="s">
        <v>147</v>
      </c>
      <c r="D63" s="26" t="s">
        <v>83</v>
      </c>
      <c r="E63" s="26" t="s">
        <v>74</v>
      </c>
      <c r="F63" s="28" t="n">
        <v>80</v>
      </c>
      <c r="G63" s="28"/>
      <c r="H63" s="26"/>
      <c r="I63" s="26"/>
      <c r="J63" s="26"/>
      <c r="K63" s="29" t="str">
        <f aca="false">IF($A63="","",IF(COUNTIFS(tblMoveTypes[Movement],$E63)=0,"Unknown movement type",IF(COUNTIF(tblShipment[Shipment ID],$C63)=0,"Unknown shipment",IF(COUNTIFS(tblShipment[Shipment ID],$C63,tblShipment[Market],$B63)=0,"Market does not match shipment",IF(AND(IFERROR(INDEX(tblMoveTypes[Item?],MATCH($E63,tblMoveTypes[Movement],0)),"?")="Yes",$D63=""),"Item needed",IF(AND(IFERROR(INDEX(tblMoveTypes[Item?],MATCH($E63,tblMoveTypes[Movement],0)),"?")="No",$D63&lt;&gt;""),"Leave Item blank",IF(AND(IFERROR(INDEX(tblMoveTypes[Courier?],MATCH($E63,tblMoveTypes[Movement],0)),"?")="Yes",$H63=""),"Courier needed",IF(AND(IFERROR(INDEX(tblMoveTypes[Courier?],MATCH($E63,tblMoveTypes[Movement],0)),"?")="No",$H63&lt;&gt;""),"Leave Courier blank",IF(AND(IFERROR(INDEX(tblMoveTypes[Orders?],MATCH($E63,tblMoveTypes[Movement],0)),"?")="Yes",$G63=""),"Orders needed",IF(AND(IFERROR(INDEX(tblMoveTypes[Orders?],MATCH($E63,tblMoveTypes[Movement],0)),"?")="No",$G63&lt;&gt;""),"Leave Orders blank",IF(AND(IFERROR(INDEX(tblMoveTypes[Reason?],MATCH($E63,tblMoveTypes[Movement],0)),"?")="Yes",$I63=""),"Reason needed",IF(AND(IFERROR(INDEX(tblMoveTypes[Qty?],MATCH($E63,tblMoveTypes[Movement],0)),"?")="Yes",N($F63)&lt;=0),"Qty needed",IF($A63&lt;_xlfn.MINIFS(tblShipment[Arrival Date],tblShipment[Shipment ID],$C63),"Date before arrival",IF(AND($D63&lt;&gt;"",COUNTIFS(tblShipment[Shipment ID],$C63,tblShipment[Item Code],$D63)=0),"Item not in this shipment",IF(AND($H63&lt;&gt;"",COUNTIFS(tblCouriers[Courier],$H63,tblCouriers[Market],$B63)=0),"Courier not in this market","OK")))))))))))))))</f>
        <v>OK</v>
      </c>
    </row>
    <row r="64" customFormat="false" ht="15" hidden="false" customHeight="false" outlineLevel="0" collapsed="false">
      <c r="A64" s="27" t="n">
        <v>46223</v>
      </c>
      <c r="B64" s="26" t="s">
        <v>90</v>
      </c>
      <c r="C64" s="26" t="s">
        <v>147</v>
      </c>
      <c r="D64" s="26" t="s">
        <v>99</v>
      </c>
      <c r="E64" s="26" t="s">
        <v>74</v>
      </c>
      <c r="F64" s="28" t="n">
        <v>50</v>
      </c>
      <c r="G64" s="28"/>
      <c r="H64" s="26"/>
      <c r="I64" s="26"/>
      <c r="J64" s="26"/>
      <c r="K64" s="29" t="str">
        <f aca="false">IF($A64="","",IF(COUNTIFS(tblMoveTypes[Movement],$E64)=0,"Unknown movement type",IF(COUNTIF(tblShipment[Shipment ID],$C64)=0,"Unknown shipment",IF(COUNTIFS(tblShipment[Shipment ID],$C64,tblShipment[Market],$B64)=0,"Market does not match shipment",IF(AND(IFERROR(INDEX(tblMoveTypes[Item?],MATCH($E64,tblMoveTypes[Movement],0)),"?")="Yes",$D64=""),"Item needed",IF(AND(IFERROR(INDEX(tblMoveTypes[Item?],MATCH($E64,tblMoveTypes[Movement],0)),"?")="No",$D64&lt;&gt;""),"Leave Item blank",IF(AND(IFERROR(INDEX(tblMoveTypes[Courier?],MATCH($E64,tblMoveTypes[Movement],0)),"?")="Yes",$H64=""),"Courier needed",IF(AND(IFERROR(INDEX(tblMoveTypes[Courier?],MATCH($E64,tblMoveTypes[Movement],0)),"?")="No",$H64&lt;&gt;""),"Leave Courier blank",IF(AND(IFERROR(INDEX(tblMoveTypes[Orders?],MATCH($E64,tblMoveTypes[Movement],0)),"?")="Yes",$G64=""),"Orders needed",IF(AND(IFERROR(INDEX(tblMoveTypes[Orders?],MATCH($E64,tblMoveTypes[Movement],0)),"?")="No",$G64&lt;&gt;""),"Leave Orders blank",IF(AND(IFERROR(INDEX(tblMoveTypes[Reason?],MATCH($E64,tblMoveTypes[Movement],0)),"?")="Yes",$I64=""),"Reason needed",IF(AND(IFERROR(INDEX(tblMoveTypes[Qty?],MATCH($E64,tblMoveTypes[Movement],0)),"?")="Yes",N($F64)&lt;=0),"Qty needed",IF($A64&lt;_xlfn.MINIFS(tblShipment[Arrival Date],tblShipment[Shipment ID],$C64),"Date before arrival",IF(AND($D64&lt;&gt;"",COUNTIFS(tblShipment[Shipment ID],$C64,tblShipment[Item Code],$D64)=0),"Item not in this shipment",IF(AND($H64&lt;&gt;"",COUNTIFS(tblCouriers[Courier],$H64,tblCouriers[Market],$B64)=0),"Courier not in this market","OK")))))))))))))))</f>
        <v>OK</v>
      </c>
    </row>
    <row r="65" customFormat="false" ht="15" hidden="false" customHeight="false" outlineLevel="0" collapsed="false">
      <c r="A65" s="27" t="n">
        <v>46223</v>
      </c>
      <c r="B65" s="26" t="s">
        <v>90</v>
      </c>
      <c r="C65" s="26" t="s">
        <v>147</v>
      </c>
      <c r="D65" s="26" t="s">
        <v>76</v>
      </c>
      <c r="E65" s="26" t="s">
        <v>81</v>
      </c>
      <c r="F65" s="28" t="n">
        <v>1</v>
      </c>
      <c r="G65" s="28"/>
      <c r="H65" s="26"/>
      <c r="I65" s="26"/>
      <c r="J65" s="26" t="s">
        <v>162</v>
      </c>
      <c r="K65" s="29" t="str">
        <f aca="false">IF($A65="","",IF(COUNTIFS(tblMoveTypes[Movement],$E65)=0,"Unknown movement type",IF(COUNTIF(tblShipment[Shipment ID],$C65)=0,"Unknown shipment",IF(COUNTIFS(tblShipment[Shipment ID],$C65,tblShipment[Market],$B65)=0,"Market does not match shipment",IF(AND(IFERROR(INDEX(tblMoveTypes[Item?],MATCH($E65,tblMoveTypes[Movement],0)),"?")="Yes",$D65=""),"Item needed",IF(AND(IFERROR(INDEX(tblMoveTypes[Item?],MATCH($E65,tblMoveTypes[Movement],0)),"?")="No",$D65&lt;&gt;""),"Leave Item blank",IF(AND(IFERROR(INDEX(tblMoveTypes[Courier?],MATCH($E65,tblMoveTypes[Movement],0)),"?")="Yes",$H65=""),"Courier needed",IF(AND(IFERROR(INDEX(tblMoveTypes[Courier?],MATCH($E65,tblMoveTypes[Movement],0)),"?")="No",$H65&lt;&gt;""),"Leave Courier blank",IF(AND(IFERROR(INDEX(tblMoveTypes[Orders?],MATCH($E65,tblMoveTypes[Movement],0)),"?")="Yes",$G65=""),"Orders needed",IF(AND(IFERROR(INDEX(tblMoveTypes[Orders?],MATCH($E65,tblMoveTypes[Movement],0)),"?")="No",$G65&lt;&gt;""),"Leave Orders blank",IF(AND(IFERROR(INDEX(tblMoveTypes[Reason?],MATCH($E65,tblMoveTypes[Movement],0)),"?")="Yes",$I65=""),"Reason needed",IF(AND(IFERROR(INDEX(tblMoveTypes[Qty?],MATCH($E65,tblMoveTypes[Movement],0)),"?")="Yes",N($F65)&lt;=0),"Qty needed",IF($A65&lt;_xlfn.MINIFS(tblShipment[Arrival Date],tblShipment[Shipment ID],$C65),"Date before arrival",IF(AND($D65&lt;&gt;"",COUNTIFS(tblShipment[Shipment ID],$C65,tblShipment[Item Code],$D65)=0),"Item not in this shipment",IF(AND($H65&lt;&gt;"",COUNTIFS(tblCouriers[Courier],$H65,tblCouriers[Market],$B65)=0),"Courier not in this market","OK")))))))))))))))</f>
        <v>OK</v>
      </c>
    </row>
    <row r="66" customFormat="false" ht="15" hidden="false" customHeight="false" outlineLevel="0" collapsed="false">
      <c r="A66" s="27" t="n">
        <v>46223</v>
      </c>
      <c r="B66" s="26" t="s">
        <v>90</v>
      </c>
      <c r="C66" s="26" t="s">
        <v>147</v>
      </c>
      <c r="D66" s="26" t="s">
        <v>76</v>
      </c>
      <c r="E66" s="26" t="s">
        <v>74</v>
      </c>
      <c r="F66" s="28" t="n">
        <v>39</v>
      </c>
      <c r="G66" s="28"/>
      <c r="H66" s="26"/>
      <c r="I66" s="26"/>
      <c r="J66" s="26"/>
      <c r="K66" s="29" t="str">
        <f aca="false">IF($A66="","",IF(COUNTIFS(tblMoveTypes[Movement],$E66)=0,"Unknown movement type",IF(COUNTIF(tblShipment[Shipment ID],$C66)=0,"Unknown shipment",IF(COUNTIFS(tblShipment[Shipment ID],$C66,tblShipment[Market],$B66)=0,"Market does not match shipment",IF(AND(IFERROR(INDEX(tblMoveTypes[Item?],MATCH($E66,tblMoveTypes[Movement],0)),"?")="Yes",$D66=""),"Item needed",IF(AND(IFERROR(INDEX(tblMoveTypes[Item?],MATCH($E66,tblMoveTypes[Movement],0)),"?")="No",$D66&lt;&gt;""),"Leave Item blank",IF(AND(IFERROR(INDEX(tblMoveTypes[Courier?],MATCH($E66,tblMoveTypes[Movement],0)),"?")="Yes",$H66=""),"Courier needed",IF(AND(IFERROR(INDEX(tblMoveTypes[Courier?],MATCH($E66,tblMoveTypes[Movement],0)),"?")="No",$H66&lt;&gt;""),"Leave Courier blank",IF(AND(IFERROR(INDEX(tblMoveTypes[Orders?],MATCH($E66,tblMoveTypes[Movement],0)),"?")="Yes",$G66=""),"Orders needed",IF(AND(IFERROR(INDEX(tblMoveTypes[Orders?],MATCH($E66,tblMoveTypes[Movement],0)),"?")="No",$G66&lt;&gt;""),"Leave Orders blank",IF(AND(IFERROR(INDEX(tblMoveTypes[Reason?],MATCH($E66,tblMoveTypes[Movement],0)),"?")="Yes",$I66=""),"Reason needed",IF(AND(IFERROR(INDEX(tblMoveTypes[Qty?],MATCH($E66,tblMoveTypes[Movement],0)),"?")="Yes",N($F66)&lt;=0),"Qty needed",IF($A66&lt;_xlfn.MINIFS(tblShipment[Arrival Date],tblShipment[Shipment ID],$C66),"Date before arrival",IF(AND($D66&lt;&gt;"",COUNTIFS(tblShipment[Shipment ID],$C66,tblShipment[Item Code],$D66)=0),"Item not in this shipment",IF(AND($H66&lt;&gt;"",COUNTIFS(tblCouriers[Courier],$H66,tblCouriers[Market],$B66)=0),"Courier not in this market","OK")))))))))))))))</f>
        <v>OK</v>
      </c>
    </row>
    <row r="67" customFormat="false" ht="15" hidden="false" customHeight="false" outlineLevel="0" collapsed="false">
      <c r="A67" s="27" t="n">
        <v>46223</v>
      </c>
      <c r="B67" s="26" t="s">
        <v>90</v>
      </c>
      <c r="C67" s="26" t="s">
        <v>147</v>
      </c>
      <c r="D67" s="26"/>
      <c r="E67" s="26" t="s">
        <v>98</v>
      </c>
      <c r="F67" s="28"/>
      <c r="G67" s="28" t="n">
        <v>31</v>
      </c>
      <c r="H67" s="26"/>
      <c r="I67" s="26"/>
      <c r="J67" s="26"/>
      <c r="K67" s="29" t="str">
        <f aca="false">IF($A67="","",IF(COUNTIFS(tblMoveTypes[Movement],$E67)=0,"Unknown movement type",IF(COUNTIF(tblShipment[Shipment ID],$C67)=0,"Unknown shipment",IF(COUNTIFS(tblShipment[Shipment ID],$C67,tblShipment[Market],$B67)=0,"Market does not match shipment",IF(AND(IFERROR(INDEX(tblMoveTypes[Item?],MATCH($E67,tblMoveTypes[Movement],0)),"?")="Yes",$D67=""),"Item needed",IF(AND(IFERROR(INDEX(tblMoveTypes[Item?],MATCH($E67,tblMoveTypes[Movement],0)),"?")="No",$D67&lt;&gt;""),"Leave Item blank",IF(AND(IFERROR(INDEX(tblMoveTypes[Courier?],MATCH($E67,tblMoveTypes[Movement],0)),"?")="Yes",$H67=""),"Courier needed",IF(AND(IFERROR(INDEX(tblMoveTypes[Courier?],MATCH($E67,tblMoveTypes[Movement],0)),"?")="No",$H67&lt;&gt;""),"Leave Courier blank",IF(AND(IFERROR(INDEX(tblMoveTypes[Orders?],MATCH($E67,tblMoveTypes[Movement],0)),"?")="Yes",$G67=""),"Orders needed",IF(AND(IFERROR(INDEX(tblMoveTypes[Orders?],MATCH($E67,tblMoveTypes[Movement],0)),"?")="No",$G67&lt;&gt;""),"Leave Orders blank",IF(AND(IFERROR(INDEX(tblMoveTypes[Reason?],MATCH($E67,tblMoveTypes[Movement],0)),"?")="Yes",$I67=""),"Reason needed",IF(AND(IFERROR(INDEX(tblMoveTypes[Qty?],MATCH($E67,tblMoveTypes[Movement],0)),"?")="Yes",N($F67)&lt;=0),"Qty needed",IF($A67&lt;_xlfn.MINIFS(tblShipment[Arrival Date],tblShipment[Shipment ID],$C67),"Date before arrival",IF(AND($D67&lt;&gt;"",COUNTIFS(tblShipment[Shipment ID],$C67,tblShipment[Item Code],$D67)=0),"Item not in this shipment",IF(AND($H67&lt;&gt;"",COUNTIFS(tblCouriers[Courier],$H67,tblCouriers[Market],$B67)=0),"Courier not in this market","OK")))))))))))))))</f>
        <v>OK</v>
      </c>
    </row>
    <row r="68" customFormat="false" ht="15" hidden="false" customHeight="false" outlineLevel="0" collapsed="false">
      <c r="A68" s="27" t="n">
        <v>46223</v>
      </c>
      <c r="B68" s="26" t="s">
        <v>90</v>
      </c>
      <c r="C68" s="26" t="s">
        <v>147</v>
      </c>
      <c r="D68" s="26" t="s">
        <v>88</v>
      </c>
      <c r="E68" s="26" t="s">
        <v>73</v>
      </c>
      <c r="F68" s="28" t="n">
        <v>2</v>
      </c>
      <c r="G68" s="28"/>
      <c r="H68" s="26"/>
      <c r="I68" s="26" t="s">
        <v>72</v>
      </c>
      <c r="J68" s="26"/>
      <c r="K68" s="29" t="str">
        <f aca="false">IF($A68="","",IF(COUNTIFS(tblMoveTypes[Movement],$E68)=0,"Unknown movement type",IF(COUNTIF(tblShipment[Shipment ID],$C68)=0,"Unknown shipment",IF(COUNTIFS(tblShipment[Shipment ID],$C68,tblShipment[Market],$B68)=0,"Market does not match shipment",IF(AND(IFERROR(INDEX(tblMoveTypes[Item?],MATCH($E68,tblMoveTypes[Movement],0)),"?")="Yes",$D68=""),"Item needed",IF(AND(IFERROR(INDEX(tblMoveTypes[Item?],MATCH($E68,tblMoveTypes[Movement],0)),"?")="No",$D68&lt;&gt;""),"Leave Item blank",IF(AND(IFERROR(INDEX(tblMoveTypes[Courier?],MATCH($E68,tblMoveTypes[Movement],0)),"?")="Yes",$H68=""),"Courier needed",IF(AND(IFERROR(INDEX(tblMoveTypes[Courier?],MATCH($E68,tblMoveTypes[Movement],0)),"?")="No",$H68&lt;&gt;""),"Leave Courier blank",IF(AND(IFERROR(INDEX(tblMoveTypes[Orders?],MATCH($E68,tblMoveTypes[Movement],0)),"?")="Yes",$G68=""),"Orders needed",IF(AND(IFERROR(INDEX(tblMoveTypes[Orders?],MATCH($E68,tblMoveTypes[Movement],0)),"?")="No",$G68&lt;&gt;""),"Leave Orders blank",IF(AND(IFERROR(INDEX(tblMoveTypes[Reason?],MATCH($E68,tblMoveTypes[Movement],0)),"?")="Yes",$I68=""),"Reason needed",IF(AND(IFERROR(INDEX(tblMoveTypes[Qty?],MATCH($E68,tblMoveTypes[Movement],0)),"?")="Yes",N($F68)&lt;=0),"Qty needed",IF($A68&lt;_xlfn.MINIFS(tblShipment[Arrival Date],tblShipment[Shipment ID],$C68),"Date before arrival",IF(AND($D68&lt;&gt;"",COUNTIFS(tblShipment[Shipment ID],$C68,tblShipment[Item Code],$D68)=0),"Item not in this shipment",IF(AND($H68&lt;&gt;"",COUNTIFS(tblCouriers[Courier],$H68,tblCouriers[Market],$B68)=0),"Courier not in this market","OK")))))))))))))))</f>
        <v>OK</v>
      </c>
    </row>
    <row r="69" customFormat="false" ht="15" hidden="false" customHeight="false" outlineLevel="0" collapsed="false">
      <c r="A69" s="27" t="n">
        <v>46223</v>
      </c>
      <c r="B69" s="26" t="s">
        <v>90</v>
      </c>
      <c r="C69" s="26" t="s">
        <v>147</v>
      </c>
      <c r="D69" s="26" t="s">
        <v>83</v>
      </c>
      <c r="E69" s="26" t="s">
        <v>73</v>
      </c>
      <c r="F69" s="28" t="n">
        <v>5</v>
      </c>
      <c r="G69" s="28"/>
      <c r="H69" s="26"/>
      <c r="I69" s="26" t="s">
        <v>87</v>
      </c>
      <c r="J69" s="26"/>
      <c r="K69" s="29" t="str">
        <f aca="false">IF($A69="","",IF(COUNTIFS(tblMoveTypes[Movement],$E69)=0,"Unknown movement type",IF(COUNTIF(tblShipment[Shipment ID],$C69)=0,"Unknown shipment",IF(COUNTIFS(tblShipment[Shipment ID],$C69,tblShipment[Market],$B69)=0,"Market does not match shipment",IF(AND(IFERROR(INDEX(tblMoveTypes[Item?],MATCH($E69,tblMoveTypes[Movement],0)),"?")="Yes",$D69=""),"Item needed",IF(AND(IFERROR(INDEX(tblMoveTypes[Item?],MATCH($E69,tblMoveTypes[Movement],0)),"?")="No",$D69&lt;&gt;""),"Leave Item blank",IF(AND(IFERROR(INDEX(tblMoveTypes[Courier?],MATCH($E69,tblMoveTypes[Movement],0)),"?")="Yes",$H69=""),"Courier needed",IF(AND(IFERROR(INDEX(tblMoveTypes[Courier?],MATCH($E69,tblMoveTypes[Movement],0)),"?")="No",$H69&lt;&gt;""),"Leave Courier blank",IF(AND(IFERROR(INDEX(tblMoveTypes[Orders?],MATCH($E69,tblMoveTypes[Movement],0)),"?")="Yes",$G69=""),"Orders needed",IF(AND(IFERROR(INDEX(tblMoveTypes[Orders?],MATCH($E69,tblMoveTypes[Movement],0)),"?")="No",$G69&lt;&gt;""),"Leave Orders blank",IF(AND(IFERROR(INDEX(tblMoveTypes[Reason?],MATCH($E69,tblMoveTypes[Movement],0)),"?")="Yes",$I69=""),"Reason needed",IF(AND(IFERROR(INDEX(tblMoveTypes[Qty?],MATCH($E69,tblMoveTypes[Movement],0)),"?")="Yes",N($F69)&lt;=0),"Qty needed",IF($A69&lt;_xlfn.MINIFS(tblShipment[Arrival Date],tblShipment[Shipment ID],$C69),"Date before arrival",IF(AND($D69&lt;&gt;"",COUNTIFS(tblShipment[Shipment ID],$C69,tblShipment[Item Code],$D69)=0),"Item not in this shipment",IF(AND($H69&lt;&gt;"",COUNTIFS(tblCouriers[Courier],$H69,tblCouriers[Market],$B69)=0),"Courier not in this market","OK")))))))))))))))</f>
        <v>OK</v>
      </c>
    </row>
    <row r="70" customFormat="false" ht="15" hidden="false" customHeight="false" outlineLevel="0" collapsed="false">
      <c r="A70" s="27" t="n">
        <v>46223</v>
      </c>
      <c r="B70" s="26" t="s">
        <v>90</v>
      </c>
      <c r="C70" s="26" t="s">
        <v>147</v>
      </c>
      <c r="D70" s="26" t="s">
        <v>99</v>
      </c>
      <c r="E70" s="26" t="s">
        <v>73</v>
      </c>
      <c r="F70" s="28" t="n">
        <v>2</v>
      </c>
      <c r="G70" s="28"/>
      <c r="H70" s="26"/>
      <c r="I70" s="26" t="s">
        <v>80</v>
      </c>
      <c r="J70" s="26"/>
      <c r="K70" s="29" t="str">
        <f aca="false">IF($A70="","",IF(COUNTIFS(tblMoveTypes[Movement],$E70)=0,"Unknown movement type",IF(COUNTIF(tblShipment[Shipment ID],$C70)=0,"Unknown shipment",IF(COUNTIFS(tblShipment[Shipment ID],$C70,tblShipment[Market],$B70)=0,"Market does not match shipment",IF(AND(IFERROR(INDEX(tblMoveTypes[Item?],MATCH($E70,tblMoveTypes[Movement],0)),"?")="Yes",$D70=""),"Item needed",IF(AND(IFERROR(INDEX(tblMoveTypes[Item?],MATCH($E70,tblMoveTypes[Movement],0)),"?")="No",$D70&lt;&gt;""),"Leave Item blank",IF(AND(IFERROR(INDEX(tblMoveTypes[Courier?],MATCH($E70,tblMoveTypes[Movement],0)),"?")="Yes",$H70=""),"Courier needed",IF(AND(IFERROR(INDEX(tblMoveTypes[Courier?],MATCH($E70,tblMoveTypes[Movement],0)),"?")="No",$H70&lt;&gt;""),"Leave Courier blank",IF(AND(IFERROR(INDEX(tblMoveTypes[Orders?],MATCH($E70,tblMoveTypes[Movement],0)),"?")="Yes",$G70=""),"Orders needed",IF(AND(IFERROR(INDEX(tblMoveTypes[Orders?],MATCH($E70,tblMoveTypes[Movement],0)),"?")="No",$G70&lt;&gt;""),"Leave Orders blank",IF(AND(IFERROR(INDEX(tblMoveTypes[Reason?],MATCH($E70,tblMoveTypes[Movement],0)),"?")="Yes",$I70=""),"Reason needed",IF(AND(IFERROR(INDEX(tblMoveTypes[Qty?],MATCH($E70,tblMoveTypes[Movement],0)),"?")="Yes",N($F70)&lt;=0),"Qty needed",IF($A70&lt;_xlfn.MINIFS(tblShipment[Arrival Date],tblShipment[Shipment ID],$C70),"Date before arrival",IF(AND($D70&lt;&gt;"",COUNTIFS(tblShipment[Shipment ID],$C70,tblShipment[Item Code],$D70)=0),"Item not in this shipment",IF(AND($H70&lt;&gt;"",COUNTIFS(tblCouriers[Courier],$H70,tblCouriers[Market],$B70)=0),"Courier not in this market","OK")))))))))))))))</f>
        <v>OK</v>
      </c>
    </row>
    <row r="71" customFormat="false" ht="15" hidden="false" customHeight="false" outlineLevel="0" collapsed="false">
      <c r="A71" s="27" t="n">
        <v>46223</v>
      </c>
      <c r="B71" s="26" t="s">
        <v>90</v>
      </c>
      <c r="C71" s="26" t="s">
        <v>147</v>
      </c>
      <c r="D71" s="26" t="s">
        <v>76</v>
      </c>
      <c r="E71" s="26" t="s">
        <v>73</v>
      </c>
      <c r="F71" s="28" t="n">
        <v>1</v>
      </c>
      <c r="G71" s="28"/>
      <c r="H71" s="26"/>
      <c r="I71" s="26" t="s">
        <v>80</v>
      </c>
      <c r="J71" s="26"/>
      <c r="K71" s="29" t="str">
        <f aca="false">IF($A71="","",IF(COUNTIFS(tblMoveTypes[Movement],$E71)=0,"Unknown movement type",IF(COUNTIF(tblShipment[Shipment ID],$C71)=0,"Unknown shipment",IF(COUNTIFS(tblShipment[Shipment ID],$C71,tblShipment[Market],$B71)=0,"Market does not match shipment",IF(AND(IFERROR(INDEX(tblMoveTypes[Item?],MATCH($E71,tblMoveTypes[Movement],0)),"?")="Yes",$D71=""),"Item needed",IF(AND(IFERROR(INDEX(tblMoveTypes[Item?],MATCH($E71,tblMoveTypes[Movement],0)),"?")="No",$D71&lt;&gt;""),"Leave Item blank",IF(AND(IFERROR(INDEX(tblMoveTypes[Courier?],MATCH($E71,tblMoveTypes[Movement],0)),"?")="Yes",$H71=""),"Courier needed",IF(AND(IFERROR(INDEX(tblMoveTypes[Courier?],MATCH($E71,tblMoveTypes[Movement],0)),"?")="No",$H71&lt;&gt;""),"Leave Courier blank",IF(AND(IFERROR(INDEX(tblMoveTypes[Orders?],MATCH($E71,tblMoveTypes[Movement],0)),"?")="Yes",$G71=""),"Orders needed",IF(AND(IFERROR(INDEX(tblMoveTypes[Orders?],MATCH($E71,tblMoveTypes[Movement],0)),"?")="No",$G71&lt;&gt;""),"Leave Orders blank",IF(AND(IFERROR(INDEX(tblMoveTypes[Reason?],MATCH($E71,tblMoveTypes[Movement],0)),"?")="Yes",$I71=""),"Reason needed",IF(AND(IFERROR(INDEX(tblMoveTypes[Qty?],MATCH($E71,tblMoveTypes[Movement],0)),"?")="Yes",N($F71)&lt;=0),"Qty needed",IF($A71&lt;_xlfn.MINIFS(tblShipment[Arrival Date],tblShipment[Shipment ID],$C71),"Date before arrival",IF(AND($D71&lt;&gt;"",COUNTIFS(tblShipment[Shipment ID],$C71,tblShipment[Item Code],$D71)=0),"Item not in this shipment",IF(AND($H71&lt;&gt;"",COUNTIFS(tblCouriers[Courier],$H71,tblCouriers[Market],$B71)=0),"Courier not in this market","OK")))))))))))))))</f>
        <v>OK</v>
      </c>
    </row>
    <row r="72" customFormat="false" ht="15" hidden="false" customHeight="false" outlineLevel="0" collapsed="false">
      <c r="A72" s="27" t="n">
        <v>46223</v>
      </c>
      <c r="B72" s="26" t="s">
        <v>90</v>
      </c>
      <c r="C72" s="26" t="s">
        <v>147</v>
      </c>
      <c r="D72" s="26" t="s">
        <v>88</v>
      </c>
      <c r="E72" s="26" t="s">
        <v>93</v>
      </c>
      <c r="F72" s="28" t="n">
        <v>45</v>
      </c>
      <c r="G72" s="28"/>
      <c r="H72" s="26" t="s">
        <v>101</v>
      </c>
      <c r="I72" s="26"/>
      <c r="J72" s="26"/>
      <c r="K72" s="29" t="str">
        <f aca="false">IF($A72="","",IF(COUNTIFS(tblMoveTypes[Movement],$E72)=0,"Unknown movement type",IF(COUNTIF(tblShipment[Shipment ID],$C72)=0,"Unknown shipment",IF(COUNTIFS(tblShipment[Shipment ID],$C72,tblShipment[Market],$B72)=0,"Market does not match shipment",IF(AND(IFERROR(INDEX(tblMoveTypes[Item?],MATCH($E72,tblMoveTypes[Movement],0)),"?")="Yes",$D72=""),"Item needed",IF(AND(IFERROR(INDEX(tblMoveTypes[Item?],MATCH($E72,tblMoveTypes[Movement],0)),"?")="No",$D72&lt;&gt;""),"Leave Item blank",IF(AND(IFERROR(INDEX(tblMoveTypes[Courier?],MATCH($E72,tblMoveTypes[Movement],0)),"?")="Yes",$H72=""),"Courier needed",IF(AND(IFERROR(INDEX(tblMoveTypes[Courier?],MATCH($E72,tblMoveTypes[Movement],0)),"?")="No",$H72&lt;&gt;""),"Leave Courier blank",IF(AND(IFERROR(INDEX(tblMoveTypes[Orders?],MATCH($E72,tblMoveTypes[Movement],0)),"?")="Yes",$G72=""),"Orders needed",IF(AND(IFERROR(INDEX(tblMoveTypes[Orders?],MATCH($E72,tblMoveTypes[Movement],0)),"?")="No",$G72&lt;&gt;""),"Leave Orders blank",IF(AND(IFERROR(INDEX(tblMoveTypes[Reason?],MATCH($E72,tblMoveTypes[Movement],0)),"?")="Yes",$I72=""),"Reason needed",IF(AND(IFERROR(INDEX(tblMoveTypes[Qty?],MATCH($E72,tblMoveTypes[Movement],0)),"?")="Yes",N($F72)&lt;=0),"Qty needed",IF($A72&lt;_xlfn.MINIFS(tblShipment[Arrival Date],tblShipment[Shipment ID],$C72),"Date before arrival",IF(AND($D72&lt;&gt;"",COUNTIFS(tblShipment[Shipment ID],$C72,tblShipment[Item Code],$D72)=0),"Item not in this shipment",IF(AND($H72&lt;&gt;"",COUNTIFS(tblCouriers[Courier],$H72,tblCouriers[Market],$B72)=0),"Courier not in this market","OK")))))))))))))))</f>
        <v>OK</v>
      </c>
    </row>
    <row r="73" customFormat="false" ht="15" hidden="false" customHeight="false" outlineLevel="0" collapsed="false">
      <c r="A73" s="27" t="n">
        <v>46223</v>
      </c>
      <c r="B73" s="26" t="s">
        <v>90</v>
      </c>
      <c r="C73" s="26" t="s">
        <v>147</v>
      </c>
      <c r="D73" s="26" t="s">
        <v>83</v>
      </c>
      <c r="E73" s="26" t="s">
        <v>93</v>
      </c>
      <c r="F73" s="28" t="n">
        <v>75</v>
      </c>
      <c r="G73" s="28"/>
      <c r="H73" s="26" t="s">
        <v>101</v>
      </c>
      <c r="I73" s="26"/>
      <c r="J73" s="26"/>
      <c r="K73" s="29" t="str">
        <f aca="false">IF($A73="","",IF(COUNTIFS(tblMoveTypes[Movement],$E73)=0,"Unknown movement type",IF(COUNTIF(tblShipment[Shipment ID],$C73)=0,"Unknown shipment",IF(COUNTIFS(tblShipment[Shipment ID],$C73,tblShipment[Market],$B73)=0,"Market does not match shipment",IF(AND(IFERROR(INDEX(tblMoveTypes[Item?],MATCH($E73,tblMoveTypes[Movement],0)),"?")="Yes",$D73=""),"Item needed",IF(AND(IFERROR(INDEX(tblMoveTypes[Item?],MATCH($E73,tblMoveTypes[Movement],0)),"?")="No",$D73&lt;&gt;""),"Leave Item blank",IF(AND(IFERROR(INDEX(tblMoveTypes[Courier?],MATCH($E73,tblMoveTypes[Movement],0)),"?")="Yes",$H73=""),"Courier needed",IF(AND(IFERROR(INDEX(tblMoveTypes[Courier?],MATCH($E73,tblMoveTypes[Movement],0)),"?")="No",$H73&lt;&gt;""),"Leave Courier blank",IF(AND(IFERROR(INDEX(tblMoveTypes[Orders?],MATCH($E73,tblMoveTypes[Movement],0)),"?")="Yes",$G73=""),"Orders needed",IF(AND(IFERROR(INDEX(tblMoveTypes[Orders?],MATCH($E73,tblMoveTypes[Movement],0)),"?")="No",$G73&lt;&gt;""),"Leave Orders blank",IF(AND(IFERROR(INDEX(tblMoveTypes[Reason?],MATCH($E73,tblMoveTypes[Movement],0)),"?")="Yes",$I73=""),"Reason needed",IF(AND(IFERROR(INDEX(tblMoveTypes[Qty?],MATCH($E73,tblMoveTypes[Movement],0)),"?")="Yes",N($F73)&lt;=0),"Qty needed",IF($A73&lt;_xlfn.MINIFS(tblShipment[Arrival Date],tblShipment[Shipment ID],$C73),"Date before arrival",IF(AND($D73&lt;&gt;"",COUNTIFS(tblShipment[Shipment ID],$C73,tblShipment[Item Code],$D73)=0),"Item not in this shipment",IF(AND($H73&lt;&gt;"",COUNTIFS(tblCouriers[Courier],$H73,tblCouriers[Market],$B73)=0),"Courier not in this market","OK")))))))))))))))</f>
        <v>OK</v>
      </c>
    </row>
    <row r="74" customFormat="false" ht="15" hidden="false" customHeight="false" outlineLevel="0" collapsed="false">
      <c r="A74" s="27" t="n">
        <v>46223</v>
      </c>
      <c r="B74" s="26" t="s">
        <v>90</v>
      </c>
      <c r="C74" s="26" t="s">
        <v>147</v>
      </c>
      <c r="D74" s="26" t="s">
        <v>99</v>
      </c>
      <c r="E74" s="26" t="s">
        <v>93</v>
      </c>
      <c r="F74" s="28" t="n">
        <v>48</v>
      </c>
      <c r="G74" s="28"/>
      <c r="H74" s="26" t="s">
        <v>101</v>
      </c>
      <c r="I74" s="26"/>
      <c r="J74" s="26"/>
      <c r="K74" s="29" t="str">
        <f aca="false">IF($A74="","",IF(COUNTIFS(tblMoveTypes[Movement],$E74)=0,"Unknown movement type",IF(COUNTIF(tblShipment[Shipment ID],$C74)=0,"Unknown shipment",IF(COUNTIFS(tblShipment[Shipment ID],$C74,tblShipment[Market],$B74)=0,"Market does not match shipment",IF(AND(IFERROR(INDEX(tblMoveTypes[Item?],MATCH($E74,tblMoveTypes[Movement],0)),"?")="Yes",$D74=""),"Item needed",IF(AND(IFERROR(INDEX(tblMoveTypes[Item?],MATCH($E74,tblMoveTypes[Movement],0)),"?")="No",$D74&lt;&gt;""),"Leave Item blank",IF(AND(IFERROR(INDEX(tblMoveTypes[Courier?],MATCH($E74,tblMoveTypes[Movement],0)),"?")="Yes",$H74=""),"Courier needed",IF(AND(IFERROR(INDEX(tblMoveTypes[Courier?],MATCH($E74,tblMoveTypes[Movement],0)),"?")="No",$H74&lt;&gt;""),"Leave Courier blank",IF(AND(IFERROR(INDEX(tblMoveTypes[Orders?],MATCH($E74,tblMoveTypes[Movement],0)),"?")="Yes",$G74=""),"Orders needed",IF(AND(IFERROR(INDEX(tblMoveTypes[Orders?],MATCH($E74,tblMoveTypes[Movement],0)),"?")="No",$G74&lt;&gt;""),"Leave Orders blank",IF(AND(IFERROR(INDEX(tblMoveTypes[Reason?],MATCH($E74,tblMoveTypes[Movement],0)),"?")="Yes",$I74=""),"Reason needed",IF(AND(IFERROR(INDEX(tblMoveTypes[Qty?],MATCH($E74,tblMoveTypes[Movement],0)),"?")="Yes",N($F74)&lt;=0),"Qty needed",IF($A74&lt;_xlfn.MINIFS(tblShipment[Arrival Date],tblShipment[Shipment ID],$C74),"Date before arrival",IF(AND($D74&lt;&gt;"",COUNTIFS(tblShipment[Shipment ID],$C74,tblShipment[Item Code],$D74)=0),"Item not in this shipment",IF(AND($H74&lt;&gt;"",COUNTIFS(tblCouriers[Courier],$H74,tblCouriers[Market],$B74)=0),"Courier not in this market","OK")))))))))))))))</f>
        <v>OK</v>
      </c>
    </row>
    <row r="75" customFormat="false" ht="15" hidden="false" customHeight="false" outlineLevel="0" collapsed="false">
      <c r="A75" s="27" t="n">
        <v>46223</v>
      </c>
      <c r="B75" s="26" t="s">
        <v>90</v>
      </c>
      <c r="C75" s="26" t="s">
        <v>147</v>
      </c>
      <c r="D75" s="26" t="s">
        <v>76</v>
      </c>
      <c r="E75" s="26" t="s">
        <v>93</v>
      </c>
      <c r="F75" s="28" t="n">
        <v>38</v>
      </c>
      <c r="G75" s="28"/>
      <c r="H75" s="26" t="s">
        <v>101</v>
      </c>
      <c r="I75" s="26"/>
      <c r="J75" s="26"/>
      <c r="K75" s="29" t="str">
        <f aca="false">IF($A75="","",IF(COUNTIFS(tblMoveTypes[Movement],$E75)=0,"Unknown movement type",IF(COUNTIF(tblShipment[Shipment ID],$C75)=0,"Unknown shipment",IF(COUNTIFS(tblShipment[Shipment ID],$C75,tblShipment[Market],$B75)=0,"Market does not match shipment",IF(AND(IFERROR(INDEX(tblMoveTypes[Item?],MATCH($E75,tblMoveTypes[Movement],0)),"?")="Yes",$D75=""),"Item needed",IF(AND(IFERROR(INDEX(tblMoveTypes[Item?],MATCH($E75,tblMoveTypes[Movement],0)),"?")="No",$D75&lt;&gt;""),"Leave Item blank",IF(AND(IFERROR(INDEX(tblMoveTypes[Courier?],MATCH($E75,tblMoveTypes[Movement],0)),"?")="Yes",$H75=""),"Courier needed",IF(AND(IFERROR(INDEX(tblMoveTypes[Courier?],MATCH($E75,tblMoveTypes[Movement],0)),"?")="No",$H75&lt;&gt;""),"Leave Courier blank",IF(AND(IFERROR(INDEX(tblMoveTypes[Orders?],MATCH($E75,tblMoveTypes[Movement],0)),"?")="Yes",$G75=""),"Orders needed",IF(AND(IFERROR(INDEX(tblMoveTypes[Orders?],MATCH($E75,tblMoveTypes[Movement],0)),"?")="No",$G75&lt;&gt;""),"Leave Orders blank",IF(AND(IFERROR(INDEX(tblMoveTypes[Reason?],MATCH($E75,tblMoveTypes[Movement],0)),"?")="Yes",$I75=""),"Reason needed",IF(AND(IFERROR(INDEX(tblMoveTypes[Qty?],MATCH($E75,tblMoveTypes[Movement],0)),"?")="Yes",N($F75)&lt;=0),"Qty needed",IF($A75&lt;_xlfn.MINIFS(tblShipment[Arrival Date],tblShipment[Shipment ID],$C75),"Date before arrival",IF(AND($D75&lt;&gt;"",COUNTIFS(tblShipment[Shipment ID],$C75,tblShipment[Item Code],$D75)=0),"Item not in this shipment",IF(AND($H75&lt;&gt;"",COUNTIFS(tblCouriers[Courier],$H75,tblCouriers[Market],$B75)=0),"Courier not in this market","OK")))))))))))))))</f>
        <v>OK</v>
      </c>
    </row>
    <row r="76" customFormat="false" ht="15" hidden="false" customHeight="false" outlineLevel="0" collapsed="false">
      <c r="A76" s="27" t="n">
        <v>46223</v>
      </c>
      <c r="B76" s="26" t="s">
        <v>90</v>
      </c>
      <c r="C76" s="26" t="s">
        <v>147</v>
      </c>
      <c r="D76" s="26"/>
      <c r="E76" s="26" t="s">
        <v>104</v>
      </c>
      <c r="F76" s="28"/>
      <c r="G76" s="28" t="n">
        <v>31</v>
      </c>
      <c r="H76" s="26" t="s">
        <v>101</v>
      </c>
      <c r="I76" s="26"/>
      <c r="J76" s="26"/>
      <c r="K76" s="29" t="str">
        <f aca="false">IF($A76="","",IF(COUNTIFS(tblMoveTypes[Movement],$E76)=0,"Unknown movement type",IF(COUNTIF(tblShipment[Shipment ID],$C76)=0,"Unknown shipment",IF(COUNTIFS(tblShipment[Shipment ID],$C76,tblShipment[Market],$B76)=0,"Market does not match shipment",IF(AND(IFERROR(INDEX(tblMoveTypes[Item?],MATCH($E76,tblMoveTypes[Movement],0)),"?")="Yes",$D76=""),"Item needed",IF(AND(IFERROR(INDEX(tblMoveTypes[Item?],MATCH($E76,tblMoveTypes[Movement],0)),"?")="No",$D76&lt;&gt;""),"Leave Item blank",IF(AND(IFERROR(INDEX(tblMoveTypes[Courier?],MATCH($E76,tblMoveTypes[Movement],0)),"?")="Yes",$H76=""),"Courier needed",IF(AND(IFERROR(INDEX(tblMoveTypes[Courier?],MATCH($E76,tblMoveTypes[Movement],0)),"?")="No",$H76&lt;&gt;""),"Leave Courier blank",IF(AND(IFERROR(INDEX(tblMoveTypes[Orders?],MATCH($E76,tblMoveTypes[Movement],0)),"?")="Yes",$G76=""),"Orders needed",IF(AND(IFERROR(INDEX(tblMoveTypes[Orders?],MATCH($E76,tblMoveTypes[Movement],0)),"?")="No",$G76&lt;&gt;""),"Leave Orders blank",IF(AND(IFERROR(INDEX(tblMoveTypes[Reason?],MATCH($E76,tblMoveTypes[Movement],0)),"?")="Yes",$I76=""),"Reason needed",IF(AND(IFERROR(INDEX(tblMoveTypes[Qty?],MATCH($E76,tblMoveTypes[Movement],0)),"?")="Yes",N($F76)&lt;=0),"Qty needed",IF($A76&lt;_xlfn.MINIFS(tblShipment[Arrival Date],tblShipment[Shipment ID],$C76),"Date before arrival",IF(AND($D76&lt;&gt;"",COUNTIFS(tblShipment[Shipment ID],$C76,tblShipment[Item Code],$D76)=0),"Item not in this shipment",IF(AND($H76&lt;&gt;"",COUNTIFS(tblCouriers[Courier],$H76,tblCouriers[Market],$B76)=0),"Courier not in this market","OK")))))))))))))))</f>
        <v>OK</v>
      </c>
    </row>
    <row r="77" customFormat="false" ht="15" hidden="false" customHeight="false" outlineLevel="0" collapsed="false">
      <c r="A77" s="27" t="n">
        <v>46223</v>
      </c>
      <c r="B77" s="26" t="s">
        <v>78</v>
      </c>
      <c r="C77" s="26" t="s">
        <v>131</v>
      </c>
      <c r="D77" s="26"/>
      <c r="E77" s="26" t="s">
        <v>106</v>
      </c>
      <c r="F77" s="28" t="n">
        <v>52</v>
      </c>
      <c r="G77" s="28" t="n">
        <v>8</v>
      </c>
      <c r="H77" s="26" t="s">
        <v>86</v>
      </c>
      <c r="I77" s="26"/>
      <c r="J77" s="26"/>
      <c r="K77" s="29" t="str">
        <f aca="false">IF($A77="","",IF(COUNTIFS(tblMoveTypes[Movement],$E77)=0,"Unknown movement type",IF(COUNTIF(tblShipment[Shipment ID],$C77)=0,"Unknown shipment",IF(COUNTIFS(tblShipment[Shipment ID],$C77,tblShipment[Market],$B77)=0,"Market does not match shipment",IF(AND(IFERROR(INDEX(tblMoveTypes[Item?],MATCH($E77,tblMoveTypes[Movement],0)),"?")="Yes",$D77=""),"Item needed",IF(AND(IFERROR(INDEX(tblMoveTypes[Item?],MATCH($E77,tblMoveTypes[Movement],0)),"?")="No",$D77&lt;&gt;""),"Leave Item blank",IF(AND(IFERROR(INDEX(tblMoveTypes[Courier?],MATCH($E77,tblMoveTypes[Movement],0)),"?")="Yes",$H77=""),"Courier needed",IF(AND(IFERROR(INDEX(tblMoveTypes[Courier?],MATCH($E77,tblMoveTypes[Movement],0)),"?")="No",$H77&lt;&gt;""),"Leave Courier blank",IF(AND(IFERROR(INDEX(tblMoveTypes[Orders?],MATCH($E77,tblMoveTypes[Movement],0)),"?")="Yes",$G77=""),"Orders needed",IF(AND(IFERROR(INDEX(tblMoveTypes[Orders?],MATCH($E77,tblMoveTypes[Movement],0)),"?")="No",$G77&lt;&gt;""),"Leave Orders blank",IF(AND(IFERROR(INDEX(tblMoveTypes[Reason?],MATCH($E77,tblMoveTypes[Movement],0)),"?")="Yes",$I77=""),"Reason needed",IF(AND(IFERROR(INDEX(tblMoveTypes[Qty?],MATCH($E77,tblMoveTypes[Movement],0)),"?")="Yes",N($F77)&lt;=0),"Qty needed",IF($A77&lt;_xlfn.MINIFS(tblShipment[Arrival Date],tblShipment[Shipment ID],$C77),"Date before arrival",IF(AND($D77&lt;&gt;"",COUNTIFS(tblShipment[Shipment ID],$C77,tblShipment[Item Code],$D77)=0),"Item not in this shipment",IF(AND($H77&lt;&gt;"",COUNTIFS(tblCouriers[Courier],$H77,tblCouriers[Market],$B77)=0),"Courier not in this market","OK")))))))))))))))</f>
        <v>OK</v>
      </c>
    </row>
    <row r="78" customFormat="false" ht="15" hidden="false" customHeight="false" outlineLevel="0" collapsed="false">
      <c r="A78" s="27" t="n">
        <v>46223</v>
      </c>
      <c r="B78" s="26" t="s">
        <v>78</v>
      </c>
      <c r="C78" s="26" t="s">
        <v>131</v>
      </c>
      <c r="D78" s="26"/>
      <c r="E78" s="26" t="s">
        <v>108</v>
      </c>
      <c r="F78" s="28" t="n">
        <v>5</v>
      </c>
      <c r="G78" s="28" t="n">
        <v>1</v>
      </c>
      <c r="H78" s="26" t="s">
        <v>86</v>
      </c>
      <c r="I78" s="26" t="s">
        <v>102</v>
      </c>
      <c r="J78" s="26"/>
      <c r="K78" s="29" t="str">
        <f aca="false">IF($A78="","",IF(COUNTIFS(tblMoveTypes[Movement],$E78)=0,"Unknown movement type",IF(COUNTIF(tblShipment[Shipment ID],$C78)=0,"Unknown shipment",IF(COUNTIFS(tblShipment[Shipment ID],$C78,tblShipment[Market],$B78)=0,"Market does not match shipment",IF(AND(IFERROR(INDEX(tblMoveTypes[Item?],MATCH($E78,tblMoveTypes[Movement],0)),"?")="Yes",$D78=""),"Item needed",IF(AND(IFERROR(INDEX(tblMoveTypes[Item?],MATCH($E78,tblMoveTypes[Movement],0)),"?")="No",$D78&lt;&gt;""),"Leave Item blank",IF(AND(IFERROR(INDEX(tblMoveTypes[Courier?],MATCH($E78,tblMoveTypes[Movement],0)),"?")="Yes",$H78=""),"Courier needed",IF(AND(IFERROR(INDEX(tblMoveTypes[Courier?],MATCH($E78,tblMoveTypes[Movement],0)),"?")="No",$H78&lt;&gt;""),"Leave Courier blank",IF(AND(IFERROR(INDEX(tblMoveTypes[Orders?],MATCH($E78,tblMoveTypes[Movement],0)),"?")="Yes",$G78=""),"Orders needed",IF(AND(IFERROR(INDEX(tblMoveTypes[Orders?],MATCH($E78,tblMoveTypes[Movement],0)),"?")="No",$G78&lt;&gt;""),"Leave Orders blank",IF(AND(IFERROR(INDEX(tblMoveTypes[Reason?],MATCH($E78,tblMoveTypes[Movement],0)),"?")="Yes",$I78=""),"Reason needed",IF(AND(IFERROR(INDEX(tblMoveTypes[Qty?],MATCH($E78,tblMoveTypes[Movement],0)),"?")="Yes",N($F78)&lt;=0),"Qty needed",IF($A78&lt;_xlfn.MINIFS(tblShipment[Arrival Date],tblShipment[Shipment ID],$C78),"Date before arrival",IF(AND($D78&lt;&gt;"",COUNTIFS(tblShipment[Shipment ID],$C78,tblShipment[Item Code],$D78)=0),"Item not in this shipment",IF(AND($H78&lt;&gt;"",COUNTIFS(tblCouriers[Courier],$H78,tblCouriers[Market],$B78)=0),"Courier not in this market","OK")))))))))))))))</f>
        <v>OK</v>
      </c>
    </row>
    <row r="79" customFormat="false" ht="15" hidden="false" customHeight="false" outlineLevel="0" collapsed="false">
      <c r="A79" s="27" t="n">
        <v>46223</v>
      </c>
      <c r="B79" s="26" t="s">
        <v>78</v>
      </c>
      <c r="C79" s="26" t="s">
        <v>131</v>
      </c>
      <c r="D79" s="26" t="s">
        <v>76</v>
      </c>
      <c r="E79" s="26" t="s">
        <v>110</v>
      </c>
      <c r="F79" s="28" t="n">
        <v>4</v>
      </c>
      <c r="G79" s="28"/>
      <c r="H79" s="26"/>
      <c r="I79" s="26"/>
      <c r="J79" s="26"/>
      <c r="K79" s="29" t="str">
        <f aca="false">IF($A79="","",IF(COUNTIFS(tblMoveTypes[Movement],$E79)=0,"Unknown movement type",IF(COUNTIF(tblShipment[Shipment ID],$C79)=0,"Unknown shipment",IF(COUNTIFS(tblShipment[Shipment ID],$C79,tblShipment[Market],$B79)=0,"Market does not match shipment",IF(AND(IFERROR(INDEX(tblMoveTypes[Item?],MATCH($E79,tblMoveTypes[Movement],0)),"?")="Yes",$D79=""),"Item needed",IF(AND(IFERROR(INDEX(tblMoveTypes[Item?],MATCH($E79,tblMoveTypes[Movement],0)),"?")="No",$D79&lt;&gt;""),"Leave Item blank",IF(AND(IFERROR(INDEX(tblMoveTypes[Courier?],MATCH($E79,tblMoveTypes[Movement],0)),"?")="Yes",$H79=""),"Courier needed",IF(AND(IFERROR(INDEX(tblMoveTypes[Courier?],MATCH($E79,tblMoveTypes[Movement],0)),"?")="No",$H79&lt;&gt;""),"Leave Courier blank",IF(AND(IFERROR(INDEX(tblMoveTypes[Orders?],MATCH($E79,tblMoveTypes[Movement],0)),"?")="Yes",$G79=""),"Orders needed",IF(AND(IFERROR(INDEX(tblMoveTypes[Orders?],MATCH($E79,tblMoveTypes[Movement],0)),"?")="No",$G79&lt;&gt;""),"Leave Orders blank",IF(AND(IFERROR(INDEX(tblMoveTypes[Reason?],MATCH($E79,tblMoveTypes[Movement],0)),"?")="Yes",$I79=""),"Reason needed",IF(AND(IFERROR(INDEX(tblMoveTypes[Qty?],MATCH($E79,tblMoveTypes[Movement],0)),"?")="Yes",N($F79)&lt;=0),"Qty needed",IF($A79&lt;_xlfn.MINIFS(tblShipment[Arrival Date],tblShipment[Shipment ID],$C79),"Date before arrival",IF(AND($D79&lt;&gt;"",COUNTIFS(tblShipment[Shipment ID],$C79,tblShipment[Item Code],$D79)=0),"Item not in this shipment",IF(AND($H79&lt;&gt;"",COUNTIFS(tblCouriers[Courier],$H79,tblCouriers[Market],$B79)=0),"Courier not in this market","OK")))))))))))))))</f>
        <v>OK</v>
      </c>
    </row>
    <row r="80" customFormat="false" ht="15" hidden="false" customHeight="false" outlineLevel="0" collapsed="false">
      <c r="A80" s="27" t="n">
        <v>46223</v>
      </c>
      <c r="B80" s="26" t="s">
        <v>78</v>
      </c>
      <c r="C80" s="26" t="s">
        <v>131</v>
      </c>
      <c r="D80" s="26" t="s">
        <v>76</v>
      </c>
      <c r="E80" s="26" t="s">
        <v>112</v>
      </c>
      <c r="F80" s="28" t="n">
        <v>1</v>
      </c>
      <c r="G80" s="28"/>
      <c r="H80" s="26"/>
      <c r="I80" s="26" t="s">
        <v>80</v>
      </c>
      <c r="J80" s="26"/>
      <c r="K80" s="29" t="str">
        <f aca="false">IF($A80="","",IF(COUNTIFS(tblMoveTypes[Movement],$E80)=0,"Unknown movement type",IF(COUNTIF(tblShipment[Shipment ID],$C80)=0,"Unknown shipment",IF(COUNTIFS(tblShipment[Shipment ID],$C80,tblShipment[Market],$B80)=0,"Market does not match shipment",IF(AND(IFERROR(INDEX(tblMoveTypes[Item?],MATCH($E80,tblMoveTypes[Movement],0)),"?")="Yes",$D80=""),"Item needed",IF(AND(IFERROR(INDEX(tblMoveTypes[Item?],MATCH($E80,tblMoveTypes[Movement],0)),"?")="No",$D80&lt;&gt;""),"Leave Item blank",IF(AND(IFERROR(INDEX(tblMoveTypes[Courier?],MATCH($E80,tblMoveTypes[Movement],0)),"?")="Yes",$H80=""),"Courier needed",IF(AND(IFERROR(INDEX(tblMoveTypes[Courier?],MATCH($E80,tblMoveTypes[Movement],0)),"?")="No",$H80&lt;&gt;""),"Leave Courier blank",IF(AND(IFERROR(INDEX(tblMoveTypes[Orders?],MATCH($E80,tblMoveTypes[Movement],0)),"?")="Yes",$G80=""),"Orders needed",IF(AND(IFERROR(INDEX(tblMoveTypes[Orders?],MATCH($E80,tblMoveTypes[Movement],0)),"?")="No",$G80&lt;&gt;""),"Leave Orders blank",IF(AND(IFERROR(INDEX(tblMoveTypes[Reason?],MATCH($E80,tblMoveTypes[Movement],0)),"?")="Yes",$I80=""),"Reason needed",IF(AND(IFERROR(INDEX(tblMoveTypes[Qty?],MATCH($E80,tblMoveTypes[Movement],0)),"?")="Yes",N($F80)&lt;=0),"Qty needed",IF($A80&lt;_xlfn.MINIFS(tblShipment[Arrival Date],tblShipment[Shipment ID],$C80),"Date before arrival",IF(AND($D80&lt;&gt;"",COUNTIFS(tblShipment[Shipment ID],$C80,tblShipment[Item Code],$D80)=0),"Item not in this shipment",IF(AND($H80&lt;&gt;"",COUNTIFS(tblCouriers[Courier],$H80,tblCouriers[Market],$B80)=0),"Courier not in this market","OK")))))))))))))))</f>
        <v>OK</v>
      </c>
    </row>
    <row r="81" customFormat="false" ht="15" hidden="false" customHeight="false" outlineLevel="0" collapsed="false">
      <c r="A81" s="27" t="n">
        <v>46224</v>
      </c>
      <c r="B81" s="26" t="s">
        <v>90</v>
      </c>
      <c r="C81" s="26" t="s">
        <v>147</v>
      </c>
      <c r="D81" s="26"/>
      <c r="E81" s="26" t="s">
        <v>106</v>
      </c>
      <c r="F81" s="28" t="n">
        <v>83</v>
      </c>
      <c r="G81" s="28" t="n">
        <v>12</v>
      </c>
      <c r="H81" s="26" t="s">
        <v>101</v>
      </c>
      <c r="I81" s="26"/>
      <c r="J81" s="26"/>
      <c r="K81" s="29" t="str">
        <f aca="false">IF($A81="","",IF(COUNTIFS(tblMoveTypes[Movement],$E81)=0,"Unknown movement type",IF(COUNTIF(tblShipment[Shipment ID],$C81)=0,"Unknown shipment",IF(COUNTIFS(tblShipment[Shipment ID],$C81,tblShipment[Market],$B81)=0,"Market does not match shipment",IF(AND(IFERROR(INDEX(tblMoveTypes[Item?],MATCH($E81,tblMoveTypes[Movement],0)),"?")="Yes",$D81=""),"Item needed",IF(AND(IFERROR(INDEX(tblMoveTypes[Item?],MATCH($E81,tblMoveTypes[Movement],0)),"?")="No",$D81&lt;&gt;""),"Leave Item blank",IF(AND(IFERROR(INDEX(tblMoveTypes[Courier?],MATCH($E81,tblMoveTypes[Movement],0)),"?")="Yes",$H81=""),"Courier needed",IF(AND(IFERROR(INDEX(tblMoveTypes[Courier?],MATCH($E81,tblMoveTypes[Movement],0)),"?")="No",$H81&lt;&gt;""),"Leave Courier blank",IF(AND(IFERROR(INDEX(tblMoveTypes[Orders?],MATCH($E81,tblMoveTypes[Movement],0)),"?")="Yes",$G81=""),"Orders needed",IF(AND(IFERROR(INDEX(tblMoveTypes[Orders?],MATCH($E81,tblMoveTypes[Movement],0)),"?")="No",$G81&lt;&gt;""),"Leave Orders blank",IF(AND(IFERROR(INDEX(tblMoveTypes[Reason?],MATCH($E81,tblMoveTypes[Movement],0)),"?")="Yes",$I81=""),"Reason needed",IF(AND(IFERROR(INDEX(tblMoveTypes[Qty?],MATCH($E81,tblMoveTypes[Movement],0)),"?")="Yes",N($F81)&lt;=0),"Qty needed",IF($A81&lt;_xlfn.MINIFS(tblShipment[Arrival Date],tblShipment[Shipment ID],$C81),"Date before arrival",IF(AND($D81&lt;&gt;"",COUNTIFS(tblShipment[Shipment ID],$C81,tblShipment[Item Code],$D81)=0),"Item not in this shipment",IF(AND($H81&lt;&gt;"",COUNTIFS(tblCouriers[Courier],$H81,tblCouriers[Market],$B81)=0),"Courier not in this market","OK")))))))))))))))</f>
        <v>OK</v>
      </c>
    </row>
    <row r="82" customFormat="false" ht="15" hidden="false" customHeight="false" outlineLevel="0" collapsed="false">
      <c r="A82" s="27" t="n">
        <v>46224</v>
      </c>
      <c r="B82" s="26" t="s">
        <v>78</v>
      </c>
      <c r="C82" s="26" t="s">
        <v>131</v>
      </c>
      <c r="D82" s="26"/>
      <c r="E82" s="26" t="s">
        <v>108</v>
      </c>
      <c r="F82" s="28" t="n">
        <v>7</v>
      </c>
      <c r="G82" s="28" t="n">
        <v>1</v>
      </c>
      <c r="H82" s="26" t="s">
        <v>79</v>
      </c>
      <c r="I82" s="26" t="s">
        <v>102</v>
      </c>
      <c r="J82" s="26"/>
      <c r="K82" s="29" t="str">
        <f aca="false">IF($A82="","",IF(COUNTIFS(tblMoveTypes[Movement],$E82)=0,"Unknown movement type",IF(COUNTIF(tblShipment[Shipment ID],$C82)=0,"Unknown shipment",IF(COUNTIFS(tblShipment[Shipment ID],$C82,tblShipment[Market],$B82)=0,"Market does not match shipment",IF(AND(IFERROR(INDEX(tblMoveTypes[Item?],MATCH($E82,tblMoveTypes[Movement],0)),"?")="Yes",$D82=""),"Item needed",IF(AND(IFERROR(INDEX(tblMoveTypes[Item?],MATCH($E82,tblMoveTypes[Movement],0)),"?")="No",$D82&lt;&gt;""),"Leave Item blank",IF(AND(IFERROR(INDEX(tblMoveTypes[Courier?],MATCH($E82,tblMoveTypes[Movement],0)),"?")="Yes",$H82=""),"Courier needed",IF(AND(IFERROR(INDEX(tblMoveTypes[Courier?],MATCH($E82,tblMoveTypes[Movement],0)),"?")="No",$H82&lt;&gt;""),"Leave Courier blank",IF(AND(IFERROR(INDEX(tblMoveTypes[Orders?],MATCH($E82,tblMoveTypes[Movement],0)),"?")="Yes",$G82=""),"Orders needed",IF(AND(IFERROR(INDEX(tblMoveTypes[Orders?],MATCH($E82,tblMoveTypes[Movement],0)),"?")="No",$G82&lt;&gt;""),"Leave Orders blank",IF(AND(IFERROR(INDEX(tblMoveTypes[Reason?],MATCH($E82,tblMoveTypes[Movement],0)),"?")="Yes",$I82=""),"Reason needed",IF(AND(IFERROR(INDEX(tblMoveTypes[Qty?],MATCH($E82,tblMoveTypes[Movement],0)),"?")="Yes",N($F82)&lt;=0),"Qty needed",IF($A82&lt;_xlfn.MINIFS(tblShipment[Arrival Date],tblShipment[Shipment ID],$C82),"Date before arrival",IF(AND($D82&lt;&gt;"",COUNTIFS(tblShipment[Shipment ID],$C82,tblShipment[Item Code],$D82)=0),"Item not in this shipment",IF(AND($H82&lt;&gt;"",COUNTIFS(tblCouriers[Courier],$H82,tblCouriers[Market],$B82)=0),"Courier not in this market","OK")))))))))))))))</f>
        <v>OK</v>
      </c>
    </row>
    <row r="83" customFormat="false" ht="15" hidden="false" customHeight="false" outlineLevel="0" collapsed="false">
      <c r="A83" s="27" t="n">
        <v>46224</v>
      </c>
      <c r="B83" s="26" t="s">
        <v>78</v>
      </c>
      <c r="C83" s="26" t="s">
        <v>131</v>
      </c>
      <c r="D83" s="26" t="s">
        <v>88</v>
      </c>
      <c r="E83" s="26" t="s">
        <v>110</v>
      </c>
      <c r="F83" s="28" t="n">
        <v>5</v>
      </c>
      <c r="G83" s="28"/>
      <c r="H83" s="26"/>
      <c r="I83" s="26"/>
      <c r="J83" s="26"/>
      <c r="K83" s="29" t="str">
        <f aca="false">IF($A83="","",IF(COUNTIFS(tblMoveTypes[Movement],$E83)=0,"Unknown movement type",IF(COUNTIF(tblShipment[Shipment ID],$C83)=0,"Unknown shipment",IF(COUNTIFS(tblShipment[Shipment ID],$C83,tblShipment[Market],$B83)=0,"Market does not match shipment",IF(AND(IFERROR(INDEX(tblMoveTypes[Item?],MATCH($E83,tblMoveTypes[Movement],0)),"?")="Yes",$D83=""),"Item needed",IF(AND(IFERROR(INDEX(tblMoveTypes[Item?],MATCH($E83,tblMoveTypes[Movement],0)),"?")="No",$D83&lt;&gt;""),"Leave Item blank",IF(AND(IFERROR(INDEX(tblMoveTypes[Courier?],MATCH($E83,tblMoveTypes[Movement],0)),"?")="Yes",$H83=""),"Courier needed",IF(AND(IFERROR(INDEX(tblMoveTypes[Courier?],MATCH($E83,tblMoveTypes[Movement],0)),"?")="No",$H83&lt;&gt;""),"Leave Courier blank",IF(AND(IFERROR(INDEX(tblMoveTypes[Orders?],MATCH($E83,tblMoveTypes[Movement],0)),"?")="Yes",$G83=""),"Orders needed",IF(AND(IFERROR(INDEX(tblMoveTypes[Orders?],MATCH($E83,tblMoveTypes[Movement],0)),"?")="No",$G83&lt;&gt;""),"Leave Orders blank",IF(AND(IFERROR(INDEX(tblMoveTypes[Reason?],MATCH($E83,tblMoveTypes[Movement],0)),"?")="Yes",$I83=""),"Reason needed",IF(AND(IFERROR(INDEX(tblMoveTypes[Qty?],MATCH($E83,tblMoveTypes[Movement],0)),"?")="Yes",N($F83)&lt;=0),"Qty needed",IF($A83&lt;_xlfn.MINIFS(tblShipment[Arrival Date],tblShipment[Shipment ID],$C83),"Date before arrival",IF(AND($D83&lt;&gt;"",COUNTIFS(tblShipment[Shipment ID],$C83,tblShipment[Item Code],$D83)=0),"Item not in this shipment",IF(AND($H83&lt;&gt;"",COUNTIFS(tblCouriers[Courier],$H83,tblCouriers[Market],$B83)=0),"Courier not in this market","OK")))))))))))))))</f>
        <v>OK</v>
      </c>
    </row>
    <row r="84" customFormat="false" ht="15" hidden="false" customHeight="false" outlineLevel="0" collapsed="false">
      <c r="A84" s="27" t="n">
        <v>46224</v>
      </c>
      <c r="B84" s="26" t="s">
        <v>78</v>
      </c>
      <c r="C84" s="26" t="s">
        <v>131</v>
      </c>
      <c r="D84" s="26" t="s">
        <v>88</v>
      </c>
      <c r="E84" s="26" t="s">
        <v>112</v>
      </c>
      <c r="F84" s="28" t="n">
        <v>2</v>
      </c>
      <c r="G84" s="28"/>
      <c r="H84" s="26"/>
      <c r="I84" s="26" t="s">
        <v>80</v>
      </c>
      <c r="J84" s="26"/>
      <c r="K84" s="29" t="str">
        <f aca="false">IF($A84="","",IF(COUNTIFS(tblMoveTypes[Movement],$E84)=0,"Unknown movement type",IF(COUNTIF(tblShipment[Shipment ID],$C84)=0,"Unknown shipment",IF(COUNTIFS(tblShipment[Shipment ID],$C84,tblShipment[Market],$B84)=0,"Market does not match shipment",IF(AND(IFERROR(INDEX(tblMoveTypes[Item?],MATCH($E84,tblMoveTypes[Movement],0)),"?")="Yes",$D84=""),"Item needed",IF(AND(IFERROR(INDEX(tblMoveTypes[Item?],MATCH($E84,tblMoveTypes[Movement],0)),"?")="No",$D84&lt;&gt;""),"Leave Item blank",IF(AND(IFERROR(INDEX(tblMoveTypes[Courier?],MATCH($E84,tblMoveTypes[Movement],0)),"?")="Yes",$H84=""),"Courier needed",IF(AND(IFERROR(INDEX(tblMoveTypes[Courier?],MATCH($E84,tblMoveTypes[Movement],0)),"?")="No",$H84&lt;&gt;""),"Leave Courier blank",IF(AND(IFERROR(INDEX(tblMoveTypes[Orders?],MATCH($E84,tblMoveTypes[Movement],0)),"?")="Yes",$G84=""),"Orders needed",IF(AND(IFERROR(INDEX(tblMoveTypes[Orders?],MATCH($E84,tblMoveTypes[Movement],0)),"?")="No",$G84&lt;&gt;""),"Leave Orders blank",IF(AND(IFERROR(INDEX(tblMoveTypes[Reason?],MATCH($E84,tblMoveTypes[Movement],0)),"?")="Yes",$I84=""),"Reason needed",IF(AND(IFERROR(INDEX(tblMoveTypes[Qty?],MATCH($E84,tblMoveTypes[Movement],0)),"?")="Yes",N($F84)&lt;=0),"Qty needed",IF($A84&lt;_xlfn.MINIFS(tblShipment[Arrival Date],tblShipment[Shipment ID],$C84),"Date before arrival",IF(AND($D84&lt;&gt;"",COUNTIFS(tblShipment[Shipment ID],$C84,tblShipment[Item Code],$D84)=0),"Item not in this shipment",IF(AND($H84&lt;&gt;"",COUNTIFS(tblCouriers[Courier],$H84,tblCouriers[Market],$B84)=0),"Courier not in this market","OK")))))))))))))))</f>
        <v>OK</v>
      </c>
    </row>
    <row r="85" customFormat="false" ht="15" hidden="false" customHeight="false" outlineLevel="0" collapsed="false">
      <c r="A85" s="27" t="n">
        <v>46224</v>
      </c>
      <c r="B85" s="26" t="s">
        <v>78</v>
      </c>
      <c r="C85" s="26" t="s">
        <v>131</v>
      </c>
      <c r="D85" s="26"/>
      <c r="E85" s="26" t="s">
        <v>106</v>
      </c>
      <c r="F85" s="28" t="n">
        <v>36</v>
      </c>
      <c r="G85" s="28" t="n">
        <v>5</v>
      </c>
      <c r="H85" s="26" t="s">
        <v>86</v>
      </c>
      <c r="I85" s="26"/>
      <c r="J85" s="26"/>
      <c r="K85" s="29" t="str">
        <f aca="false">IF($A85="","",IF(COUNTIFS(tblMoveTypes[Movement],$E85)=0,"Unknown movement type",IF(COUNTIF(tblShipment[Shipment ID],$C85)=0,"Unknown shipment",IF(COUNTIFS(tblShipment[Shipment ID],$C85,tblShipment[Market],$B85)=0,"Market does not match shipment",IF(AND(IFERROR(INDEX(tblMoveTypes[Item?],MATCH($E85,tblMoveTypes[Movement],0)),"?")="Yes",$D85=""),"Item needed",IF(AND(IFERROR(INDEX(tblMoveTypes[Item?],MATCH($E85,tblMoveTypes[Movement],0)),"?")="No",$D85&lt;&gt;""),"Leave Item blank",IF(AND(IFERROR(INDEX(tblMoveTypes[Courier?],MATCH($E85,tblMoveTypes[Movement],0)),"?")="Yes",$H85=""),"Courier needed",IF(AND(IFERROR(INDEX(tblMoveTypes[Courier?],MATCH($E85,tblMoveTypes[Movement],0)),"?")="No",$H85&lt;&gt;""),"Leave Courier blank",IF(AND(IFERROR(INDEX(tblMoveTypes[Orders?],MATCH($E85,tblMoveTypes[Movement],0)),"?")="Yes",$G85=""),"Orders needed",IF(AND(IFERROR(INDEX(tblMoveTypes[Orders?],MATCH($E85,tblMoveTypes[Movement],0)),"?")="No",$G85&lt;&gt;""),"Leave Orders blank",IF(AND(IFERROR(INDEX(tblMoveTypes[Reason?],MATCH($E85,tblMoveTypes[Movement],0)),"?")="Yes",$I85=""),"Reason needed",IF(AND(IFERROR(INDEX(tblMoveTypes[Qty?],MATCH($E85,tblMoveTypes[Movement],0)),"?")="Yes",N($F85)&lt;=0),"Qty needed",IF($A85&lt;_xlfn.MINIFS(tblShipment[Arrival Date],tblShipment[Shipment ID],$C85),"Date before arrival",IF(AND($D85&lt;&gt;"",COUNTIFS(tblShipment[Shipment ID],$C85,tblShipment[Item Code],$D85)=0),"Item not in this shipment",IF(AND($H85&lt;&gt;"",COUNTIFS(tblCouriers[Courier],$H85,tblCouriers[Market],$B85)=0),"Courier not in this market","OK")))))))))))))))</f>
        <v>OK</v>
      </c>
    </row>
    <row r="86" customFormat="false" ht="15" hidden="false" customHeight="false" outlineLevel="0" collapsed="false">
      <c r="A86" s="27" t="n">
        <v>46224</v>
      </c>
      <c r="B86" s="26" t="s">
        <v>78</v>
      </c>
      <c r="C86" s="26" t="s">
        <v>131</v>
      </c>
      <c r="D86" s="26" t="s">
        <v>76</v>
      </c>
      <c r="E86" s="26" t="s">
        <v>93</v>
      </c>
      <c r="F86" s="28" t="n">
        <v>4</v>
      </c>
      <c r="G86" s="28"/>
      <c r="H86" s="26" t="s">
        <v>79</v>
      </c>
      <c r="I86" s="26"/>
      <c r="J86" s="26"/>
      <c r="K86" s="29" t="str">
        <f aca="false">IF($A86="","",IF(COUNTIFS(tblMoveTypes[Movement],$E86)=0,"Unknown movement type",IF(COUNTIF(tblShipment[Shipment ID],$C86)=0,"Unknown shipment",IF(COUNTIFS(tblShipment[Shipment ID],$C86,tblShipment[Market],$B86)=0,"Market does not match shipment",IF(AND(IFERROR(INDEX(tblMoveTypes[Item?],MATCH($E86,tblMoveTypes[Movement],0)),"?")="Yes",$D86=""),"Item needed",IF(AND(IFERROR(INDEX(tblMoveTypes[Item?],MATCH($E86,tblMoveTypes[Movement],0)),"?")="No",$D86&lt;&gt;""),"Leave Item blank",IF(AND(IFERROR(INDEX(tblMoveTypes[Courier?],MATCH($E86,tblMoveTypes[Movement],0)),"?")="Yes",$H86=""),"Courier needed",IF(AND(IFERROR(INDEX(tblMoveTypes[Courier?],MATCH($E86,tblMoveTypes[Movement],0)),"?")="No",$H86&lt;&gt;""),"Leave Courier blank",IF(AND(IFERROR(INDEX(tblMoveTypes[Orders?],MATCH($E86,tblMoveTypes[Movement],0)),"?")="Yes",$G86=""),"Orders needed",IF(AND(IFERROR(INDEX(tblMoveTypes[Orders?],MATCH($E86,tblMoveTypes[Movement],0)),"?")="No",$G86&lt;&gt;""),"Leave Orders blank",IF(AND(IFERROR(INDEX(tblMoveTypes[Reason?],MATCH($E86,tblMoveTypes[Movement],0)),"?")="Yes",$I86=""),"Reason needed",IF(AND(IFERROR(INDEX(tblMoveTypes[Qty?],MATCH($E86,tblMoveTypes[Movement],0)),"?")="Yes",N($F86)&lt;=0),"Qty needed",IF($A86&lt;_xlfn.MINIFS(tblShipment[Arrival Date],tblShipment[Shipment ID],$C86),"Date before arrival",IF(AND($D86&lt;&gt;"",COUNTIFS(tblShipment[Shipment ID],$C86,tblShipment[Item Code],$D86)=0),"Item not in this shipment",IF(AND($H86&lt;&gt;"",COUNTIFS(tblCouriers[Courier],$H86,tblCouriers[Market],$B86)=0),"Courier not in this market","OK")))))))))))))))</f>
        <v>OK</v>
      </c>
    </row>
    <row r="87" customFormat="false" ht="15" hidden="false" customHeight="false" outlineLevel="0" collapsed="false">
      <c r="A87" s="27" t="n">
        <v>46224</v>
      </c>
      <c r="B87" s="26" t="s">
        <v>78</v>
      </c>
      <c r="C87" s="26" t="s">
        <v>131</v>
      </c>
      <c r="D87" s="26"/>
      <c r="E87" s="26" t="s">
        <v>104</v>
      </c>
      <c r="F87" s="28"/>
      <c r="G87" s="28" t="n">
        <v>1</v>
      </c>
      <c r="H87" s="26" t="s">
        <v>79</v>
      </c>
      <c r="I87" s="26"/>
      <c r="J87" s="26"/>
      <c r="K87" s="29" t="str">
        <f aca="false">IF($A87="","",IF(COUNTIFS(tblMoveTypes[Movement],$E87)=0,"Unknown movement type",IF(COUNTIF(tblShipment[Shipment ID],$C87)=0,"Unknown shipment",IF(COUNTIFS(tblShipment[Shipment ID],$C87,tblShipment[Market],$B87)=0,"Market does not match shipment",IF(AND(IFERROR(INDEX(tblMoveTypes[Item?],MATCH($E87,tblMoveTypes[Movement],0)),"?")="Yes",$D87=""),"Item needed",IF(AND(IFERROR(INDEX(tblMoveTypes[Item?],MATCH($E87,tblMoveTypes[Movement],0)),"?")="No",$D87&lt;&gt;""),"Leave Item blank",IF(AND(IFERROR(INDEX(tblMoveTypes[Courier?],MATCH($E87,tblMoveTypes[Movement],0)),"?")="Yes",$H87=""),"Courier needed",IF(AND(IFERROR(INDEX(tblMoveTypes[Courier?],MATCH($E87,tblMoveTypes[Movement],0)),"?")="No",$H87&lt;&gt;""),"Leave Courier blank",IF(AND(IFERROR(INDEX(tblMoveTypes[Orders?],MATCH($E87,tblMoveTypes[Movement],0)),"?")="Yes",$G87=""),"Orders needed",IF(AND(IFERROR(INDEX(tblMoveTypes[Orders?],MATCH($E87,tblMoveTypes[Movement],0)),"?")="No",$G87&lt;&gt;""),"Leave Orders blank",IF(AND(IFERROR(INDEX(tblMoveTypes[Reason?],MATCH($E87,tblMoveTypes[Movement],0)),"?")="Yes",$I87=""),"Reason needed",IF(AND(IFERROR(INDEX(tblMoveTypes[Qty?],MATCH($E87,tblMoveTypes[Movement],0)),"?")="Yes",N($F87)&lt;=0),"Qty needed",IF($A87&lt;_xlfn.MINIFS(tblShipment[Arrival Date],tblShipment[Shipment ID],$C87),"Date before arrival",IF(AND($D87&lt;&gt;"",COUNTIFS(tblShipment[Shipment ID],$C87,tblShipment[Item Code],$D87)=0),"Item not in this shipment",IF(AND($H87&lt;&gt;"",COUNTIFS(tblCouriers[Courier],$H87,tblCouriers[Market],$B87)=0),"Courier not in this market","OK")))))))))))))))</f>
        <v>OK</v>
      </c>
    </row>
    <row r="88" customFormat="false" ht="15" hidden="false" customHeight="false" outlineLevel="0" collapsed="false">
      <c r="A88" s="27" t="n">
        <v>46225</v>
      </c>
      <c r="B88" s="26" t="s">
        <v>70</v>
      </c>
      <c r="C88" s="26" t="s">
        <v>124</v>
      </c>
      <c r="D88" s="26"/>
      <c r="E88" s="26" t="s">
        <v>108</v>
      </c>
      <c r="F88" s="28" t="n">
        <v>5</v>
      </c>
      <c r="G88" s="28" t="n">
        <v>1</v>
      </c>
      <c r="H88" s="26" t="s">
        <v>71</v>
      </c>
      <c r="I88" s="26" t="s">
        <v>102</v>
      </c>
      <c r="J88" s="26"/>
      <c r="K88" s="29" t="str">
        <f aca="false">IF($A88="","",IF(COUNTIFS(tblMoveTypes[Movement],$E88)=0,"Unknown movement type",IF(COUNTIF(tblShipment[Shipment ID],$C88)=0,"Unknown shipment",IF(COUNTIFS(tblShipment[Shipment ID],$C88,tblShipment[Market],$B88)=0,"Market does not match shipment",IF(AND(IFERROR(INDEX(tblMoveTypes[Item?],MATCH($E88,tblMoveTypes[Movement],0)),"?")="Yes",$D88=""),"Item needed",IF(AND(IFERROR(INDEX(tblMoveTypes[Item?],MATCH($E88,tblMoveTypes[Movement],0)),"?")="No",$D88&lt;&gt;""),"Leave Item blank",IF(AND(IFERROR(INDEX(tblMoveTypes[Courier?],MATCH($E88,tblMoveTypes[Movement],0)),"?")="Yes",$H88=""),"Courier needed",IF(AND(IFERROR(INDEX(tblMoveTypes[Courier?],MATCH($E88,tblMoveTypes[Movement],0)),"?")="No",$H88&lt;&gt;""),"Leave Courier blank",IF(AND(IFERROR(INDEX(tblMoveTypes[Orders?],MATCH($E88,tblMoveTypes[Movement],0)),"?")="Yes",$G88=""),"Orders needed",IF(AND(IFERROR(INDEX(tblMoveTypes[Orders?],MATCH($E88,tblMoveTypes[Movement],0)),"?")="No",$G88&lt;&gt;""),"Leave Orders blank",IF(AND(IFERROR(INDEX(tblMoveTypes[Reason?],MATCH($E88,tblMoveTypes[Movement],0)),"?")="Yes",$I88=""),"Reason needed",IF(AND(IFERROR(INDEX(tblMoveTypes[Qty?],MATCH($E88,tblMoveTypes[Movement],0)),"?")="Yes",N($F88)&lt;=0),"Qty needed",IF($A88&lt;_xlfn.MINIFS(tblShipment[Arrival Date],tblShipment[Shipment ID],$C88),"Date before arrival",IF(AND($D88&lt;&gt;"",COUNTIFS(tblShipment[Shipment ID],$C88,tblShipment[Item Code],$D88)=0),"Item not in this shipment",IF(AND($H88&lt;&gt;"",COUNTIFS(tblCouriers[Courier],$H88,tblCouriers[Market],$B88)=0),"Courier not in this market","OK")))))))))))))))</f>
        <v>OK</v>
      </c>
    </row>
    <row r="89" customFormat="false" ht="15" hidden="false" customHeight="false" outlineLevel="0" collapsed="false">
      <c r="A89" s="27" t="n">
        <v>46225</v>
      </c>
      <c r="B89" s="26" t="s">
        <v>70</v>
      </c>
      <c r="C89" s="26" t="s">
        <v>124</v>
      </c>
      <c r="D89" s="26" t="s">
        <v>94</v>
      </c>
      <c r="E89" s="26" t="s">
        <v>110</v>
      </c>
      <c r="F89" s="28" t="n">
        <v>4</v>
      </c>
      <c r="G89" s="28"/>
      <c r="H89" s="26"/>
      <c r="I89" s="26"/>
      <c r="J89" s="26"/>
      <c r="K89" s="29" t="str">
        <f aca="false">IF($A89="","",IF(COUNTIFS(tblMoveTypes[Movement],$E89)=0,"Unknown movement type",IF(COUNTIF(tblShipment[Shipment ID],$C89)=0,"Unknown shipment",IF(COUNTIFS(tblShipment[Shipment ID],$C89,tblShipment[Market],$B89)=0,"Market does not match shipment",IF(AND(IFERROR(INDEX(tblMoveTypes[Item?],MATCH($E89,tblMoveTypes[Movement],0)),"?")="Yes",$D89=""),"Item needed",IF(AND(IFERROR(INDEX(tblMoveTypes[Item?],MATCH($E89,tblMoveTypes[Movement],0)),"?")="No",$D89&lt;&gt;""),"Leave Item blank",IF(AND(IFERROR(INDEX(tblMoveTypes[Courier?],MATCH($E89,tblMoveTypes[Movement],0)),"?")="Yes",$H89=""),"Courier needed",IF(AND(IFERROR(INDEX(tblMoveTypes[Courier?],MATCH($E89,tblMoveTypes[Movement],0)),"?")="No",$H89&lt;&gt;""),"Leave Courier blank",IF(AND(IFERROR(INDEX(tblMoveTypes[Orders?],MATCH($E89,tblMoveTypes[Movement],0)),"?")="Yes",$G89=""),"Orders needed",IF(AND(IFERROR(INDEX(tblMoveTypes[Orders?],MATCH($E89,tblMoveTypes[Movement],0)),"?")="No",$G89&lt;&gt;""),"Leave Orders blank",IF(AND(IFERROR(INDEX(tblMoveTypes[Reason?],MATCH($E89,tblMoveTypes[Movement],0)),"?")="Yes",$I89=""),"Reason needed",IF(AND(IFERROR(INDEX(tblMoveTypes[Qty?],MATCH($E89,tblMoveTypes[Movement],0)),"?")="Yes",N($F89)&lt;=0),"Qty needed",IF($A89&lt;_xlfn.MINIFS(tblShipment[Arrival Date],tblShipment[Shipment ID],$C89),"Date before arrival",IF(AND($D89&lt;&gt;"",COUNTIFS(tblShipment[Shipment ID],$C89,tblShipment[Item Code],$D89)=0),"Item not in this shipment",IF(AND($H89&lt;&gt;"",COUNTIFS(tblCouriers[Courier],$H89,tblCouriers[Market],$B89)=0),"Courier not in this market","OK")))))))))))))))</f>
        <v>OK</v>
      </c>
    </row>
    <row r="90" customFormat="false" ht="15" hidden="false" customHeight="false" outlineLevel="0" collapsed="false">
      <c r="A90" s="27" t="n">
        <v>46225</v>
      </c>
      <c r="B90" s="26" t="s">
        <v>70</v>
      </c>
      <c r="C90" s="26" t="s">
        <v>124</v>
      </c>
      <c r="D90" s="26" t="s">
        <v>94</v>
      </c>
      <c r="E90" s="26" t="s">
        <v>112</v>
      </c>
      <c r="F90" s="28" t="n">
        <v>1</v>
      </c>
      <c r="G90" s="28"/>
      <c r="H90" s="26"/>
      <c r="I90" s="26" t="s">
        <v>80</v>
      </c>
      <c r="J90" s="26"/>
      <c r="K90" s="29" t="str">
        <f aca="false">IF($A90="","",IF(COUNTIFS(tblMoveTypes[Movement],$E90)=0,"Unknown movement type",IF(COUNTIF(tblShipment[Shipment ID],$C90)=0,"Unknown shipment",IF(COUNTIFS(tblShipment[Shipment ID],$C90,tblShipment[Market],$B90)=0,"Market does not match shipment",IF(AND(IFERROR(INDEX(tblMoveTypes[Item?],MATCH($E90,tblMoveTypes[Movement],0)),"?")="Yes",$D90=""),"Item needed",IF(AND(IFERROR(INDEX(tblMoveTypes[Item?],MATCH($E90,tblMoveTypes[Movement],0)),"?")="No",$D90&lt;&gt;""),"Leave Item blank",IF(AND(IFERROR(INDEX(tblMoveTypes[Courier?],MATCH($E90,tblMoveTypes[Movement],0)),"?")="Yes",$H90=""),"Courier needed",IF(AND(IFERROR(INDEX(tblMoveTypes[Courier?],MATCH($E90,tblMoveTypes[Movement],0)),"?")="No",$H90&lt;&gt;""),"Leave Courier blank",IF(AND(IFERROR(INDEX(tblMoveTypes[Orders?],MATCH($E90,tblMoveTypes[Movement],0)),"?")="Yes",$G90=""),"Orders needed",IF(AND(IFERROR(INDEX(tblMoveTypes[Orders?],MATCH($E90,tblMoveTypes[Movement],0)),"?")="No",$G90&lt;&gt;""),"Leave Orders blank",IF(AND(IFERROR(INDEX(tblMoveTypes[Reason?],MATCH($E90,tblMoveTypes[Movement],0)),"?")="Yes",$I90=""),"Reason needed",IF(AND(IFERROR(INDEX(tblMoveTypes[Qty?],MATCH($E90,tblMoveTypes[Movement],0)),"?")="Yes",N($F90)&lt;=0),"Qty needed",IF($A90&lt;_xlfn.MINIFS(tblShipment[Arrival Date],tblShipment[Shipment ID],$C90),"Date before arrival",IF(AND($D90&lt;&gt;"",COUNTIFS(tblShipment[Shipment ID],$C90,tblShipment[Item Code],$D90)=0),"Item not in this shipment",IF(AND($H90&lt;&gt;"",COUNTIFS(tblCouriers[Courier],$H90,tblCouriers[Market],$B90)=0),"Courier not in this market","OK")))))))))))))))</f>
        <v>OK</v>
      </c>
    </row>
    <row r="91" customFormat="false" ht="15" hidden="false" customHeight="false" outlineLevel="0" collapsed="false">
      <c r="A91" s="27" t="n">
        <v>46225</v>
      </c>
      <c r="B91" s="26" t="s">
        <v>85</v>
      </c>
      <c r="C91" s="26" t="s">
        <v>139</v>
      </c>
      <c r="D91" s="26"/>
      <c r="E91" s="26" t="s">
        <v>106</v>
      </c>
      <c r="F91" s="28" t="n">
        <v>69</v>
      </c>
      <c r="G91" s="28" t="n">
        <v>10</v>
      </c>
      <c r="H91" s="26" t="s">
        <v>91</v>
      </c>
      <c r="I91" s="26"/>
      <c r="J91" s="26"/>
      <c r="K91" s="29" t="str">
        <f aca="false">IF($A91="","",IF(COUNTIFS(tblMoveTypes[Movement],$E91)=0,"Unknown movement type",IF(COUNTIF(tblShipment[Shipment ID],$C91)=0,"Unknown shipment",IF(COUNTIFS(tblShipment[Shipment ID],$C91,tblShipment[Market],$B91)=0,"Market does not match shipment",IF(AND(IFERROR(INDEX(tblMoveTypes[Item?],MATCH($E91,tblMoveTypes[Movement],0)),"?")="Yes",$D91=""),"Item needed",IF(AND(IFERROR(INDEX(tblMoveTypes[Item?],MATCH($E91,tblMoveTypes[Movement],0)),"?")="No",$D91&lt;&gt;""),"Leave Item blank",IF(AND(IFERROR(INDEX(tblMoveTypes[Courier?],MATCH($E91,tblMoveTypes[Movement],0)),"?")="Yes",$H91=""),"Courier needed",IF(AND(IFERROR(INDEX(tblMoveTypes[Courier?],MATCH($E91,tblMoveTypes[Movement],0)),"?")="No",$H91&lt;&gt;""),"Leave Courier blank",IF(AND(IFERROR(INDEX(tblMoveTypes[Orders?],MATCH($E91,tblMoveTypes[Movement],0)),"?")="Yes",$G91=""),"Orders needed",IF(AND(IFERROR(INDEX(tblMoveTypes[Orders?],MATCH($E91,tblMoveTypes[Movement],0)),"?")="No",$G91&lt;&gt;""),"Leave Orders blank",IF(AND(IFERROR(INDEX(tblMoveTypes[Reason?],MATCH($E91,tblMoveTypes[Movement],0)),"?")="Yes",$I91=""),"Reason needed",IF(AND(IFERROR(INDEX(tblMoveTypes[Qty?],MATCH($E91,tblMoveTypes[Movement],0)),"?")="Yes",N($F91)&lt;=0),"Qty needed",IF($A91&lt;_xlfn.MINIFS(tblShipment[Arrival Date],tblShipment[Shipment ID],$C91),"Date before arrival",IF(AND($D91&lt;&gt;"",COUNTIFS(tblShipment[Shipment ID],$C91,tblShipment[Item Code],$D91)=0),"Item not in this shipment",IF(AND($H91&lt;&gt;"",COUNTIFS(tblCouriers[Courier],$H91,tblCouriers[Market],$B91)=0),"Courier not in this market","OK")))))))))))))))</f>
        <v>OK</v>
      </c>
    </row>
    <row r="92" customFormat="false" ht="15" hidden="false" customHeight="false" outlineLevel="0" collapsed="false">
      <c r="A92" s="27" t="n">
        <v>46225</v>
      </c>
      <c r="B92" s="26" t="s">
        <v>85</v>
      </c>
      <c r="C92" s="26" t="s">
        <v>139</v>
      </c>
      <c r="D92" s="26"/>
      <c r="E92" s="26" t="s">
        <v>106</v>
      </c>
      <c r="F92" s="28" t="n">
        <v>45</v>
      </c>
      <c r="G92" s="28" t="n">
        <v>7</v>
      </c>
      <c r="H92" s="26" t="s">
        <v>96</v>
      </c>
      <c r="I92" s="26"/>
      <c r="J92" s="26"/>
      <c r="K92" s="29" t="str">
        <f aca="false">IF($A92="","",IF(COUNTIFS(tblMoveTypes[Movement],$E92)=0,"Unknown movement type",IF(COUNTIF(tblShipment[Shipment ID],$C92)=0,"Unknown shipment",IF(COUNTIFS(tblShipment[Shipment ID],$C92,tblShipment[Market],$B92)=0,"Market does not match shipment",IF(AND(IFERROR(INDEX(tblMoveTypes[Item?],MATCH($E92,tblMoveTypes[Movement],0)),"?")="Yes",$D92=""),"Item needed",IF(AND(IFERROR(INDEX(tblMoveTypes[Item?],MATCH($E92,tblMoveTypes[Movement],0)),"?")="No",$D92&lt;&gt;""),"Leave Item blank",IF(AND(IFERROR(INDEX(tblMoveTypes[Courier?],MATCH($E92,tblMoveTypes[Movement],0)),"?")="Yes",$H92=""),"Courier needed",IF(AND(IFERROR(INDEX(tblMoveTypes[Courier?],MATCH($E92,tblMoveTypes[Movement],0)),"?")="No",$H92&lt;&gt;""),"Leave Courier blank",IF(AND(IFERROR(INDEX(tblMoveTypes[Orders?],MATCH($E92,tblMoveTypes[Movement],0)),"?")="Yes",$G92=""),"Orders needed",IF(AND(IFERROR(INDEX(tblMoveTypes[Orders?],MATCH($E92,tblMoveTypes[Movement],0)),"?")="No",$G92&lt;&gt;""),"Leave Orders blank",IF(AND(IFERROR(INDEX(tblMoveTypes[Reason?],MATCH($E92,tblMoveTypes[Movement],0)),"?")="Yes",$I92=""),"Reason needed",IF(AND(IFERROR(INDEX(tblMoveTypes[Qty?],MATCH($E92,tblMoveTypes[Movement],0)),"?")="Yes",N($F92)&lt;=0),"Qty needed",IF($A92&lt;_xlfn.MINIFS(tblShipment[Arrival Date],tblShipment[Shipment ID],$C92),"Date before arrival",IF(AND($D92&lt;&gt;"",COUNTIFS(tblShipment[Shipment ID],$C92,tblShipment[Item Code],$D92)=0),"Item not in this shipment",IF(AND($H92&lt;&gt;"",COUNTIFS(tblCouriers[Courier],$H92,tblCouriers[Market],$B92)=0),"Courier not in this market","OK")))))))))))))))</f>
        <v>OK</v>
      </c>
    </row>
    <row r="93" customFormat="false" ht="15" hidden="false" customHeight="false" outlineLevel="0" collapsed="false">
      <c r="A93" s="27" t="n">
        <v>46225</v>
      </c>
      <c r="B93" s="26" t="s">
        <v>78</v>
      </c>
      <c r="C93" s="26" t="s">
        <v>131</v>
      </c>
      <c r="D93" s="26"/>
      <c r="E93" s="26" t="s">
        <v>106</v>
      </c>
      <c r="F93" s="28" t="n">
        <v>28</v>
      </c>
      <c r="G93" s="28" t="n">
        <v>4</v>
      </c>
      <c r="H93" s="26" t="s">
        <v>86</v>
      </c>
      <c r="I93" s="26"/>
      <c r="J93" s="26"/>
      <c r="K93" s="29" t="str">
        <f aca="false">IF($A93="","",IF(COUNTIFS(tblMoveTypes[Movement],$E93)=0,"Unknown movement type",IF(COUNTIF(tblShipment[Shipment ID],$C93)=0,"Unknown shipment",IF(COUNTIFS(tblShipment[Shipment ID],$C93,tblShipment[Market],$B93)=0,"Market does not match shipment",IF(AND(IFERROR(INDEX(tblMoveTypes[Item?],MATCH($E93,tblMoveTypes[Movement],0)),"?")="Yes",$D93=""),"Item needed",IF(AND(IFERROR(INDEX(tblMoveTypes[Item?],MATCH($E93,tblMoveTypes[Movement],0)),"?")="No",$D93&lt;&gt;""),"Leave Item blank",IF(AND(IFERROR(INDEX(tblMoveTypes[Courier?],MATCH($E93,tblMoveTypes[Movement],0)),"?")="Yes",$H93=""),"Courier needed",IF(AND(IFERROR(INDEX(tblMoveTypes[Courier?],MATCH($E93,tblMoveTypes[Movement],0)),"?")="No",$H93&lt;&gt;""),"Leave Courier blank",IF(AND(IFERROR(INDEX(tblMoveTypes[Orders?],MATCH($E93,tblMoveTypes[Movement],0)),"?")="Yes",$G93=""),"Orders needed",IF(AND(IFERROR(INDEX(tblMoveTypes[Orders?],MATCH($E93,tblMoveTypes[Movement],0)),"?")="No",$G93&lt;&gt;""),"Leave Orders blank",IF(AND(IFERROR(INDEX(tblMoveTypes[Reason?],MATCH($E93,tblMoveTypes[Movement],0)),"?")="Yes",$I93=""),"Reason needed",IF(AND(IFERROR(INDEX(tblMoveTypes[Qty?],MATCH($E93,tblMoveTypes[Movement],0)),"?")="Yes",N($F93)&lt;=0),"Qty needed",IF($A93&lt;_xlfn.MINIFS(tblShipment[Arrival Date],tblShipment[Shipment ID],$C93),"Date before arrival",IF(AND($D93&lt;&gt;"",COUNTIFS(tblShipment[Shipment ID],$C93,tblShipment[Item Code],$D93)=0),"Item not in this shipment",IF(AND($H93&lt;&gt;"",COUNTIFS(tblCouriers[Courier],$H93,tblCouriers[Market],$B93)=0),"Courier not in this market","OK")))))))))))))))</f>
        <v>OK</v>
      </c>
    </row>
    <row r="94" customFormat="false" ht="15" hidden="false" customHeight="false" outlineLevel="0" collapsed="false">
      <c r="A94" s="27" t="n">
        <v>46225</v>
      </c>
      <c r="B94" s="26" t="s">
        <v>78</v>
      </c>
      <c r="C94" s="26" t="s">
        <v>131</v>
      </c>
      <c r="D94" s="26"/>
      <c r="E94" s="26" t="s">
        <v>106</v>
      </c>
      <c r="F94" s="28" t="n">
        <v>4</v>
      </c>
      <c r="G94" s="28" t="n">
        <v>1</v>
      </c>
      <c r="H94" s="26" t="s">
        <v>79</v>
      </c>
      <c r="I94" s="26"/>
      <c r="J94" s="26"/>
      <c r="K94" s="29" t="str">
        <f aca="false">IF($A94="","",IF(COUNTIFS(tblMoveTypes[Movement],$E94)=0,"Unknown movement type",IF(COUNTIF(tblShipment[Shipment ID],$C94)=0,"Unknown shipment",IF(COUNTIFS(tblShipment[Shipment ID],$C94,tblShipment[Market],$B94)=0,"Market does not match shipment",IF(AND(IFERROR(INDEX(tblMoveTypes[Item?],MATCH($E94,tblMoveTypes[Movement],0)),"?")="Yes",$D94=""),"Item needed",IF(AND(IFERROR(INDEX(tblMoveTypes[Item?],MATCH($E94,tblMoveTypes[Movement],0)),"?")="No",$D94&lt;&gt;""),"Leave Item blank",IF(AND(IFERROR(INDEX(tblMoveTypes[Courier?],MATCH($E94,tblMoveTypes[Movement],0)),"?")="Yes",$H94=""),"Courier needed",IF(AND(IFERROR(INDEX(tblMoveTypes[Courier?],MATCH($E94,tblMoveTypes[Movement],0)),"?")="No",$H94&lt;&gt;""),"Leave Courier blank",IF(AND(IFERROR(INDEX(tblMoveTypes[Orders?],MATCH($E94,tblMoveTypes[Movement],0)),"?")="Yes",$G94=""),"Orders needed",IF(AND(IFERROR(INDEX(tblMoveTypes[Orders?],MATCH($E94,tblMoveTypes[Movement],0)),"?")="No",$G94&lt;&gt;""),"Leave Orders blank",IF(AND(IFERROR(INDEX(tblMoveTypes[Reason?],MATCH($E94,tblMoveTypes[Movement],0)),"?")="Yes",$I94=""),"Reason needed",IF(AND(IFERROR(INDEX(tblMoveTypes[Qty?],MATCH($E94,tblMoveTypes[Movement],0)),"?")="Yes",N($F94)&lt;=0),"Qty needed",IF($A94&lt;_xlfn.MINIFS(tblShipment[Arrival Date],tblShipment[Shipment ID],$C94),"Date before arrival",IF(AND($D94&lt;&gt;"",COUNTIFS(tblShipment[Shipment ID],$C94,tblShipment[Item Code],$D94)=0),"Item not in this shipment",IF(AND($H94&lt;&gt;"",COUNTIFS(tblCouriers[Courier],$H94,tblCouriers[Market],$B94)=0),"Courier not in this market","OK")))))))))))))))</f>
        <v>OK</v>
      </c>
    </row>
    <row r="95" customFormat="false" ht="15" hidden="false" customHeight="false" outlineLevel="0" collapsed="false">
      <c r="A95" s="27" t="n">
        <v>46225</v>
      </c>
      <c r="B95" s="26" t="s">
        <v>78</v>
      </c>
      <c r="C95" s="26" t="s">
        <v>132</v>
      </c>
      <c r="D95" s="26" t="s">
        <v>83</v>
      </c>
      <c r="E95" s="26" t="s">
        <v>74</v>
      </c>
      <c r="F95" s="28" t="n">
        <v>100</v>
      </c>
      <c r="G95" s="28"/>
      <c r="H95" s="26"/>
      <c r="I95" s="26"/>
      <c r="J95" s="26"/>
      <c r="K95" s="29" t="str">
        <f aca="false">IF($A95="","",IF(COUNTIFS(tblMoveTypes[Movement],$E95)=0,"Unknown movement type",IF(COUNTIF(tblShipment[Shipment ID],$C95)=0,"Unknown shipment",IF(COUNTIFS(tblShipment[Shipment ID],$C95,tblShipment[Market],$B95)=0,"Market does not match shipment",IF(AND(IFERROR(INDEX(tblMoveTypes[Item?],MATCH($E95,tblMoveTypes[Movement],0)),"?")="Yes",$D95=""),"Item needed",IF(AND(IFERROR(INDEX(tblMoveTypes[Item?],MATCH($E95,tblMoveTypes[Movement],0)),"?")="No",$D95&lt;&gt;""),"Leave Item blank",IF(AND(IFERROR(INDEX(tblMoveTypes[Courier?],MATCH($E95,tblMoveTypes[Movement],0)),"?")="Yes",$H95=""),"Courier needed",IF(AND(IFERROR(INDEX(tblMoveTypes[Courier?],MATCH($E95,tblMoveTypes[Movement],0)),"?")="No",$H95&lt;&gt;""),"Leave Courier blank",IF(AND(IFERROR(INDEX(tblMoveTypes[Orders?],MATCH($E95,tblMoveTypes[Movement],0)),"?")="Yes",$G95=""),"Orders needed",IF(AND(IFERROR(INDEX(tblMoveTypes[Orders?],MATCH($E95,tblMoveTypes[Movement],0)),"?")="No",$G95&lt;&gt;""),"Leave Orders blank",IF(AND(IFERROR(INDEX(tblMoveTypes[Reason?],MATCH($E95,tblMoveTypes[Movement],0)),"?")="Yes",$I95=""),"Reason needed",IF(AND(IFERROR(INDEX(tblMoveTypes[Qty?],MATCH($E95,tblMoveTypes[Movement],0)),"?")="Yes",N($F95)&lt;=0),"Qty needed",IF($A95&lt;_xlfn.MINIFS(tblShipment[Arrival Date],tblShipment[Shipment ID],$C95),"Date before arrival",IF(AND($D95&lt;&gt;"",COUNTIFS(tblShipment[Shipment ID],$C95,tblShipment[Item Code],$D95)=0),"Item not in this shipment",IF(AND($H95&lt;&gt;"",COUNTIFS(tblCouriers[Courier],$H95,tblCouriers[Market],$B95)=0),"Courier not in this market","OK")))))))))))))))</f>
        <v>OK</v>
      </c>
    </row>
    <row r="96" customFormat="false" ht="15" hidden="false" customHeight="false" outlineLevel="0" collapsed="false">
      <c r="A96" s="27" t="n">
        <v>46225</v>
      </c>
      <c r="B96" s="26" t="s">
        <v>78</v>
      </c>
      <c r="C96" s="26" t="s">
        <v>132</v>
      </c>
      <c r="D96" s="26" t="s">
        <v>94</v>
      </c>
      <c r="E96" s="26" t="s">
        <v>81</v>
      </c>
      <c r="F96" s="28" t="n">
        <v>1</v>
      </c>
      <c r="G96" s="28"/>
      <c r="H96" s="26"/>
      <c r="I96" s="26"/>
      <c r="J96" s="26" t="s">
        <v>162</v>
      </c>
      <c r="K96" s="29" t="str">
        <f aca="false">IF($A96="","",IF(COUNTIFS(tblMoveTypes[Movement],$E96)=0,"Unknown movement type",IF(COUNTIF(tblShipment[Shipment ID],$C96)=0,"Unknown shipment",IF(COUNTIFS(tblShipment[Shipment ID],$C96,tblShipment[Market],$B96)=0,"Market does not match shipment",IF(AND(IFERROR(INDEX(tblMoveTypes[Item?],MATCH($E96,tblMoveTypes[Movement],0)),"?")="Yes",$D96=""),"Item needed",IF(AND(IFERROR(INDEX(tblMoveTypes[Item?],MATCH($E96,tblMoveTypes[Movement],0)),"?")="No",$D96&lt;&gt;""),"Leave Item blank",IF(AND(IFERROR(INDEX(tblMoveTypes[Courier?],MATCH($E96,tblMoveTypes[Movement],0)),"?")="Yes",$H96=""),"Courier needed",IF(AND(IFERROR(INDEX(tblMoveTypes[Courier?],MATCH($E96,tblMoveTypes[Movement],0)),"?")="No",$H96&lt;&gt;""),"Leave Courier blank",IF(AND(IFERROR(INDEX(tblMoveTypes[Orders?],MATCH($E96,tblMoveTypes[Movement],0)),"?")="Yes",$G96=""),"Orders needed",IF(AND(IFERROR(INDEX(tblMoveTypes[Orders?],MATCH($E96,tblMoveTypes[Movement],0)),"?")="No",$G96&lt;&gt;""),"Leave Orders blank",IF(AND(IFERROR(INDEX(tblMoveTypes[Reason?],MATCH($E96,tblMoveTypes[Movement],0)),"?")="Yes",$I96=""),"Reason needed",IF(AND(IFERROR(INDEX(tblMoveTypes[Qty?],MATCH($E96,tblMoveTypes[Movement],0)),"?")="Yes",N($F96)&lt;=0),"Qty needed",IF($A96&lt;_xlfn.MINIFS(tblShipment[Arrival Date],tblShipment[Shipment ID],$C96),"Date before arrival",IF(AND($D96&lt;&gt;"",COUNTIFS(tblShipment[Shipment ID],$C96,tblShipment[Item Code],$D96)=0),"Item not in this shipment",IF(AND($H96&lt;&gt;"",COUNTIFS(tblCouriers[Courier],$H96,tblCouriers[Market],$B96)=0),"Courier not in this market","OK")))))))))))))))</f>
        <v>OK</v>
      </c>
    </row>
    <row r="97" customFormat="false" ht="15" hidden="false" customHeight="false" outlineLevel="0" collapsed="false">
      <c r="A97" s="27" t="n">
        <v>46225</v>
      </c>
      <c r="B97" s="26" t="s">
        <v>78</v>
      </c>
      <c r="C97" s="26" t="s">
        <v>132</v>
      </c>
      <c r="D97" s="26" t="s">
        <v>94</v>
      </c>
      <c r="E97" s="26" t="s">
        <v>74</v>
      </c>
      <c r="F97" s="28" t="n">
        <v>59</v>
      </c>
      <c r="G97" s="28"/>
      <c r="H97" s="26"/>
      <c r="I97" s="26"/>
      <c r="J97" s="26"/>
      <c r="K97" s="29" t="str">
        <f aca="false">IF($A97="","",IF(COUNTIFS(tblMoveTypes[Movement],$E97)=0,"Unknown movement type",IF(COUNTIF(tblShipment[Shipment ID],$C97)=0,"Unknown shipment",IF(COUNTIFS(tblShipment[Shipment ID],$C97,tblShipment[Market],$B97)=0,"Market does not match shipment",IF(AND(IFERROR(INDEX(tblMoveTypes[Item?],MATCH($E97,tblMoveTypes[Movement],0)),"?")="Yes",$D97=""),"Item needed",IF(AND(IFERROR(INDEX(tblMoveTypes[Item?],MATCH($E97,tblMoveTypes[Movement],0)),"?")="No",$D97&lt;&gt;""),"Leave Item blank",IF(AND(IFERROR(INDEX(tblMoveTypes[Courier?],MATCH($E97,tblMoveTypes[Movement],0)),"?")="Yes",$H97=""),"Courier needed",IF(AND(IFERROR(INDEX(tblMoveTypes[Courier?],MATCH($E97,tblMoveTypes[Movement],0)),"?")="No",$H97&lt;&gt;""),"Leave Courier blank",IF(AND(IFERROR(INDEX(tblMoveTypes[Orders?],MATCH($E97,tblMoveTypes[Movement],0)),"?")="Yes",$G97=""),"Orders needed",IF(AND(IFERROR(INDEX(tblMoveTypes[Orders?],MATCH($E97,tblMoveTypes[Movement],0)),"?")="No",$G97&lt;&gt;""),"Leave Orders blank",IF(AND(IFERROR(INDEX(tblMoveTypes[Reason?],MATCH($E97,tblMoveTypes[Movement],0)),"?")="Yes",$I97=""),"Reason needed",IF(AND(IFERROR(INDEX(tblMoveTypes[Qty?],MATCH($E97,tblMoveTypes[Movement],0)),"?")="Yes",N($F97)&lt;=0),"Qty needed",IF($A97&lt;_xlfn.MINIFS(tblShipment[Arrival Date],tblShipment[Shipment ID],$C97),"Date before arrival",IF(AND($D97&lt;&gt;"",COUNTIFS(tblShipment[Shipment ID],$C97,tblShipment[Item Code],$D97)=0),"Item not in this shipment",IF(AND($H97&lt;&gt;"",COUNTIFS(tblCouriers[Courier],$H97,tblCouriers[Market],$B97)=0),"Courier not in this market","OK")))))))))))))))</f>
        <v>OK</v>
      </c>
    </row>
    <row r="98" customFormat="false" ht="15" hidden="false" customHeight="false" outlineLevel="0" collapsed="false">
      <c r="A98" s="27" t="n">
        <v>46225</v>
      </c>
      <c r="B98" s="26" t="s">
        <v>78</v>
      </c>
      <c r="C98" s="26" t="s">
        <v>132</v>
      </c>
      <c r="D98" s="26" t="s">
        <v>76</v>
      </c>
      <c r="E98" s="26" t="s">
        <v>81</v>
      </c>
      <c r="F98" s="28" t="n">
        <v>2</v>
      </c>
      <c r="G98" s="28"/>
      <c r="H98" s="26"/>
      <c r="I98" s="26"/>
      <c r="J98" s="26" t="s">
        <v>162</v>
      </c>
      <c r="K98" s="29" t="str">
        <f aca="false">IF($A98="","",IF(COUNTIFS(tblMoveTypes[Movement],$E98)=0,"Unknown movement type",IF(COUNTIF(tblShipment[Shipment ID],$C98)=0,"Unknown shipment",IF(COUNTIFS(tblShipment[Shipment ID],$C98,tblShipment[Market],$B98)=0,"Market does not match shipment",IF(AND(IFERROR(INDEX(tblMoveTypes[Item?],MATCH($E98,tblMoveTypes[Movement],0)),"?")="Yes",$D98=""),"Item needed",IF(AND(IFERROR(INDEX(tblMoveTypes[Item?],MATCH($E98,tblMoveTypes[Movement],0)),"?")="No",$D98&lt;&gt;""),"Leave Item blank",IF(AND(IFERROR(INDEX(tblMoveTypes[Courier?],MATCH($E98,tblMoveTypes[Movement],0)),"?")="Yes",$H98=""),"Courier needed",IF(AND(IFERROR(INDEX(tblMoveTypes[Courier?],MATCH($E98,tblMoveTypes[Movement],0)),"?")="No",$H98&lt;&gt;""),"Leave Courier blank",IF(AND(IFERROR(INDEX(tblMoveTypes[Orders?],MATCH($E98,tblMoveTypes[Movement],0)),"?")="Yes",$G98=""),"Orders needed",IF(AND(IFERROR(INDEX(tblMoveTypes[Orders?],MATCH($E98,tblMoveTypes[Movement],0)),"?")="No",$G98&lt;&gt;""),"Leave Orders blank",IF(AND(IFERROR(INDEX(tblMoveTypes[Reason?],MATCH($E98,tblMoveTypes[Movement],0)),"?")="Yes",$I98=""),"Reason needed",IF(AND(IFERROR(INDEX(tblMoveTypes[Qty?],MATCH($E98,tblMoveTypes[Movement],0)),"?")="Yes",N($F98)&lt;=0),"Qty needed",IF($A98&lt;_xlfn.MINIFS(tblShipment[Arrival Date],tblShipment[Shipment ID],$C98),"Date before arrival",IF(AND($D98&lt;&gt;"",COUNTIFS(tblShipment[Shipment ID],$C98,tblShipment[Item Code],$D98)=0),"Item not in this shipment",IF(AND($H98&lt;&gt;"",COUNTIFS(tblCouriers[Courier],$H98,tblCouriers[Market],$B98)=0),"Courier not in this market","OK")))))))))))))))</f>
        <v>OK</v>
      </c>
    </row>
    <row r="99" customFormat="false" ht="15" hidden="false" customHeight="false" outlineLevel="0" collapsed="false">
      <c r="A99" s="27" t="n">
        <v>46225</v>
      </c>
      <c r="B99" s="26" t="s">
        <v>78</v>
      </c>
      <c r="C99" s="26" t="s">
        <v>132</v>
      </c>
      <c r="D99" s="26" t="s">
        <v>76</v>
      </c>
      <c r="E99" s="26" t="s">
        <v>74</v>
      </c>
      <c r="F99" s="28" t="n">
        <v>58</v>
      </c>
      <c r="G99" s="28"/>
      <c r="H99" s="26"/>
      <c r="I99" s="26"/>
      <c r="J99" s="26"/>
      <c r="K99" s="29" t="str">
        <f aca="false">IF($A99="","",IF(COUNTIFS(tblMoveTypes[Movement],$E99)=0,"Unknown movement type",IF(COUNTIF(tblShipment[Shipment ID],$C99)=0,"Unknown shipment",IF(COUNTIFS(tblShipment[Shipment ID],$C99,tblShipment[Market],$B99)=0,"Market does not match shipment",IF(AND(IFERROR(INDEX(tblMoveTypes[Item?],MATCH($E99,tblMoveTypes[Movement],0)),"?")="Yes",$D99=""),"Item needed",IF(AND(IFERROR(INDEX(tblMoveTypes[Item?],MATCH($E99,tblMoveTypes[Movement],0)),"?")="No",$D99&lt;&gt;""),"Leave Item blank",IF(AND(IFERROR(INDEX(tblMoveTypes[Courier?],MATCH($E99,tblMoveTypes[Movement],0)),"?")="Yes",$H99=""),"Courier needed",IF(AND(IFERROR(INDEX(tblMoveTypes[Courier?],MATCH($E99,tblMoveTypes[Movement],0)),"?")="No",$H99&lt;&gt;""),"Leave Courier blank",IF(AND(IFERROR(INDEX(tblMoveTypes[Orders?],MATCH($E99,tblMoveTypes[Movement],0)),"?")="Yes",$G99=""),"Orders needed",IF(AND(IFERROR(INDEX(tblMoveTypes[Orders?],MATCH($E99,tblMoveTypes[Movement],0)),"?")="No",$G99&lt;&gt;""),"Leave Orders blank",IF(AND(IFERROR(INDEX(tblMoveTypes[Reason?],MATCH($E99,tblMoveTypes[Movement],0)),"?")="Yes",$I99=""),"Reason needed",IF(AND(IFERROR(INDEX(tblMoveTypes[Qty?],MATCH($E99,tblMoveTypes[Movement],0)),"?")="Yes",N($F99)&lt;=0),"Qty needed",IF($A99&lt;_xlfn.MINIFS(tblShipment[Arrival Date],tblShipment[Shipment ID],$C99),"Date before arrival",IF(AND($D99&lt;&gt;"",COUNTIFS(tblShipment[Shipment ID],$C99,tblShipment[Item Code],$D99)=0),"Item not in this shipment",IF(AND($H99&lt;&gt;"",COUNTIFS(tblCouriers[Courier],$H99,tblCouriers[Market],$B99)=0),"Courier not in this market","OK")))))))))))))))</f>
        <v>OK</v>
      </c>
    </row>
    <row r="100" customFormat="false" ht="15" hidden="false" customHeight="false" outlineLevel="0" collapsed="false">
      <c r="A100" s="27" t="n">
        <v>46225</v>
      </c>
      <c r="B100" s="26" t="s">
        <v>78</v>
      </c>
      <c r="C100" s="26" t="s">
        <v>132</v>
      </c>
      <c r="D100" s="26"/>
      <c r="E100" s="26" t="s">
        <v>98</v>
      </c>
      <c r="F100" s="28"/>
      <c r="G100" s="28" t="n">
        <v>31</v>
      </c>
      <c r="H100" s="26"/>
      <c r="I100" s="26"/>
      <c r="J100" s="26"/>
      <c r="K100" s="29" t="str">
        <f aca="false">IF($A100="","",IF(COUNTIFS(tblMoveTypes[Movement],$E100)=0,"Unknown movement type",IF(COUNTIF(tblShipment[Shipment ID],$C100)=0,"Unknown shipment",IF(COUNTIFS(tblShipment[Shipment ID],$C100,tblShipment[Market],$B100)=0,"Market does not match shipment",IF(AND(IFERROR(INDEX(tblMoveTypes[Item?],MATCH($E100,tblMoveTypes[Movement],0)),"?")="Yes",$D100=""),"Item needed",IF(AND(IFERROR(INDEX(tblMoveTypes[Item?],MATCH($E100,tblMoveTypes[Movement],0)),"?")="No",$D100&lt;&gt;""),"Leave Item blank",IF(AND(IFERROR(INDEX(tblMoveTypes[Courier?],MATCH($E100,tblMoveTypes[Movement],0)),"?")="Yes",$H100=""),"Courier needed",IF(AND(IFERROR(INDEX(tblMoveTypes[Courier?],MATCH($E100,tblMoveTypes[Movement],0)),"?")="No",$H100&lt;&gt;""),"Leave Courier blank",IF(AND(IFERROR(INDEX(tblMoveTypes[Orders?],MATCH($E100,tblMoveTypes[Movement],0)),"?")="Yes",$G100=""),"Orders needed",IF(AND(IFERROR(INDEX(tblMoveTypes[Orders?],MATCH($E100,tblMoveTypes[Movement],0)),"?")="No",$G100&lt;&gt;""),"Leave Orders blank",IF(AND(IFERROR(INDEX(tblMoveTypes[Reason?],MATCH($E100,tblMoveTypes[Movement],0)),"?")="Yes",$I100=""),"Reason needed",IF(AND(IFERROR(INDEX(tblMoveTypes[Qty?],MATCH($E100,tblMoveTypes[Movement],0)),"?")="Yes",N($F100)&lt;=0),"Qty needed",IF($A100&lt;_xlfn.MINIFS(tblShipment[Arrival Date],tblShipment[Shipment ID],$C100),"Date before arrival",IF(AND($D100&lt;&gt;"",COUNTIFS(tblShipment[Shipment ID],$C100,tblShipment[Item Code],$D100)=0),"Item not in this shipment",IF(AND($H100&lt;&gt;"",COUNTIFS(tblCouriers[Courier],$H100,tblCouriers[Market],$B100)=0),"Courier not in this market","OK")))))))))))))))</f>
        <v>OK</v>
      </c>
    </row>
    <row r="101" customFormat="false" ht="15" hidden="false" customHeight="false" outlineLevel="0" collapsed="false">
      <c r="A101" s="27" t="n">
        <v>46225</v>
      </c>
      <c r="B101" s="26" t="s">
        <v>78</v>
      </c>
      <c r="C101" s="26" t="s">
        <v>132</v>
      </c>
      <c r="D101" s="26" t="s">
        <v>83</v>
      </c>
      <c r="E101" s="26" t="s">
        <v>73</v>
      </c>
      <c r="F101" s="28" t="n">
        <v>6</v>
      </c>
      <c r="G101" s="28"/>
      <c r="H101" s="26"/>
      <c r="I101" s="26" t="s">
        <v>80</v>
      </c>
      <c r="J101" s="26"/>
      <c r="K101" s="29" t="str">
        <f aca="false">IF($A101="","",IF(COUNTIFS(tblMoveTypes[Movement],$E101)=0,"Unknown movement type",IF(COUNTIF(tblShipment[Shipment ID],$C101)=0,"Unknown shipment",IF(COUNTIFS(tblShipment[Shipment ID],$C101,tblShipment[Market],$B101)=0,"Market does not match shipment",IF(AND(IFERROR(INDEX(tblMoveTypes[Item?],MATCH($E101,tblMoveTypes[Movement],0)),"?")="Yes",$D101=""),"Item needed",IF(AND(IFERROR(INDEX(tblMoveTypes[Item?],MATCH($E101,tblMoveTypes[Movement],0)),"?")="No",$D101&lt;&gt;""),"Leave Item blank",IF(AND(IFERROR(INDEX(tblMoveTypes[Courier?],MATCH($E101,tblMoveTypes[Movement],0)),"?")="Yes",$H101=""),"Courier needed",IF(AND(IFERROR(INDEX(tblMoveTypes[Courier?],MATCH($E101,tblMoveTypes[Movement],0)),"?")="No",$H101&lt;&gt;""),"Leave Courier blank",IF(AND(IFERROR(INDEX(tblMoveTypes[Orders?],MATCH($E101,tblMoveTypes[Movement],0)),"?")="Yes",$G101=""),"Orders needed",IF(AND(IFERROR(INDEX(tblMoveTypes[Orders?],MATCH($E101,tblMoveTypes[Movement],0)),"?")="No",$G101&lt;&gt;""),"Leave Orders blank",IF(AND(IFERROR(INDEX(tblMoveTypes[Reason?],MATCH($E101,tblMoveTypes[Movement],0)),"?")="Yes",$I101=""),"Reason needed",IF(AND(IFERROR(INDEX(tblMoveTypes[Qty?],MATCH($E101,tblMoveTypes[Movement],0)),"?")="Yes",N($F101)&lt;=0),"Qty needed",IF($A101&lt;_xlfn.MINIFS(tblShipment[Arrival Date],tblShipment[Shipment ID],$C101),"Date before arrival",IF(AND($D101&lt;&gt;"",COUNTIFS(tblShipment[Shipment ID],$C101,tblShipment[Item Code],$D101)=0),"Item not in this shipment",IF(AND($H101&lt;&gt;"",COUNTIFS(tblCouriers[Courier],$H101,tblCouriers[Market],$B101)=0),"Courier not in this market","OK")))))))))))))))</f>
        <v>OK</v>
      </c>
    </row>
    <row r="102" customFormat="false" ht="15" hidden="false" customHeight="false" outlineLevel="0" collapsed="false">
      <c r="A102" s="27" t="n">
        <v>46225</v>
      </c>
      <c r="B102" s="26" t="s">
        <v>78</v>
      </c>
      <c r="C102" s="26" t="s">
        <v>132</v>
      </c>
      <c r="D102" s="26" t="s">
        <v>94</v>
      </c>
      <c r="E102" s="26" t="s">
        <v>73</v>
      </c>
      <c r="F102" s="28" t="n">
        <v>4</v>
      </c>
      <c r="G102" s="28"/>
      <c r="H102" s="26"/>
      <c r="I102" s="26" t="s">
        <v>80</v>
      </c>
      <c r="J102" s="26"/>
      <c r="K102" s="29" t="str">
        <f aca="false">IF($A102="","",IF(COUNTIFS(tblMoveTypes[Movement],$E102)=0,"Unknown movement type",IF(COUNTIF(tblShipment[Shipment ID],$C102)=0,"Unknown shipment",IF(COUNTIFS(tblShipment[Shipment ID],$C102,tblShipment[Market],$B102)=0,"Market does not match shipment",IF(AND(IFERROR(INDEX(tblMoveTypes[Item?],MATCH($E102,tblMoveTypes[Movement],0)),"?")="Yes",$D102=""),"Item needed",IF(AND(IFERROR(INDEX(tblMoveTypes[Item?],MATCH($E102,tblMoveTypes[Movement],0)),"?")="No",$D102&lt;&gt;""),"Leave Item blank",IF(AND(IFERROR(INDEX(tblMoveTypes[Courier?],MATCH($E102,tblMoveTypes[Movement],0)),"?")="Yes",$H102=""),"Courier needed",IF(AND(IFERROR(INDEX(tblMoveTypes[Courier?],MATCH($E102,tblMoveTypes[Movement],0)),"?")="No",$H102&lt;&gt;""),"Leave Courier blank",IF(AND(IFERROR(INDEX(tblMoveTypes[Orders?],MATCH($E102,tblMoveTypes[Movement],0)),"?")="Yes",$G102=""),"Orders needed",IF(AND(IFERROR(INDEX(tblMoveTypes[Orders?],MATCH($E102,tblMoveTypes[Movement],0)),"?")="No",$G102&lt;&gt;""),"Leave Orders blank",IF(AND(IFERROR(INDEX(tblMoveTypes[Reason?],MATCH($E102,tblMoveTypes[Movement],0)),"?")="Yes",$I102=""),"Reason needed",IF(AND(IFERROR(INDEX(tblMoveTypes[Qty?],MATCH($E102,tblMoveTypes[Movement],0)),"?")="Yes",N($F102)&lt;=0),"Qty needed",IF($A102&lt;_xlfn.MINIFS(tblShipment[Arrival Date],tblShipment[Shipment ID],$C102),"Date before arrival",IF(AND($D102&lt;&gt;"",COUNTIFS(tblShipment[Shipment ID],$C102,tblShipment[Item Code],$D102)=0),"Item not in this shipment",IF(AND($H102&lt;&gt;"",COUNTIFS(tblCouriers[Courier],$H102,tblCouriers[Market],$B102)=0),"Courier not in this market","OK")))))))))))))))</f>
        <v>OK</v>
      </c>
    </row>
    <row r="103" customFormat="false" ht="15" hidden="false" customHeight="false" outlineLevel="0" collapsed="false">
      <c r="A103" s="27" t="n">
        <v>46225</v>
      </c>
      <c r="B103" s="26" t="s">
        <v>78</v>
      </c>
      <c r="C103" s="26" t="s">
        <v>132</v>
      </c>
      <c r="D103" s="26" t="s">
        <v>76</v>
      </c>
      <c r="E103" s="26" t="s">
        <v>73</v>
      </c>
      <c r="F103" s="28" t="n">
        <v>2</v>
      </c>
      <c r="G103" s="28"/>
      <c r="H103" s="26"/>
      <c r="I103" s="26" t="s">
        <v>80</v>
      </c>
      <c r="J103" s="26"/>
      <c r="K103" s="29" t="str">
        <f aca="false">IF($A103="","",IF(COUNTIFS(tblMoveTypes[Movement],$E103)=0,"Unknown movement type",IF(COUNTIF(tblShipment[Shipment ID],$C103)=0,"Unknown shipment",IF(COUNTIFS(tblShipment[Shipment ID],$C103,tblShipment[Market],$B103)=0,"Market does not match shipment",IF(AND(IFERROR(INDEX(tblMoveTypes[Item?],MATCH($E103,tblMoveTypes[Movement],0)),"?")="Yes",$D103=""),"Item needed",IF(AND(IFERROR(INDEX(tblMoveTypes[Item?],MATCH($E103,tblMoveTypes[Movement],0)),"?")="No",$D103&lt;&gt;""),"Leave Item blank",IF(AND(IFERROR(INDEX(tblMoveTypes[Courier?],MATCH($E103,tblMoveTypes[Movement],0)),"?")="Yes",$H103=""),"Courier needed",IF(AND(IFERROR(INDEX(tblMoveTypes[Courier?],MATCH($E103,tblMoveTypes[Movement],0)),"?")="No",$H103&lt;&gt;""),"Leave Courier blank",IF(AND(IFERROR(INDEX(tblMoveTypes[Orders?],MATCH($E103,tblMoveTypes[Movement],0)),"?")="Yes",$G103=""),"Orders needed",IF(AND(IFERROR(INDEX(tblMoveTypes[Orders?],MATCH($E103,tblMoveTypes[Movement],0)),"?")="No",$G103&lt;&gt;""),"Leave Orders blank",IF(AND(IFERROR(INDEX(tblMoveTypes[Reason?],MATCH($E103,tblMoveTypes[Movement],0)),"?")="Yes",$I103=""),"Reason needed",IF(AND(IFERROR(INDEX(tblMoveTypes[Qty?],MATCH($E103,tblMoveTypes[Movement],0)),"?")="Yes",N($F103)&lt;=0),"Qty needed",IF($A103&lt;_xlfn.MINIFS(tblShipment[Arrival Date],tblShipment[Shipment ID],$C103),"Date before arrival",IF(AND($D103&lt;&gt;"",COUNTIFS(tblShipment[Shipment ID],$C103,tblShipment[Item Code],$D103)=0),"Item not in this shipment",IF(AND($H103&lt;&gt;"",COUNTIFS(tblCouriers[Courier],$H103,tblCouriers[Market],$B103)=0),"Courier not in this market","OK")))))))))))))))</f>
        <v>OK</v>
      </c>
    </row>
    <row r="104" customFormat="false" ht="15" hidden="false" customHeight="false" outlineLevel="0" collapsed="false">
      <c r="A104" s="27" t="n">
        <v>46225</v>
      </c>
      <c r="B104" s="26" t="s">
        <v>78</v>
      </c>
      <c r="C104" s="26" t="s">
        <v>132</v>
      </c>
      <c r="D104" s="26" t="s">
        <v>83</v>
      </c>
      <c r="E104" s="26" t="s">
        <v>93</v>
      </c>
      <c r="F104" s="28" t="n">
        <v>56</v>
      </c>
      <c r="G104" s="28"/>
      <c r="H104" s="26" t="s">
        <v>79</v>
      </c>
      <c r="I104" s="26"/>
      <c r="J104" s="26"/>
      <c r="K104" s="29" t="str">
        <f aca="false">IF($A104="","",IF(COUNTIFS(tblMoveTypes[Movement],$E104)=0,"Unknown movement type",IF(COUNTIF(tblShipment[Shipment ID],$C104)=0,"Unknown shipment",IF(COUNTIFS(tblShipment[Shipment ID],$C104,tblShipment[Market],$B104)=0,"Market does not match shipment",IF(AND(IFERROR(INDEX(tblMoveTypes[Item?],MATCH($E104,tblMoveTypes[Movement],0)),"?")="Yes",$D104=""),"Item needed",IF(AND(IFERROR(INDEX(tblMoveTypes[Item?],MATCH($E104,tblMoveTypes[Movement],0)),"?")="No",$D104&lt;&gt;""),"Leave Item blank",IF(AND(IFERROR(INDEX(tblMoveTypes[Courier?],MATCH($E104,tblMoveTypes[Movement],0)),"?")="Yes",$H104=""),"Courier needed",IF(AND(IFERROR(INDEX(tblMoveTypes[Courier?],MATCH($E104,tblMoveTypes[Movement],0)),"?")="No",$H104&lt;&gt;""),"Leave Courier blank",IF(AND(IFERROR(INDEX(tblMoveTypes[Orders?],MATCH($E104,tblMoveTypes[Movement],0)),"?")="Yes",$G104=""),"Orders needed",IF(AND(IFERROR(INDEX(tblMoveTypes[Orders?],MATCH($E104,tblMoveTypes[Movement],0)),"?")="No",$G104&lt;&gt;""),"Leave Orders blank",IF(AND(IFERROR(INDEX(tblMoveTypes[Reason?],MATCH($E104,tblMoveTypes[Movement],0)),"?")="Yes",$I104=""),"Reason needed",IF(AND(IFERROR(INDEX(tblMoveTypes[Qty?],MATCH($E104,tblMoveTypes[Movement],0)),"?")="Yes",N($F104)&lt;=0),"Qty needed",IF($A104&lt;_xlfn.MINIFS(tblShipment[Arrival Date],tblShipment[Shipment ID],$C104),"Date before arrival",IF(AND($D104&lt;&gt;"",COUNTIFS(tblShipment[Shipment ID],$C104,tblShipment[Item Code],$D104)=0),"Item not in this shipment",IF(AND($H104&lt;&gt;"",COUNTIFS(tblCouriers[Courier],$H104,tblCouriers[Market],$B104)=0),"Courier not in this market","OK")))))))))))))))</f>
        <v>OK</v>
      </c>
    </row>
    <row r="105" customFormat="false" ht="15" hidden="false" customHeight="false" outlineLevel="0" collapsed="false">
      <c r="A105" s="27" t="n">
        <v>46225</v>
      </c>
      <c r="B105" s="26" t="s">
        <v>78</v>
      </c>
      <c r="C105" s="26" t="s">
        <v>132</v>
      </c>
      <c r="D105" s="26" t="s">
        <v>83</v>
      </c>
      <c r="E105" s="26" t="s">
        <v>93</v>
      </c>
      <c r="F105" s="28" t="n">
        <v>38</v>
      </c>
      <c r="G105" s="28"/>
      <c r="H105" s="26" t="s">
        <v>86</v>
      </c>
      <c r="I105" s="26"/>
      <c r="J105" s="26"/>
      <c r="K105" s="29" t="str">
        <f aca="false">IF($A105="","",IF(COUNTIFS(tblMoveTypes[Movement],$E105)=0,"Unknown movement type",IF(COUNTIF(tblShipment[Shipment ID],$C105)=0,"Unknown shipment",IF(COUNTIFS(tblShipment[Shipment ID],$C105,tblShipment[Market],$B105)=0,"Market does not match shipment",IF(AND(IFERROR(INDEX(tblMoveTypes[Item?],MATCH($E105,tblMoveTypes[Movement],0)),"?")="Yes",$D105=""),"Item needed",IF(AND(IFERROR(INDEX(tblMoveTypes[Item?],MATCH($E105,tblMoveTypes[Movement],0)),"?")="No",$D105&lt;&gt;""),"Leave Item blank",IF(AND(IFERROR(INDEX(tblMoveTypes[Courier?],MATCH($E105,tblMoveTypes[Movement],0)),"?")="Yes",$H105=""),"Courier needed",IF(AND(IFERROR(INDEX(tblMoveTypes[Courier?],MATCH($E105,tblMoveTypes[Movement],0)),"?")="No",$H105&lt;&gt;""),"Leave Courier blank",IF(AND(IFERROR(INDEX(tblMoveTypes[Orders?],MATCH($E105,tblMoveTypes[Movement],0)),"?")="Yes",$G105=""),"Orders needed",IF(AND(IFERROR(INDEX(tblMoveTypes[Orders?],MATCH($E105,tblMoveTypes[Movement],0)),"?")="No",$G105&lt;&gt;""),"Leave Orders blank",IF(AND(IFERROR(INDEX(tblMoveTypes[Reason?],MATCH($E105,tblMoveTypes[Movement],0)),"?")="Yes",$I105=""),"Reason needed",IF(AND(IFERROR(INDEX(tblMoveTypes[Qty?],MATCH($E105,tblMoveTypes[Movement],0)),"?")="Yes",N($F105)&lt;=0),"Qty needed",IF($A105&lt;_xlfn.MINIFS(tblShipment[Arrival Date],tblShipment[Shipment ID],$C105),"Date before arrival",IF(AND($D105&lt;&gt;"",COUNTIFS(tblShipment[Shipment ID],$C105,tblShipment[Item Code],$D105)=0),"Item not in this shipment",IF(AND($H105&lt;&gt;"",COUNTIFS(tblCouriers[Courier],$H105,tblCouriers[Market],$B105)=0),"Courier not in this market","OK")))))))))))))))</f>
        <v>OK</v>
      </c>
    </row>
    <row r="106" customFormat="false" ht="15" hidden="false" customHeight="false" outlineLevel="0" collapsed="false">
      <c r="A106" s="27" t="n">
        <v>46225</v>
      </c>
      <c r="B106" s="26" t="s">
        <v>78</v>
      </c>
      <c r="C106" s="26" t="s">
        <v>132</v>
      </c>
      <c r="D106" s="26" t="s">
        <v>94</v>
      </c>
      <c r="E106" s="26" t="s">
        <v>93</v>
      </c>
      <c r="F106" s="28" t="n">
        <v>33</v>
      </c>
      <c r="G106" s="28"/>
      <c r="H106" s="26" t="s">
        <v>79</v>
      </c>
      <c r="I106" s="26"/>
      <c r="J106" s="26"/>
      <c r="K106" s="29" t="str">
        <f aca="false">IF($A106="","",IF(COUNTIFS(tblMoveTypes[Movement],$E106)=0,"Unknown movement type",IF(COUNTIF(tblShipment[Shipment ID],$C106)=0,"Unknown shipment",IF(COUNTIFS(tblShipment[Shipment ID],$C106,tblShipment[Market],$B106)=0,"Market does not match shipment",IF(AND(IFERROR(INDEX(tblMoveTypes[Item?],MATCH($E106,tblMoveTypes[Movement],0)),"?")="Yes",$D106=""),"Item needed",IF(AND(IFERROR(INDEX(tblMoveTypes[Item?],MATCH($E106,tblMoveTypes[Movement],0)),"?")="No",$D106&lt;&gt;""),"Leave Item blank",IF(AND(IFERROR(INDEX(tblMoveTypes[Courier?],MATCH($E106,tblMoveTypes[Movement],0)),"?")="Yes",$H106=""),"Courier needed",IF(AND(IFERROR(INDEX(tblMoveTypes[Courier?],MATCH($E106,tblMoveTypes[Movement],0)),"?")="No",$H106&lt;&gt;""),"Leave Courier blank",IF(AND(IFERROR(INDEX(tblMoveTypes[Orders?],MATCH($E106,tblMoveTypes[Movement],0)),"?")="Yes",$G106=""),"Orders needed",IF(AND(IFERROR(INDEX(tblMoveTypes[Orders?],MATCH($E106,tblMoveTypes[Movement],0)),"?")="No",$G106&lt;&gt;""),"Leave Orders blank",IF(AND(IFERROR(INDEX(tblMoveTypes[Reason?],MATCH($E106,tblMoveTypes[Movement],0)),"?")="Yes",$I106=""),"Reason needed",IF(AND(IFERROR(INDEX(tblMoveTypes[Qty?],MATCH($E106,tblMoveTypes[Movement],0)),"?")="Yes",N($F106)&lt;=0),"Qty needed",IF($A106&lt;_xlfn.MINIFS(tblShipment[Arrival Date],tblShipment[Shipment ID],$C106),"Date before arrival",IF(AND($D106&lt;&gt;"",COUNTIFS(tblShipment[Shipment ID],$C106,tblShipment[Item Code],$D106)=0),"Item not in this shipment",IF(AND($H106&lt;&gt;"",COUNTIFS(tblCouriers[Courier],$H106,tblCouriers[Market],$B106)=0),"Courier not in this market","OK")))))))))))))))</f>
        <v>OK</v>
      </c>
    </row>
    <row r="107" customFormat="false" ht="15" hidden="false" customHeight="false" outlineLevel="0" collapsed="false">
      <c r="A107" s="27" t="n">
        <v>46225</v>
      </c>
      <c r="B107" s="26" t="s">
        <v>78</v>
      </c>
      <c r="C107" s="26" t="s">
        <v>132</v>
      </c>
      <c r="D107" s="26" t="s">
        <v>94</v>
      </c>
      <c r="E107" s="26" t="s">
        <v>93</v>
      </c>
      <c r="F107" s="28" t="n">
        <v>22</v>
      </c>
      <c r="G107" s="28"/>
      <c r="H107" s="26" t="s">
        <v>86</v>
      </c>
      <c r="I107" s="26"/>
      <c r="J107" s="26"/>
      <c r="K107" s="29" t="str">
        <f aca="false">IF($A107="","",IF(COUNTIFS(tblMoveTypes[Movement],$E107)=0,"Unknown movement type",IF(COUNTIF(tblShipment[Shipment ID],$C107)=0,"Unknown shipment",IF(COUNTIFS(tblShipment[Shipment ID],$C107,tblShipment[Market],$B107)=0,"Market does not match shipment",IF(AND(IFERROR(INDEX(tblMoveTypes[Item?],MATCH($E107,tblMoveTypes[Movement],0)),"?")="Yes",$D107=""),"Item needed",IF(AND(IFERROR(INDEX(tblMoveTypes[Item?],MATCH($E107,tblMoveTypes[Movement],0)),"?")="No",$D107&lt;&gt;""),"Leave Item blank",IF(AND(IFERROR(INDEX(tblMoveTypes[Courier?],MATCH($E107,tblMoveTypes[Movement],0)),"?")="Yes",$H107=""),"Courier needed",IF(AND(IFERROR(INDEX(tblMoveTypes[Courier?],MATCH($E107,tblMoveTypes[Movement],0)),"?")="No",$H107&lt;&gt;""),"Leave Courier blank",IF(AND(IFERROR(INDEX(tblMoveTypes[Orders?],MATCH($E107,tblMoveTypes[Movement],0)),"?")="Yes",$G107=""),"Orders needed",IF(AND(IFERROR(INDEX(tblMoveTypes[Orders?],MATCH($E107,tblMoveTypes[Movement],0)),"?")="No",$G107&lt;&gt;""),"Leave Orders blank",IF(AND(IFERROR(INDEX(tblMoveTypes[Reason?],MATCH($E107,tblMoveTypes[Movement],0)),"?")="Yes",$I107=""),"Reason needed",IF(AND(IFERROR(INDEX(tblMoveTypes[Qty?],MATCH($E107,tblMoveTypes[Movement],0)),"?")="Yes",N($F107)&lt;=0),"Qty needed",IF($A107&lt;_xlfn.MINIFS(tblShipment[Arrival Date],tblShipment[Shipment ID],$C107),"Date before arrival",IF(AND($D107&lt;&gt;"",COUNTIFS(tblShipment[Shipment ID],$C107,tblShipment[Item Code],$D107)=0),"Item not in this shipment",IF(AND($H107&lt;&gt;"",COUNTIFS(tblCouriers[Courier],$H107,tblCouriers[Market],$B107)=0),"Courier not in this market","OK")))))))))))))))</f>
        <v>OK</v>
      </c>
    </row>
    <row r="108" customFormat="false" ht="15" hidden="false" customHeight="false" outlineLevel="0" collapsed="false">
      <c r="A108" s="27" t="n">
        <v>46225</v>
      </c>
      <c r="B108" s="26" t="s">
        <v>78</v>
      </c>
      <c r="C108" s="26" t="s">
        <v>132</v>
      </c>
      <c r="D108" s="26" t="s">
        <v>76</v>
      </c>
      <c r="E108" s="26" t="s">
        <v>93</v>
      </c>
      <c r="F108" s="28" t="n">
        <v>34</v>
      </c>
      <c r="G108" s="28"/>
      <c r="H108" s="26" t="s">
        <v>79</v>
      </c>
      <c r="I108" s="26"/>
      <c r="J108" s="26"/>
      <c r="K108" s="29" t="str">
        <f aca="false">IF($A108="","",IF(COUNTIFS(tblMoveTypes[Movement],$E108)=0,"Unknown movement type",IF(COUNTIF(tblShipment[Shipment ID],$C108)=0,"Unknown shipment",IF(COUNTIFS(tblShipment[Shipment ID],$C108,tblShipment[Market],$B108)=0,"Market does not match shipment",IF(AND(IFERROR(INDEX(tblMoveTypes[Item?],MATCH($E108,tblMoveTypes[Movement],0)),"?")="Yes",$D108=""),"Item needed",IF(AND(IFERROR(INDEX(tblMoveTypes[Item?],MATCH($E108,tblMoveTypes[Movement],0)),"?")="No",$D108&lt;&gt;""),"Leave Item blank",IF(AND(IFERROR(INDEX(tblMoveTypes[Courier?],MATCH($E108,tblMoveTypes[Movement],0)),"?")="Yes",$H108=""),"Courier needed",IF(AND(IFERROR(INDEX(tblMoveTypes[Courier?],MATCH($E108,tblMoveTypes[Movement],0)),"?")="No",$H108&lt;&gt;""),"Leave Courier blank",IF(AND(IFERROR(INDEX(tblMoveTypes[Orders?],MATCH($E108,tblMoveTypes[Movement],0)),"?")="Yes",$G108=""),"Orders needed",IF(AND(IFERROR(INDEX(tblMoveTypes[Orders?],MATCH($E108,tblMoveTypes[Movement],0)),"?")="No",$G108&lt;&gt;""),"Leave Orders blank",IF(AND(IFERROR(INDEX(tblMoveTypes[Reason?],MATCH($E108,tblMoveTypes[Movement],0)),"?")="Yes",$I108=""),"Reason needed",IF(AND(IFERROR(INDEX(tblMoveTypes[Qty?],MATCH($E108,tblMoveTypes[Movement],0)),"?")="Yes",N($F108)&lt;=0),"Qty needed",IF($A108&lt;_xlfn.MINIFS(tblShipment[Arrival Date],tblShipment[Shipment ID],$C108),"Date before arrival",IF(AND($D108&lt;&gt;"",COUNTIFS(tblShipment[Shipment ID],$C108,tblShipment[Item Code],$D108)=0),"Item not in this shipment",IF(AND($H108&lt;&gt;"",COUNTIFS(tblCouriers[Courier],$H108,tblCouriers[Market],$B108)=0),"Courier not in this market","OK")))))))))))))))</f>
        <v>OK</v>
      </c>
    </row>
    <row r="109" customFormat="false" ht="15" hidden="false" customHeight="false" outlineLevel="0" collapsed="false">
      <c r="A109" s="27" t="n">
        <v>46225</v>
      </c>
      <c r="B109" s="26" t="s">
        <v>78</v>
      </c>
      <c r="C109" s="26" t="s">
        <v>132</v>
      </c>
      <c r="D109" s="26" t="s">
        <v>76</v>
      </c>
      <c r="E109" s="26" t="s">
        <v>93</v>
      </c>
      <c r="F109" s="28" t="n">
        <v>22</v>
      </c>
      <c r="G109" s="28"/>
      <c r="H109" s="26" t="s">
        <v>86</v>
      </c>
      <c r="I109" s="26"/>
      <c r="J109" s="26"/>
      <c r="K109" s="29" t="str">
        <f aca="false">IF($A109="","",IF(COUNTIFS(tblMoveTypes[Movement],$E109)=0,"Unknown movement type",IF(COUNTIF(tblShipment[Shipment ID],$C109)=0,"Unknown shipment",IF(COUNTIFS(tblShipment[Shipment ID],$C109,tblShipment[Market],$B109)=0,"Market does not match shipment",IF(AND(IFERROR(INDEX(tblMoveTypes[Item?],MATCH($E109,tblMoveTypes[Movement],0)),"?")="Yes",$D109=""),"Item needed",IF(AND(IFERROR(INDEX(tblMoveTypes[Item?],MATCH($E109,tblMoveTypes[Movement],0)),"?")="No",$D109&lt;&gt;""),"Leave Item blank",IF(AND(IFERROR(INDEX(tblMoveTypes[Courier?],MATCH($E109,tblMoveTypes[Movement],0)),"?")="Yes",$H109=""),"Courier needed",IF(AND(IFERROR(INDEX(tblMoveTypes[Courier?],MATCH($E109,tblMoveTypes[Movement],0)),"?")="No",$H109&lt;&gt;""),"Leave Courier blank",IF(AND(IFERROR(INDEX(tblMoveTypes[Orders?],MATCH($E109,tblMoveTypes[Movement],0)),"?")="Yes",$G109=""),"Orders needed",IF(AND(IFERROR(INDEX(tblMoveTypes[Orders?],MATCH($E109,tblMoveTypes[Movement],0)),"?")="No",$G109&lt;&gt;""),"Leave Orders blank",IF(AND(IFERROR(INDEX(tblMoveTypes[Reason?],MATCH($E109,tblMoveTypes[Movement],0)),"?")="Yes",$I109=""),"Reason needed",IF(AND(IFERROR(INDEX(tblMoveTypes[Qty?],MATCH($E109,tblMoveTypes[Movement],0)),"?")="Yes",N($F109)&lt;=0),"Qty needed",IF($A109&lt;_xlfn.MINIFS(tblShipment[Arrival Date],tblShipment[Shipment ID],$C109),"Date before arrival",IF(AND($D109&lt;&gt;"",COUNTIFS(tblShipment[Shipment ID],$C109,tblShipment[Item Code],$D109)=0),"Item not in this shipment",IF(AND($H109&lt;&gt;"",COUNTIFS(tblCouriers[Courier],$H109,tblCouriers[Market],$B109)=0),"Courier not in this market","OK")))))))))))))))</f>
        <v>OK</v>
      </c>
    </row>
    <row r="110" customFormat="false" ht="15" hidden="false" customHeight="false" outlineLevel="0" collapsed="false">
      <c r="A110" s="27" t="n">
        <v>46225</v>
      </c>
      <c r="B110" s="26" t="s">
        <v>78</v>
      </c>
      <c r="C110" s="26" t="s">
        <v>132</v>
      </c>
      <c r="D110" s="26"/>
      <c r="E110" s="26" t="s">
        <v>104</v>
      </c>
      <c r="F110" s="28"/>
      <c r="G110" s="28" t="n">
        <v>19</v>
      </c>
      <c r="H110" s="26" t="s">
        <v>79</v>
      </c>
      <c r="I110" s="26"/>
      <c r="J110" s="26"/>
      <c r="K110" s="29" t="str">
        <f aca="false">IF($A110="","",IF(COUNTIFS(tblMoveTypes[Movement],$E110)=0,"Unknown movement type",IF(COUNTIF(tblShipment[Shipment ID],$C110)=0,"Unknown shipment",IF(COUNTIFS(tblShipment[Shipment ID],$C110,tblShipment[Market],$B110)=0,"Market does not match shipment",IF(AND(IFERROR(INDEX(tblMoveTypes[Item?],MATCH($E110,tblMoveTypes[Movement],0)),"?")="Yes",$D110=""),"Item needed",IF(AND(IFERROR(INDEX(tblMoveTypes[Item?],MATCH($E110,tblMoveTypes[Movement],0)),"?")="No",$D110&lt;&gt;""),"Leave Item blank",IF(AND(IFERROR(INDEX(tblMoveTypes[Courier?],MATCH($E110,tblMoveTypes[Movement],0)),"?")="Yes",$H110=""),"Courier needed",IF(AND(IFERROR(INDEX(tblMoveTypes[Courier?],MATCH($E110,tblMoveTypes[Movement],0)),"?")="No",$H110&lt;&gt;""),"Leave Courier blank",IF(AND(IFERROR(INDEX(tblMoveTypes[Orders?],MATCH($E110,tblMoveTypes[Movement],0)),"?")="Yes",$G110=""),"Orders needed",IF(AND(IFERROR(INDEX(tblMoveTypes[Orders?],MATCH($E110,tblMoveTypes[Movement],0)),"?")="No",$G110&lt;&gt;""),"Leave Orders blank",IF(AND(IFERROR(INDEX(tblMoveTypes[Reason?],MATCH($E110,tblMoveTypes[Movement],0)),"?")="Yes",$I110=""),"Reason needed",IF(AND(IFERROR(INDEX(tblMoveTypes[Qty?],MATCH($E110,tblMoveTypes[Movement],0)),"?")="Yes",N($F110)&lt;=0),"Qty needed",IF($A110&lt;_xlfn.MINIFS(tblShipment[Arrival Date],tblShipment[Shipment ID],$C110),"Date before arrival",IF(AND($D110&lt;&gt;"",COUNTIFS(tblShipment[Shipment ID],$C110,tblShipment[Item Code],$D110)=0),"Item not in this shipment",IF(AND($H110&lt;&gt;"",COUNTIFS(tblCouriers[Courier],$H110,tblCouriers[Market],$B110)=0),"Courier not in this market","OK")))))))))))))))</f>
        <v>OK</v>
      </c>
    </row>
    <row r="111" customFormat="false" ht="15" hidden="false" customHeight="false" outlineLevel="0" collapsed="false">
      <c r="A111" s="27" t="n">
        <v>46225</v>
      </c>
      <c r="B111" s="26" t="s">
        <v>78</v>
      </c>
      <c r="C111" s="26" t="s">
        <v>132</v>
      </c>
      <c r="D111" s="26"/>
      <c r="E111" s="26" t="s">
        <v>106</v>
      </c>
      <c r="F111" s="28" t="n">
        <v>79</v>
      </c>
      <c r="G111" s="28" t="n">
        <v>12</v>
      </c>
      <c r="H111" s="26" t="s">
        <v>79</v>
      </c>
      <c r="I111" s="26"/>
      <c r="J111" s="26"/>
      <c r="K111" s="29" t="str">
        <f aca="false">IF($A111="","",IF(COUNTIFS(tblMoveTypes[Movement],$E111)=0,"Unknown movement type",IF(COUNTIF(tblShipment[Shipment ID],$C111)=0,"Unknown shipment",IF(COUNTIFS(tblShipment[Shipment ID],$C111,tblShipment[Market],$B111)=0,"Market does not match shipment",IF(AND(IFERROR(INDEX(tblMoveTypes[Item?],MATCH($E111,tblMoveTypes[Movement],0)),"?")="Yes",$D111=""),"Item needed",IF(AND(IFERROR(INDEX(tblMoveTypes[Item?],MATCH($E111,tblMoveTypes[Movement],0)),"?")="No",$D111&lt;&gt;""),"Leave Item blank",IF(AND(IFERROR(INDEX(tblMoveTypes[Courier?],MATCH($E111,tblMoveTypes[Movement],0)),"?")="Yes",$H111=""),"Courier needed",IF(AND(IFERROR(INDEX(tblMoveTypes[Courier?],MATCH($E111,tblMoveTypes[Movement],0)),"?")="No",$H111&lt;&gt;""),"Leave Courier blank",IF(AND(IFERROR(INDEX(tblMoveTypes[Orders?],MATCH($E111,tblMoveTypes[Movement],0)),"?")="Yes",$G111=""),"Orders needed",IF(AND(IFERROR(INDEX(tblMoveTypes[Orders?],MATCH($E111,tblMoveTypes[Movement],0)),"?")="No",$G111&lt;&gt;""),"Leave Orders blank",IF(AND(IFERROR(INDEX(tblMoveTypes[Reason?],MATCH($E111,tblMoveTypes[Movement],0)),"?")="Yes",$I111=""),"Reason needed",IF(AND(IFERROR(INDEX(tblMoveTypes[Qty?],MATCH($E111,tblMoveTypes[Movement],0)),"?")="Yes",N($F111)&lt;=0),"Qty needed",IF($A111&lt;_xlfn.MINIFS(tblShipment[Arrival Date],tblShipment[Shipment ID],$C111),"Date before arrival",IF(AND($D111&lt;&gt;"",COUNTIFS(tblShipment[Shipment ID],$C111,tblShipment[Item Code],$D111)=0),"Item not in this shipment",IF(AND($H111&lt;&gt;"",COUNTIFS(tblCouriers[Courier],$H111,tblCouriers[Market],$B111)=0),"Courier not in this market","OK")))))))))))))))</f>
        <v>OK</v>
      </c>
    </row>
    <row r="112" customFormat="false" ht="15" hidden="false" customHeight="false" outlineLevel="0" collapsed="false">
      <c r="A112" s="27" t="n">
        <v>46225</v>
      </c>
      <c r="B112" s="26" t="s">
        <v>78</v>
      </c>
      <c r="C112" s="26" t="s">
        <v>132</v>
      </c>
      <c r="D112" s="26"/>
      <c r="E112" s="26" t="s">
        <v>104</v>
      </c>
      <c r="F112" s="28"/>
      <c r="G112" s="28" t="n">
        <v>12</v>
      </c>
      <c r="H112" s="26" t="s">
        <v>86</v>
      </c>
      <c r="I112" s="26"/>
      <c r="J112" s="26"/>
      <c r="K112" s="29" t="str">
        <f aca="false">IF($A112="","",IF(COUNTIFS(tblMoveTypes[Movement],$E112)=0,"Unknown movement type",IF(COUNTIF(tblShipment[Shipment ID],$C112)=0,"Unknown shipment",IF(COUNTIFS(tblShipment[Shipment ID],$C112,tblShipment[Market],$B112)=0,"Market does not match shipment",IF(AND(IFERROR(INDEX(tblMoveTypes[Item?],MATCH($E112,tblMoveTypes[Movement],0)),"?")="Yes",$D112=""),"Item needed",IF(AND(IFERROR(INDEX(tblMoveTypes[Item?],MATCH($E112,tblMoveTypes[Movement],0)),"?")="No",$D112&lt;&gt;""),"Leave Item blank",IF(AND(IFERROR(INDEX(tblMoveTypes[Courier?],MATCH($E112,tblMoveTypes[Movement],0)),"?")="Yes",$H112=""),"Courier needed",IF(AND(IFERROR(INDEX(tblMoveTypes[Courier?],MATCH($E112,tblMoveTypes[Movement],0)),"?")="No",$H112&lt;&gt;""),"Leave Courier blank",IF(AND(IFERROR(INDEX(tblMoveTypes[Orders?],MATCH($E112,tblMoveTypes[Movement],0)),"?")="Yes",$G112=""),"Orders needed",IF(AND(IFERROR(INDEX(tblMoveTypes[Orders?],MATCH($E112,tblMoveTypes[Movement],0)),"?")="No",$G112&lt;&gt;""),"Leave Orders blank",IF(AND(IFERROR(INDEX(tblMoveTypes[Reason?],MATCH($E112,tblMoveTypes[Movement],0)),"?")="Yes",$I112=""),"Reason needed",IF(AND(IFERROR(INDEX(tblMoveTypes[Qty?],MATCH($E112,tblMoveTypes[Movement],0)),"?")="Yes",N($F112)&lt;=0),"Qty needed",IF($A112&lt;_xlfn.MINIFS(tblShipment[Arrival Date],tblShipment[Shipment ID],$C112),"Date before arrival",IF(AND($D112&lt;&gt;"",COUNTIFS(tblShipment[Shipment ID],$C112,tblShipment[Item Code],$D112)=0),"Item not in this shipment",IF(AND($H112&lt;&gt;"",COUNTIFS(tblCouriers[Courier],$H112,tblCouriers[Market],$B112)=0),"Courier not in this market","OK")))))))))))))))</f>
        <v>OK</v>
      </c>
    </row>
    <row r="113" customFormat="false" ht="15" hidden="false" customHeight="false" outlineLevel="0" collapsed="false">
      <c r="A113" s="27" t="n">
        <v>46225</v>
      </c>
      <c r="B113" s="26" t="s">
        <v>78</v>
      </c>
      <c r="C113" s="26" t="s">
        <v>132</v>
      </c>
      <c r="D113" s="26"/>
      <c r="E113" s="26" t="s">
        <v>106</v>
      </c>
      <c r="F113" s="28" t="n">
        <v>39</v>
      </c>
      <c r="G113" s="28" t="n">
        <v>6</v>
      </c>
      <c r="H113" s="26" t="s">
        <v>86</v>
      </c>
      <c r="I113" s="26"/>
      <c r="J113" s="26"/>
      <c r="K113" s="29" t="str">
        <f aca="false">IF($A113="","",IF(COUNTIFS(tblMoveTypes[Movement],$E113)=0,"Unknown movement type",IF(COUNTIF(tblShipment[Shipment ID],$C113)=0,"Unknown shipment",IF(COUNTIFS(tblShipment[Shipment ID],$C113,tblShipment[Market],$B113)=0,"Market does not match shipment",IF(AND(IFERROR(INDEX(tblMoveTypes[Item?],MATCH($E113,tblMoveTypes[Movement],0)),"?")="Yes",$D113=""),"Item needed",IF(AND(IFERROR(INDEX(tblMoveTypes[Item?],MATCH($E113,tblMoveTypes[Movement],0)),"?")="No",$D113&lt;&gt;""),"Leave Item blank",IF(AND(IFERROR(INDEX(tblMoveTypes[Courier?],MATCH($E113,tblMoveTypes[Movement],0)),"?")="Yes",$H113=""),"Courier needed",IF(AND(IFERROR(INDEX(tblMoveTypes[Courier?],MATCH($E113,tblMoveTypes[Movement],0)),"?")="No",$H113&lt;&gt;""),"Leave Courier blank",IF(AND(IFERROR(INDEX(tblMoveTypes[Orders?],MATCH($E113,tblMoveTypes[Movement],0)),"?")="Yes",$G113=""),"Orders needed",IF(AND(IFERROR(INDEX(tblMoveTypes[Orders?],MATCH($E113,tblMoveTypes[Movement],0)),"?")="No",$G113&lt;&gt;""),"Leave Orders blank",IF(AND(IFERROR(INDEX(tblMoveTypes[Reason?],MATCH($E113,tblMoveTypes[Movement],0)),"?")="Yes",$I113=""),"Reason needed",IF(AND(IFERROR(INDEX(tblMoveTypes[Qty?],MATCH($E113,tblMoveTypes[Movement],0)),"?")="Yes",N($F113)&lt;=0),"Qty needed",IF($A113&lt;_xlfn.MINIFS(tblShipment[Arrival Date],tblShipment[Shipment ID],$C113),"Date before arrival",IF(AND($D113&lt;&gt;"",COUNTIFS(tblShipment[Shipment ID],$C113,tblShipment[Item Code],$D113)=0),"Item not in this shipment",IF(AND($H113&lt;&gt;"",COUNTIFS(tblCouriers[Courier],$H113,tblCouriers[Market],$B113)=0),"Courier not in this market","OK")))))))))))))))</f>
        <v>OK</v>
      </c>
    </row>
    <row r="114" customFormat="false" ht="15" hidden="false" customHeight="false" outlineLevel="0" collapsed="false">
      <c r="A114" s="27" t="n">
        <v>46226</v>
      </c>
      <c r="B114" s="26" t="s">
        <v>70</v>
      </c>
      <c r="C114" s="26" t="s">
        <v>124</v>
      </c>
      <c r="D114" s="26"/>
      <c r="E114" s="26" t="s">
        <v>106</v>
      </c>
      <c r="F114" s="28" t="n">
        <v>38</v>
      </c>
      <c r="G114" s="28" t="n">
        <v>5</v>
      </c>
      <c r="H114" s="26" t="s">
        <v>71</v>
      </c>
      <c r="I114" s="26"/>
      <c r="J114" s="26"/>
      <c r="K114" s="29" t="str">
        <f aca="false">IF($A114="","",IF(COUNTIFS(tblMoveTypes[Movement],$E114)=0,"Unknown movement type",IF(COUNTIF(tblShipment[Shipment ID],$C114)=0,"Unknown shipment",IF(COUNTIFS(tblShipment[Shipment ID],$C114,tblShipment[Market],$B114)=0,"Market does not match shipment",IF(AND(IFERROR(INDEX(tblMoveTypes[Item?],MATCH($E114,tblMoveTypes[Movement],0)),"?")="Yes",$D114=""),"Item needed",IF(AND(IFERROR(INDEX(tblMoveTypes[Item?],MATCH($E114,tblMoveTypes[Movement],0)),"?")="No",$D114&lt;&gt;""),"Leave Item blank",IF(AND(IFERROR(INDEX(tblMoveTypes[Courier?],MATCH($E114,tblMoveTypes[Movement],0)),"?")="Yes",$H114=""),"Courier needed",IF(AND(IFERROR(INDEX(tblMoveTypes[Courier?],MATCH($E114,tblMoveTypes[Movement],0)),"?")="No",$H114&lt;&gt;""),"Leave Courier blank",IF(AND(IFERROR(INDEX(tblMoveTypes[Orders?],MATCH($E114,tblMoveTypes[Movement],0)),"?")="Yes",$G114=""),"Orders needed",IF(AND(IFERROR(INDEX(tblMoveTypes[Orders?],MATCH($E114,tblMoveTypes[Movement],0)),"?")="No",$G114&lt;&gt;""),"Leave Orders blank",IF(AND(IFERROR(INDEX(tblMoveTypes[Reason?],MATCH($E114,tblMoveTypes[Movement],0)),"?")="Yes",$I114=""),"Reason needed",IF(AND(IFERROR(INDEX(tblMoveTypes[Qty?],MATCH($E114,tblMoveTypes[Movement],0)),"?")="Yes",N($F114)&lt;=0),"Qty needed",IF($A114&lt;_xlfn.MINIFS(tblShipment[Arrival Date],tblShipment[Shipment ID],$C114),"Date before arrival",IF(AND($D114&lt;&gt;"",COUNTIFS(tblShipment[Shipment ID],$C114,tblShipment[Item Code],$D114)=0),"Item not in this shipment",IF(AND($H114&lt;&gt;"",COUNTIFS(tblCouriers[Courier],$H114,tblCouriers[Market],$B114)=0),"Courier not in this market","OK")))))))))))))))</f>
        <v>OK</v>
      </c>
    </row>
    <row r="115" customFormat="false" ht="15" hidden="false" customHeight="false" outlineLevel="0" collapsed="false">
      <c r="A115" s="27" t="n">
        <v>46226</v>
      </c>
      <c r="B115" s="26" t="s">
        <v>85</v>
      </c>
      <c r="C115" s="26" t="s">
        <v>139</v>
      </c>
      <c r="D115" s="26"/>
      <c r="E115" s="26" t="s">
        <v>106</v>
      </c>
      <c r="F115" s="28" t="n">
        <v>55</v>
      </c>
      <c r="G115" s="28" t="n">
        <v>8</v>
      </c>
      <c r="H115" s="26" t="s">
        <v>91</v>
      </c>
      <c r="I115" s="26"/>
      <c r="J115" s="26"/>
      <c r="K115" s="29" t="str">
        <f aca="false">IF($A115="","",IF(COUNTIFS(tblMoveTypes[Movement],$E115)=0,"Unknown movement type",IF(COUNTIF(tblShipment[Shipment ID],$C115)=0,"Unknown shipment",IF(COUNTIFS(tblShipment[Shipment ID],$C115,tblShipment[Market],$B115)=0,"Market does not match shipment",IF(AND(IFERROR(INDEX(tblMoveTypes[Item?],MATCH($E115,tblMoveTypes[Movement],0)),"?")="Yes",$D115=""),"Item needed",IF(AND(IFERROR(INDEX(tblMoveTypes[Item?],MATCH($E115,tblMoveTypes[Movement],0)),"?")="No",$D115&lt;&gt;""),"Leave Item blank",IF(AND(IFERROR(INDEX(tblMoveTypes[Courier?],MATCH($E115,tblMoveTypes[Movement],0)),"?")="Yes",$H115=""),"Courier needed",IF(AND(IFERROR(INDEX(tblMoveTypes[Courier?],MATCH($E115,tblMoveTypes[Movement],0)),"?")="No",$H115&lt;&gt;""),"Leave Courier blank",IF(AND(IFERROR(INDEX(tblMoveTypes[Orders?],MATCH($E115,tblMoveTypes[Movement],0)),"?")="Yes",$G115=""),"Orders needed",IF(AND(IFERROR(INDEX(tblMoveTypes[Orders?],MATCH($E115,tblMoveTypes[Movement],0)),"?")="No",$G115&lt;&gt;""),"Leave Orders blank",IF(AND(IFERROR(INDEX(tblMoveTypes[Reason?],MATCH($E115,tblMoveTypes[Movement],0)),"?")="Yes",$I115=""),"Reason needed",IF(AND(IFERROR(INDEX(tblMoveTypes[Qty?],MATCH($E115,tblMoveTypes[Movement],0)),"?")="Yes",N($F115)&lt;=0),"Qty needed",IF($A115&lt;_xlfn.MINIFS(tblShipment[Arrival Date],tblShipment[Shipment ID],$C115),"Date before arrival",IF(AND($D115&lt;&gt;"",COUNTIFS(tblShipment[Shipment ID],$C115,tblShipment[Item Code],$D115)=0),"Item not in this shipment",IF(AND($H115&lt;&gt;"",COUNTIFS(tblCouriers[Courier],$H115,tblCouriers[Market],$B115)=0),"Courier not in this market","OK")))))))))))))))</f>
        <v>OK</v>
      </c>
    </row>
    <row r="116" customFormat="false" ht="15" hidden="false" customHeight="false" outlineLevel="0" collapsed="false">
      <c r="A116" s="27" t="n">
        <v>46226</v>
      </c>
      <c r="B116" s="26" t="s">
        <v>85</v>
      </c>
      <c r="C116" s="26" t="s">
        <v>139</v>
      </c>
      <c r="D116" s="26"/>
      <c r="E116" s="26" t="s">
        <v>108</v>
      </c>
      <c r="F116" s="28" t="n">
        <v>8</v>
      </c>
      <c r="G116" s="28" t="n">
        <v>1</v>
      </c>
      <c r="H116" s="26" t="s">
        <v>91</v>
      </c>
      <c r="I116" s="26" t="s">
        <v>102</v>
      </c>
      <c r="J116" s="26"/>
      <c r="K116" s="29" t="str">
        <f aca="false">IF($A116="","",IF(COUNTIFS(tblMoveTypes[Movement],$E116)=0,"Unknown movement type",IF(COUNTIF(tblShipment[Shipment ID],$C116)=0,"Unknown shipment",IF(COUNTIFS(tblShipment[Shipment ID],$C116,tblShipment[Market],$B116)=0,"Market does not match shipment",IF(AND(IFERROR(INDEX(tblMoveTypes[Item?],MATCH($E116,tblMoveTypes[Movement],0)),"?")="Yes",$D116=""),"Item needed",IF(AND(IFERROR(INDEX(tblMoveTypes[Item?],MATCH($E116,tblMoveTypes[Movement],0)),"?")="No",$D116&lt;&gt;""),"Leave Item blank",IF(AND(IFERROR(INDEX(tblMoveTypes[Courier?],MATCH($E116,tblMoveTypes[Movement],0)),"?")="Yes",$H116=""),"Courier needed",IF(AND(IFERROR(INDEX(tblMoveTypes[Courier?],MATCH($E116,tblMoveTypes[Movement],0)),"?")="No",$H116&lt;&gt;""),"Leave Courier blank",IF(AND(IFERROR(INDEX(tblMoveTypes[Orders?],MATCH($E116,tblMoveTypes[Movement],0)),"?")="Yes",$G116=""),"Orders needed",IF(AND(IFERROR(INDEX(tblMoveTypes[Orders?],MATCH($E116,tblMoveTypes[Movement],0)),"?")="No",$G116&lt;&gt;""),"Leave Orders blank",IF(AND(IFERROR(INDEX(tblMoveTypes[Reason?],MATCH($E116,tblMoveTypes[Movement],0)),"?")="Yes",$I116=""),"Reason needed",IF(AND(IFERROR(INDEX(tblMoveTypes[Qty?],MATCH($E116,tblMoveTypes[Movement],0)),"?")="Yes",N($F116)&lt;=0),"Qty needed",IF($A116&lt;_xlfn.MINIFS(tblShipment[Arrival Date],tblShipment[Shipment ID],$C116),"Date before arrival",IF(AND($D116&lt;&gt;"",COUNTIFS(tblShipment[Shipment ID],$C116,tblShipment[Item Code],$D116)=0),"Item not in this shipment",IF(AND($H116&lt;&gt;"",COUNTIFS(tblCouriers[Courier],$H116,tblCouriers[Market],$B116)=0),"Courier not in this market","OK")))))))))))))))</f>
        <v>OK</v>
      </c>
    </row>
    <row r="117" customFormat="false" ht="15" hidden="false" customHeight="false" outlineLevel="0" collapsed="false">
      <c r="A117" s="27" t="n">
        <v>46226</v>
      </c>
      <c r="B117" s="26" t="s">
        <v>85</v>
      </c>
      <c r="C117" s="26" t="s">
        <v>139</v>
      </c>
      <c r="D117" s="26" t="s">
        <v>88</v>
      </c>
      <c r="E117" s="26" t="s">
        <v>110</v>
      </c>
      <c r="F117" s="28" t="n">
        <v>6</v>
      </c>
      <c r="G117" s="28"/>
      <c r="H117" s="26"/>
      <c r="I117" s="26"/>
      <c r="J117" s="26"/>
      <c r="K117" s="29" t="str">
        <f aca="false">IF($A117="","",IF(COUNTIFS(tblMoveTypes[Movement],$E117)=0,"Unknown movement type",IF(COUNTIF(tblShipment[Shipment ID],$C117)=0,"Unknown shipment",IF(COUNTIFS(tblShipment[Shipment ID],$C117,tblShipment[Market],$B117)=0,"Market does not match shipment",IF(AND(IFERROR(INDEX(tblMoveTypes[Item?],MATCH($E117,tblMoveTypes[Movement],0)),"?")="Yes",$D117=""),"Item needed",IF(AND(IFERROR(INDEX(tblMoveTypes[Item?],MATCH($E117,tblMoveTypes[Movement],0)),"?")="No",$D117&lt;&gt;""),"Leave Item blank",IF(AND(IFERROR(INDEX(tblMoveTypes[Courier?],MATCH($E117,tblMoveTypes[Movement],0)),"?")="Yes",$H117=""),"Courier needed",IF(AND(IFERROR(INDEX(tblMoveTypes[Courier?],MATCH($E117,tblMoveTypes[Movement],0)),"?")="No",$H117&lt;&gt;""),"Leave Courier blank",IF(AND(IFERROR(INDEX(tblMoveTypes[Orders?],MATCH($E117,tblMoveTypes[Movement],0)),"?")="Yes",$G117=""),"Orders needed",IF(AND(IFERROR(INDEX(tblMoveTypes[Orders?],MATCH($E117,tblMoveTypes[Movement],0)),"?")="No",$G117&lt;&gt;""),"Leave Orders blank",IF(AND(IFERROR(INDEX(tblMoveTypes[Reason?],MATCH($E117,tblMoveTypes[Movement],0)),"?")="Yes",$I117=""),"Reason needed",IF(AND(IFERROR(INDEX(tblMoveTypes[Qty?],MATCH($E117,tblMoveTypes[Movement],0)),"?")="Yes",N($F117)&lt;=0),"Qty needed",IF($A117&lt;_xlfn.MINIFS(tblShipment[Arrival Date],tblShipment[Shipment ID],$C117),"Date before arrival",IF(AND($D117&lt;&gt;"",COUNTIFS(tblShipment[Shipment ID],$C117,tblShipment[Item Code],$D117)=0),"Item not in this shipment",IF(AND($H117&lt;&gt;"",COUNTIFS(tblCouriers[Courier],$H117,tblCouriers[Market],$B117)=0),"Courier not in this market","OK")))))))))))))))</f>
        <v>OK</v>
      </c>
    </row>
    <row r="118" customFormat="false" ht="15" hidden="false" customHeight="false" outlineLevel="0" collapsed="false">
      <c r="A118" s="27" t="n">
        <v>46226</v>
      </c>
      <c r="B118" s="26" t="s">
        <v>85</v>
      </c>
      <c r="C118" s="26" t="s">
        <v>139</v>
      </c>
      <c r="D118" s="26" t="s">
        <v>88</v>
      </c>
      <c r="E118" s="26" t="s">
        <v>112</v>
      </c>
      <c r="F118" s="28" t="n">
        <v>2</v>
      </c>
      <c r="G118" s="28"/>
      <c r="H118" s="26"/>
      <c r="I118" s="26" t="s">
        <v>80</v>
      </c>
      <c r="J118" s="26"/>
      <c r="K118" s="29" t="str">
        <f aca="false">IF($A118="","",IF(COUNTIFS(tblMoveTypes[Movement],$E118)=0,"Unknown movement type",IF(COUNTIF(tblShipment[Shipment ID],$C118)=0,"Unknown shipment",IF(COUNTIFS(tblShipment[Shipment ID],$C118,tblShipment[Market],$B118)=0,"Market does not match shipment",IF(AND(IFERROR(INDEX(tblMoveTypes[Item?],MATCH($E118,tblMoveTypes[Movement],0)),"?")="Yes",$D118=""),"Item needed",IF(AND(IFERROR(INDEX(tblMoveTypes[Item?],MATCH($E118,tblMoveTypes[Movement],0)),"?")="No",$D118&lt;&gt;""),"Leave Item blank",IF(AND(IFERROR(INDEX(tblMoveTypes[Courier?],MATCH($E118,tblMoveTypes[Movement],0)),"?")="Yes",$H118=""),"Courier needed",IF(AND(IFERROR(INDEX(tblMoveTypes[Courier?],MATCH($E118,tblMoveTypes[Movement],0)),"?")="No",$H118&lt;&gt;""),"Leave Courier blank",IF(AND(IFERROR(INDEX(tblMoveTypes[Orders?],MATCH($E118,tblMoveTypes[Movement],0)),"?")="Yes",$G118=""),"Orders needed",IF(AND(IFERROR(INDEX(tblMoveTypes[Orders?],MATCH($E118,tblMoveTypes[Movement],0)),"?")="No",$G118&lt;&gt;""),"Leave Orders blank",IF(AND(IFERROR(INDEX(tblMoveTypes[Reason?],MATCH($E118,tblMoveTypes[Movement],0)),"?")="Yes",$I118=""),"Reason needed",IF(AND(IFERROR(INDEX(tblMoveTypes[Qty?],MATCH($E118,tblMoveTypes[Movement],0)),"?")="Yes",N($F118)&lt;=0),"Qty needed",IF($A118&lt;_xlfn.MINIFS(tblShipment[Arrival Date],tblShipment[Shipment ID],$C118),"Date before arrival",IF(AND($D118&lt;&gt;"",COUNTIFS(tblShipment[Shipment ID],$C118,tblShipment[Item Code],$D118)=0),"Item not in this shipment",IF(AND($H118&lt;&gt;"",COUNTIFS(tblCouriers[Courier],$H118,tblCouriers[Market],$B118)=0),"Courier not in this market","OK")))))))))))))))</f>
        <v>OK</v>
      </c>
    </row>
    <row r="119" customFormat="false" ht="15" hidden="false" customHeight="false" outlineLevel="0" collapsed="false">
      <c r="A119" s="27" t="n">
        <v>46226</v>
      </c>
      <c r="B119" s="26" t="s">
        <v>85</v>
      </c>
      <c r="C119" s="26" t="s">
        <v>140</v>
      </c>
      <c r="D119" s="26" t="s">
        <v>88</v>
      </c>
      <c r="E119" s="26" t="s">
        <v>74</v>
      </c>
      <c r="F119" s="28" t="n">
        <v>60</v>
      </c>
      <c r="G119" s="28"/>
      <c r="H119" s="26"/>
      <c r="I119" s="26"/>
      <c r="J119" s="26"/>
      <c r="K119" s="29" t="str">
        <f aca="false">IF($A119="","",IF(COUNTIFS(tblMoveTypes[Movement],$E119)=0,"Unknown movement type",IF(COUNTIF(tblShipment[Shipment ID],$C119)=0,"Unknown shipment",IF(COUNTIFS(tblShipment[Shipment ID],$C119,tblShipment[Market],$B119)=0,"Market does not match shipment",IF(AND(IFERROR(INDEX(tblMoveTypes[Item?],MATCH($E119,tblMoveTypes[Movement],0)),"?")="Yes",$D119=""),"Item needed",IF(AND(IFERROR(INDEX(tblMoveTypes[Item?],MATCH($E119,tblMoveTypes[Movement],0)),"?")="No",$D119&lt;&gt;""),"Leave Item blank",IF(AND(IFERROR(INDEX(tblMoveTypes[Courier?],MATCH($E119,tblMoveTypes[Movement],0)),"?")="Yes",$H119=""),"Courier needed",IF(AND(IFERROR(INDEX(tblMoveTypes[Courier?],MATCH($E119,tblMoveTypes[Movement],0)),"?")="No",$H119&lt;&gt;""),"Leave Courier blank",IF(AND(IFERROR(INDEX(tblMoveTypes[Orders?],MATCH($E119,tblMoveTypes[Movement],0)),"?")="Yes",$G119=""),"Orders needed",IF(AND(IFERROR(INDEX(tblMoveTypes[Orders?],MATCH($E119,tblMoveTypes[Movement],0)),"?")="No",$G119&lt;&gt;""),"Leave Orders blank",IF(AND(IFERROR(INDEX(tblMoveTypes[Reason?],MATCH($E119,tblMoveTypes[Movement],0)),"?")="Yes",$I119=""),"Reason needed",IF(AND(IFERROR(INDEX(tblMoveTypes[Qty?],MATCH($E119,tblMoveTypes[Movement],0)),"?")="Yes",N($F119)&lt;=0),"Qty needed",IF($A119&lt;_xlfn.MINIFS(tblShipment[Arrival Date],tblShipment[Shipment ID],$C119),"Date before arrival",IF(AND($D119&lt;&gt;"",COUNTIFS(tblShipment[Shipment ID],$C119,tblShipment[Item Code],$D119)=0),"Item not in this shipment",IF(AND($H119&lt;&gt;"",COUNTIFS(tblCouriers[Courier],$H119,tblCouriers[Market],$B119)=0),"Courier not in this market","OK")))))))))))))))</f>
        <v>OK</v>
      </c>
    </row>
    <row r="120" customFormat="false" ht="15" hidden="false" customHeight="false" outlineLevel="0" collapsed="false">
      <c r="A120" s="27" t="n">
        <v>46226</v>
      </c>
      <c r="B120" s="26" t="s">
        <v>85</v>
      </c>
      <c r="C120" s="26" t="s">
        <v>140</v>
      </c>
      <c r="D120" s="26" t="s">
        <v>99</v>
      </c>
      <c r="E120" s="26" t="s">
        <v>74</v>
      </c>
      <c r="F120" s="28" t="n">
        <v>120</v>
      </c>
      <c r="G120" s="28"/>
      <c r="H120" s="26"/>
      <c r="I120" s="26"/>
      <c r="J120" s="26"/>
      <c r="K120" s="29" t="str">
        <f aca="false">IF($A120="","",IF(COUNTIFS(tblMoveTypes[Movement],$E120)=0,"Unknown movement type",IF(COUNTIF(tblShipment[Shipment ID],$C120)=0,"Unknown shipment",IF(COUNTIFS(tblShipment[Shipment ID],$C120,tblShipment[Market],$B120)=0,"Market does not match shipment",IF(AND(IFERROR(INDEX(tblMoveTypes[Item?],MATCH($E120,tblMoveTypes[Movement],0)),"?")="Yes",$D120=""),"Item needed",IF(AND(IFERROR(INDEX(tblMoveTypes[Item?],MATCH($E120,tblMoveTypes[Movement],0)),"?")="No",$D120&lt;&gt;""),"Leave Item blank",IF(AND(IFERROR(INDEX(tblMoveTypes[Courier?],MATCH($E120,tblMoveTypes[Movement],0)),"?")="Yes",$H120=""),"Courier needed",IF(AND(IFERROR(INDEX(tblMoveTypes[Courier?],MATCH($E120,tblMoveTypes[Movement],0)),"?")="No",$H120&lt;&gt;""),"Leave Courier blank",IF(AND(IFERROR(INDEX(tblMoveTypes[Orders?],MATCH($E120,tblMoveTypes[Movement],0)),"?")="Yes",$G120=""),"Orders needed",IF(AND(IFERROR(INDEX(tblMoveTypes[Orders?],MATCH($E120,tblMoveTypes[Movement],0)),"?")="No",$G120&lt;&gt;""),"Leave Orders blank",IF(AND(IFERROR(INDEX(tblMoveTypes[Reason?],MATCH($E120,tblMoveTypes[Movement],0)),"?")="Yes",$I120=""),"Reason needed",IF(AND(IFERROR(INDEX(tblMoveTypes[Qty?],MATCH($E120,tblMoveTypes[Movement],0)),"?")="Yes",N($F120)&lt;=0),"Qty needed",IF($A120&lt;_xlfn.MINIFS(tblShipment[Arrival Date],tblShipment[Shipment ID],$C120),"Date before arrival",IF(AND($D120&lt;&gt;"",COUNTIFS(tblShipment[Shipment ID],$C120,tblShipment[Item Code],$D120)=0),"Item not in this shipment",IF(AND($H120&lt;&gt;"",COUNTIFS(tblCouriers[Courier],$H120,tblCouriers[Market],$B120)=0),"Courier not in this market","OK")))))))))))))))</f>
        <v>OK</v>
      </c>
    </row>
    <row r="121" customFormat="false" ht="15" hidden="false" customHeight="false" outlineLevel="0" collapsed="false">
      <c r="A121" s="27" t="n">
        <v>46226</v>
      </c>
      <c r="B121" s="26" t="s">
        <v>85</v>
      </c>
      <c r="C121" s="26" t="s">
        <v>140</v>
      </c>
      <c r="D121" s="26" t="s">
        <v>94</v>
      </c>
      <c r="E121" s="26" t="s">
        <v>74</v>
      </c>
      <c r="F121" s="28" t="n">
        <v>50</v>
      </c>
      <c r="G121" s="28"/>
      <c r="H121" s="26"/>
      <c r="I121" s="26"/>
      <c r="J121" s="26"/>
      <c r="K121" s="29" t="str">
        <f aca="false">IF($A121="","",IF(COUNTIFS(tblMoveTypes[Movement],$E121)=0,"Unknown movement type",IF(COUNTIF(tblShipment[Shipment ID],$C121)=0,"Unknown shipment",IF(COUNTIFS(tblShipment[Shipment ID],$C121,tblShipment[Market],$B121)=0,"Market does not match shipment",IF(AND(IFERROR(INDEX(tblMoveTypes[Item?],MATCH($E121,tblMoveTypes[Movement],0)),"?")="Yes",$D121=""),"Item needed",IF(AND(IFERROR(INDEX(tblMoveTypes[Item?],MATCH($E121,tblMoveTypes[Movement],0)),"?")="No",$D121&lt;&gt;""),"Leave Item blank",IF(AND(IFERROR(INDEX(tblMoveTypes[Courier?],MATCH($E121,tblMoveTypes[Movement],0)),"?")="Yes",$H121=""),"Courier needed",IF(AND(IFERROR(INDEX(tblMoveTypes[Courier?],MATCH($E121,tblMoveTypes[Movement],0)),"?")="No",$H121&lt;&gt;""),"Leave Courier blank",IF(AND(IFERROR(INDEX(tblMoveTypes[Orders?],MATCH($E121,tblMoveTypes[Movement],0)),"?")="Yes",$G121=""),"Orders needed",IF(AND(IFERROR(INDEX(tblMoveTypes[Orders?],MATCH($E121,tblMoveTypes[Movement],0)),"?")="No",$G121&lt;&gt;""),"Leave Orders blank",IF(AND(IFERROR(INDEX(tblMoveTypes[Reason?],MATCH($E121,tblMoveTypes[Movement],0)),"?")="Yes",$I121=""),"Reason needed",IF(AND(IFERROR(INDEX(tblMoveTypes[Qty?],MATCH($E121,tblMoveTypes[Movement],0)),"?")="Yes",N($F121)&lt;=0),"Qty needed",IF($A121&lt;_xlfn.MINIFS(tblShipment[Arrival Date],tblShipment[Shipment ID],$C121),"Date before arrival",IF(AND($D121&lt;&gt;"",COUNTIFS(tblShipment[Shipment ID],$C121,tblShipment[Item Code],$D121)=0),"Item not in this shipment",IF(AND($H121&lt;&gt;"",COUNTIFS(tblCouriers[Courier],$H121,tblCouriers[Market],$B121)=0),"Courier not in this market","OK")))))))))))))))</f>
        <v>OK</v>
      </c>
    </row>
    <row r="122" customFormat="false" ht="15" hidden="false" customHeight="false" outlineLevel="0" collapsed="false">
      <c r="A122" s="27" t="n">
        <v>46226</v>
      </c>
      <c r="B122" s="26" t="s">
        <v>85</v>
      </c>
      <c r="C122" s="26" t="s">
        <v>140</v>
      </c>
      <c r="D122" s="26"/>
      <c r="E122" s="26" t="s">
        <v>98</v>
      </c>
      <c r="F122" s="28"/>
      <c r="G122" s="28" t="n">
        <v>33</v>
      </c>
      <c r="H122" s="26"/>
      <c r="I122" s="26"/>
      <c r="J122" s="26"/>
      <c r="K122" s="29" t="str">
        <f aca="false">IF($A122="","",IF(COUNTIFS(tblMoveTypes[Movement],$E122)=0,"Unknown movement type",IF(COUNTIF(tblShipment[Shipment ID],$C122)=0,"Unknown shipment",IF(COUNTIFS(tblShipment[Shipment ID],$C122,tblShipment[Market],$B122)=0,"Market does not match shipment",IF(AND(IFERROR(INDEX(tblMoveTypes[Item?],MATCH($E122,tblMoveTypes[Movement],0)),"?")="Yes",$D122=""),"Item needed",IF(AND(IFERROR(INDEX(tblMoveTypes[Item?],MATCH($E122,tblMoveTypes[Movement],0)),"?")="No",$D122&lt;&gt;""),"Leave Item blank",IF(AND(IFERROR(INDEX(tblMoveTypes[Courier?],MATCH($E122,tblMoveTypes[Movement],0)),"?")="Yes",$H122=""),"Courier needed",IF(AND(IFERROR(INDEX(tblMoveTypes[Courier?],MATCH($E122,tblMoveTypes[Movement],0)),"?")="No",$H122&lt;&gt;""),"Leave Courier blank",IF(AND(IFERROR(INDEX(tblMoveTypes[Orders?],MATCH($E122,tblMoveTypes[Movement],0)),"?")="Yes",$G122=""),"Orders needed",IF(AND(IFERROR(INDEX(tblMoveTypes[Orders?],MATCH($E122,tblMoveTypes[Movement],0)),"?")="No",$G122&lt;&gt;""),"Leave Orders blank",IF(AND(IFERROR(INDEX(tblMoveTypes[Reason?],MATCH($E122,tblMoveTypes[Movement],0)),"?")="Yes",$I122=""),"Reason needed",IF(AND(IFERROR(INDEX(tblMoveTypes[Qty?],MATCH($E122,tblMoveTypes[Movement],0)),"?")="Yes",N($F122)&lt;=0),"Qty needed",IF($A122&lt;_xlfn.MINIFS(tblShipment[Arrival Date],tblShipment[Shipment ID],$C122),"Date before arrival",IF(AND($D122&lt;&gt;"",COUNTIFS(tblShipment[Shipment ID],$C122,tblShipment[Item Code],$D122)=0),"Item not in this shipment",IF(AND($H122&lt;&gt;"",COUNTIFS(tblCouriers[Courier],$H122,tblCouriers[Market],$B122)=0),"Courier not in this market","OK")))))))))))))))</f>
        <v>OK</v>
      </c>
    </row>
    <row r="123" customFormat="false" ht="15" hidden="false" customHeight="false" outlineLevel="0" collapsed="false">
      <c r="A123" s="27" t="n">
        <v>46226</v>
      </c>
      <c r="B123" s="26" t="s">
        <v>85</v>
      </c>
      <c r="C123" s="26" t="s">
        <v>140</v>
      </c>
      <c r="D123" s="26" t="s">
        <v>88</v>
      </c>
      <c r="E123" s="26" t="s">
        <v>73</v>
      </c>
      <c r="F123" s="28" t="n">
        <v>2</v>
      </c>
      <c r="G123" s="28"/>
      <c r="H123" s="26"/>
      <c r="I123" s="26" t="s">
        <v>72</v>
      </c>
      <c r="J123" s="26"/>
      <c r="K123" s="29" t="str">
        <f aca="false">IF($A123="","",IF(COUNTIFS(tblMoveTypes[Movement],$E123)=0,"Unknown movement type",IF(COUNTIF(tblShipment[Shipment ID],$C123)=0,"Unknown shipment",IF(COUNTIFS(tblShipment[Shipment ID],$C123,tblShipment[Market],$B123)=0,"Market does not match shipment",IF(AND(IFERROR(INDEX(tblMoveTypes[Item?],MATCH($E123,tblMoveTypes[Movement],0)),"?")="Yes",$D123=""),"Item needed",IF(AND(IFERROR(INDEX(tblMoveTypes[Item?],MATCH($E123,tblMoveTypes[Movement],0)),"?")="No",$D123&lt;&gt;""),"Leave Item blank",IF(AND(IFERROR(INDEX(tblMoveTypes[Courier?],MATCH($E123,tblMoveTypes[Movement],0)),"?")="Yes",$H123=""),"Courier needed",IF(AND(IFERROR(INDEX(tblMoveTypes[Courier?],MATCH($E123,tblMoveTypes[Movement],0)),"?")="No",$H123&lt;&gt;""),"Leave Courier blank",IF(AND(IFERROR(INDEX(tblMoveTypes[Orders?],MATCH($E123,tblMoveTypes[Movement],0)),"?")="Yes",$G123=""),"Orders needed",IF(AND(IFERROR(INDEX(tblMoveTypes[Orders?],MATCH($E123,tblMoveTypes[Movement],0)),"?")="No",$G123&lt;&gt;""),"Leave Orders blank",IF(AND(IFERROR(INDEX(tblMoveTypes[Reason?],MATCH($E123,tblMoveTypes[Movement],0)),"?")="Yes",$I123=""),"Reason needed",IF(AND(IFERROR(INDEX(tblMoveTypes[Qty?],MATCH($E123,tblMoveTypes[Movement],0)),"?")="Yes",N($F123)&lt;=0),"Qty needed",IF($A123&lt;_xlfn.MINIFS(tblShipment[Arrival Date],tblShipment[Shipment ID],$C123),"Date before arrival",IF(AND($D123&lt;&gt;"",COUNTIFS(tblShipment[Shipment ID],$C123,tblShipment[Item Code],$D123)=0),"Item not in this shipment",IF(AND($H123&lt;&gt;"",COUNTIFS(tblCouriers[Courier],$H123,tblCouriers[Market],$B123)=0),"Courier not in this market","OK")))))))))))))))</f>
        <v>OK</v>
      </c>
    </row>
    <row r="124" customFormat="false" ht="15" hidden="false" customHeight="false" outlineLevel="0" collapsed="false">
      <c r="A124" s="27" t="n">
        <v>46226</v>
      </c>
      <c r="B124" s="26" t="s">
        <v>85</v>
      </c>
      <c r="C124" s="26" t="s">
        <v>140</v>
      </c>
      <c r="D124" s="26" t="s">
        <v>99</v>
      </c>
      <c r="E124" s="26" t="s">
        <v>73</v>
      </c>
      <c r="F124" s="28" t="n">
        <v>2</v>
      </c>
      <c r="G124" s="28"/>
      <c r="H124" s="26"/>
      <c r="I124" s="26" t="s">
        <v>72</v>
      </c>
      <c r="J124" s="26"/>
      <c r="K124" s="29" t="str">
        <f aca="false">IF($A124="","",IF(COUNTIFS(tblMoveTypes[Movement],$E124)=0,"Unknown movement type",IF(COUNTIF(tblShipment[Shipment ID],$C124)=0,"Unknown shipment",IF(COUNTIFS(tblShipment[Shipment ID],$C124,tblShipment[Market],$B124)=0,"Market does not match shipment",IF(AND(IFERROR(INDEX(tblMoveTypes[Item?],MATCH($E124,tblMoveTypes[Movement],0)),"?")="Yes",$D124=""),"Item needed",IF(AND(IFERROR(INDEX(tblMoveTypes[Item?],MATCH($E124,tblMoveTypes[Movement],0)),"?")="No",$D124&lt;&gt;""),"Leave Item blank",IF(AND(IFERROR(INDEX(tblMoveTypes[Courier?],MATCH($E124,tblMoveTypes[Movement],0)),"?")="Yes",$H124=""),"Courier needed",IF(AND(IFERROR(INDEX(tblMoveTypes[Courier?],MATCH($E124,tblMoveTypes[Movement],0)),"?")="No",$H124&lt;&gt;""),"Leave Courier blank",IF(AND(IFERROR(INDEX(tblMoveTypes[Orders?],MATCH($E124,tblMoveTypes[Movement],0)),"?")="Yes",$G124=""),"Orders needed",IF(AND(IFERROR(INDEX(tblMoveTypes[Orders?],MATCH($E124,tblMoveTypes[Movement],0)),"?")="No",$G124&lt;&gt;""),"Leave Orders blank",IF(AND(IFERROR(INDEX(tblMoveTypes[Reason?],MATCH($E124,tblMoveTypes[Movement],0)),"?")="Yes",$I124=""),"Reason needed",IF(AND(IFERROR(INDEX(tblMoveTypes[Qty?],MATCH($E124,tblMoveTypes[Movement],0)),"?")="Yes",N($F124)&lt;=0),"Qty needed",IF($A124&lt;_xlfn.MINIFS(tblShipment[Arrival Date],tblShipment[Shipment ID],$C124),"Date before arrival",IF(AND($D124&lt;&gt;"",COUNTIFS(tblShipment[Shipment ID],$C124,tblShipment[Item Code],$D124)=0),"Item not in this shipment",IF(AND($H124&lt;&gt;"",COUNTIFS(tblCouriers[Courier],$H124,tblCouriers[Market],$B124)=0),"Courier not in this market","OK")))))))))))))))</f>
        <v>OK</v>
      </c>
    </row>
    <row r="125" customFormat="false" ht="15" hidden="false" customHeight="false" outlineLevel="0" collapsed="false">
      <c r="A125" s="27" t="n">
        <v>46226</v>
      </c>
      <c r="B125" s="26" t="s">
        <v>85</v>
      </c>
      <c r="C125" s="26" t="s">
        <v>140</v>
      </c>
      <c r="D125" s="26" t="s">
        <v>94</v>
      </c>
      <c r="E125" s="26" t="s">
        <v>73</v>
      </c>
      <c r="F125" s="28" t="n">
        <v>3</v>
      </c>
      <c r="G125" s="28"/>
      <c r="H125" s="26"/>
      <c r="I125" s="26" t="s">
        <v>72</v>
      </c>
      <c r="J125" s="26"/>
      <c r="K125" s="29" t="str">
        <f aca="false">IF($A125="","",IF(COUNTIFS(tblMoveTypes[Movement],$E125)=0,"Unknown movement type",IF(COUNTIF(tblShipment[Shipment ID],$C125)=0,"Unknown shipment",IF(COUNTIFS(tblShipment[Shipment ID],$C125,tblShipment[Market],$B125)=0,"Market does not match shipment",IF(AND(IFERROR(INDEX(tblMoveTypes[Item?],MATCH($E125,tblMoveTypes[Movement],0)),"?")="Yes",$D125=""),"Item needed",IF(AND(IFERROR(INDEX(tblMoveTypes[Item?],MATCH($E125,tblMoveTypes[Movement],0)),"?")="No",$D125&lt;&gt;""),"Leave Item blank",IF(AND(IFERROR(INDEX(tblMoveTypes[Courier?],MATCH($E125,tblMoveTypes[Movement],0)),"?")="Yes",$H125=""),"Courier needed",IF(AND(IFERROR(INDEX(tblMoveTypes[Courier?],MATCH($E125,tblMoveTypes[Movement],0)),"?")="No",$H125&lt;&gt;""),"Leave Courier blank",IF(AND(IFERROR(INDEX(tblMoveTypes[Orders?],MATCH($E125,tblMoveTypes[Movement],0)),"?")="Yes",$G125=""),"Orders needed",IF(AND(IFERROR(INDEX(tblMoveTypes[Orders?],MATCH($E125,tblMoveTypes[Movement],0)),"?")="No",$G125&lt;&gt;""),"Leave Orders blank",IF(AND(IFERROR(INDEX(tblMoveTypes[Reason?],MATCH($E125,tblMoveTypes[Movement],0)),"?")="Yes",$I125=""),"Reason needed",IF(AND(IFERROR(INDEX(tblMoveTypes[Qty?],MATCH($E125,tblMoveTypes[Movement],0)),"?")="Yes",N($F125)&lt;=0),"Qty needed",IF($A125&lt;_xlfn.MINIFS(tblShipment[Arrival Date],tblShipment[Shipment ID],$C125),"Date before arrival",IF(AND($D125&lt;&gt;"",COUNTIFS(tblShipment[Shipment ID],$C125,tblShipment[Item Code],$D125)=0),"Item not in this shipment",IF(AND($H125&lt;&gt;"",COUNTIFS(tblCouriers[Courier],$H125,tblCouriers[Market],$B125)=0),"Courier not in this market","OK")))))))))))))))</f>
        <v>OK</v>
      </c>
    </row>
    <row r="126" customFormat="false" ht="15" hidden="false" customHeight="false" outlineLevel="0" collapsed="false">
      <c r="A126" s="27" t="n">
        <v>46226</v>
      </c>
      <c r="B126" s="26" t="s">
        <v>85</v>
      </c>
      <c r="C126" s="26" t="s">
        <v>140</v>
      </c>
      <c r="D126" s="26" t="s">
        <v>88</v>
      </c>
      <c r="E126" s="26" t="s">
        <v>93</v>
      </c>
      <c r="F126" s="28" t="n">
        <v>35</v>
      </c>
      <c r="G126" s="28"/>
      <c r="H126" s="26" t="s">
        <v>91</v>
      </c>
      <c r="I126" s="26"/>
      <c r="J126" s="26"/>
      <c r="K126" s="29" t="str">
        <f aca="false">IF($A126="","",IF(COUNTIFS(tblMoveTypes[Movement],$E126)=0,"Unknown movement type",IF(COUNTIF(tblShipment[Shipment ID],$C126)=0,"Unknown shipment",IF(COUNTIFS(tblShipment[Shipment ID],$C126,tblShipment[Market],$B126)=0,"Market does not match shipment",IF(AND(IFERROR(INDEX(tblMoveTypes[Item?],MATCH($E126,tblMoveTypes[Movement],0)),"?")="Yes",$D126=""),"Item needed",IF(AND(IFERROR(INDEX(tblMoveTypes[Item?],MATCH($E126,tblMoveTypes[Movement],0)),"?")="No",$D126&lt;&gt;""),"Leave Item blank",IF(AND(IFERROR(INDEX(tblMoveTypes[Courier?],MATCH($E126,tblMoveTypes[Movement],0)),"?")="Yes",$H126=""),"Courier needed",IF(AND(IFERROR(INDEX(tblMoveTypes[Courier?],MATCH($E126,tblMoveTypes[Movement],0)),"?")="No",$H126&lt;&gt;""),"Leave Courier blank",IF(AND(IFERROR(INDEX(tblMoveTypes[Orders?],MATCH($E126,tblMoveTypes[Movement],0)),"?")="Yes",$G126=""),"Orders needed",IF(AND(IFERROR(INDEX(tblMoveTypes[Orders?],MATCH($E126,tblMoveTypes[Movement],0)),"?")="No",$G126&lt;&gt;""),"Leave Orders blank",IF(AND(IFERROR(INDEX(tblMoveTypes[Reason?],MATCH($E126,tblMoveTypes[Movement],0)),"?")="Yes",$I126=""),"Reason needed",IF(AND(IFERROR(INDEX(tblMoveTypes[Qty?],MATCH($E126,tblMoveTypes[Movement],0)),"?")="Yes",N($F126)&lt;=0),"Qty needed",IF($A126&lt;_xlfn.MINIFS(tblShipment[Arrival Date],tblShipment[Shipment ID],$C126),"Date before arrival",IF(AND($D126&lt;&gt;"",COUNTIFS(tblShipment[Shipment ID],$C126,tblShipment[Item Code],$D126)=0),"Item not in this shipment",IF(AND($H126&lt;&gt;"",COUNTIFS(tblCouriers[Courier],$H126,tblCouriers[Market],$B126)=0),"Courier not in this market","OK")))))))))))))))</f>
        <v>OK</v>
      </c>
    </row>
    <row r="127" customFormat="false" ht="15" hidden="false" customHeight="false" outlineLevel="0" collapsed="false">
      <c r="A127" s="27" t="n">
        <v>46226</v>
      </c>
      <c r="B127" s="26" t="s">
        <v>85</v>
      </c>
      <c r="C127" s="26" t="s">
        <v>140</v>
      </c>
      <c r="D127" s="26" t="s">
        <v>88</v>
      </c>
      <c r="E127" s="26" t="s">
        <v>93</v>
      </c>
      <c r="F127" s="28" t="n">
        <v>23</v>
      </c>
      <c r="G127" s="28"/>
      <c r="H127" s="26" t="s">
        <v>96</v>
      </c>
      <c r="I127" s="26"/>
      <c r="J127" s="26"/>
      <c r="K127" s="29" t="str">
        <f aca="false">IF($A127="","",IF(COUNTIFS(tblMoveTypes[Movement],$E127)=0,"Unknown movement type",IF(COUNTIF(tblShipment[Shipment ID],$C127)=0,"Unknown shipment",IF(COUNTIFS(tblShipment[Shipment ID],$C127,tblShipment[Market],$B127)=0,"Market does not match shipment",IF(AND(IFERROR(INDEX(tblMoveTypes[Item?],MATCH($E127,tblMoveTypes[Movement],0)),"?")="Yes",$D127=""),"Item needed",IF(AND(IFERROR(INDEX(tblMoveTypes[Item?],MATCH($E127,tblMoveTypes[Movement],0)),"?")="No",$D127&lt;&gt;""),"Leave Item blank",IF(AND(IFERROR(INDEX(tblMoveTypes[Courier?],MATCH($E127,tblMoveTypes[Movement],0)),"?")="Yes",$H127=""),"Courier needed",IF(AND(IFERROR(INDEX(tblMoveTypes[Courier?],MATCH($E127,tblMoveTypes[Movement],0)),"?")="No",$H127&lt;&gt;""),"Leave Courier blank",IF(AND(IFERROR(INDEX(tblMoveTypes[Orders?],MATCH($E127,tblMoveTypes[Movement],0)),"?")="Yes",$G127=""),"Orders needed",IF(AND(IFERROR(INDEX(tblMoveTypes[Orders?],MATCH($E127,tblMoveTypes[Movement],0)),"?")="No",$G127&lt;&gt;""),"Leave Orders blank",IF(AND(IFERROR(INDEX(tblMoveTypes[Reason?],MATCH($E127,tblMoveTypes[Movement],0)),"?")="Yes",$I127=""),"Reason needed",IF(AND(IFERROR(INDEX(tblMoveTypes[Qty?],MATCH($E127,tblMoveTypes[Movement],0)),"?")="Yes",N($F127)&lt;=0),"Qty needed",IF($A127&lt;_xlfn.MINIFS(tblShipment[Arrival Date],tblShipment[Shipment ID],$C127),"Date before arrival",IF(AND($D127&lt;&gt;"",COUNTIFS(tblShipment[Shipment ID],$C127,tblShipment[Item Code],$D127)=0),"Item not in this shipment",IF(AND($H127&lt;&gt;"",COUNTIFS(tblCouriers[Courier],$H127,tblCouriers[Market],$B127)=0),"Courier not in this market","OK")))))))))))))))</f>
        <v>OK</v>
      </c>
    </row>
    <row r="128" customFormat="false" ht="15" hidden="false" customHeight="false" outlineLevel="0" collapsed="false">
      <c r="A128" s="27" t="n">
        <v>46226</v>
      </c>
      <c r="B128" s="26" t="s">
        <v>85</v>
      </c>
      <c r="C128" s="26" t="s">
        <v>140</v>
      </c>
      <c r="D128" s="26" t="s">
        <v>99</v>
      </c>
      <c r="E128" s="26" t="s">
        <v>93</v>
      </c>
      <c r="F128" s="28" t="n">
        <v>71</v>
      </c>
      <c r="G128" s="28"/>
      <c r="H128" s="26" t="s">
        <v>91</v>
      </c>
      <c r="I128" s="26"/>
      <c r="J128" s="26"/>
      <c r="K128" s="29" t="str">
        <f aca="false">IF($A128="","",IF(COUNTIFS(tblMoveTypes[Movement],$E128)=0,"Unknown movement type",IF(COUNTIF(tblShipment[Shipment ID],$C128)=0,"Unknown shipment",IF(COUNTIFS(tblShipment[Shipment ID],$C128,tblShipment[Market],$B128)=0,"Market does not match shipment",IF(AND(IFERROR(INDEX(tblMoveTypes[Item?],MATCH($E128,tblMoveTypes[Movement],0)),"?")="Yes",$D128=""),"Item needed",IF(AND(IFERROR(INDEX(tblMoveTypes[Item?],MATCH($E128,tblMoveTypes[Movement],0)),"?")="No",$D128&lt;&gt;""),"Leave Item blank",IF(AND(IFERROR(INDEX(tblMoveTypes[Courier?],MATCH($E128,tblMoveTypes[Movement],0)),"?")="Yes",$H128=""),"Courier needed",IF(AND(IFERROR(INDEX(tblMoveTypes[Courier?],MATCH($E128,tblMoveTypes[Movement],0)),"?")="No",$H128&lt;&gt;""),"Leave Courier blank",IF(AND(IFERROR(INDEX(tblMoveTypes[Orders?],MATCH($E128,tblMoveTypes[Movement],0)),"?")="Yes",$G128=""),"Orders needed",IF(AND(IFERROR(INDEX(tblMoveTypes[Orders?],MATCH($E128,tblMoveTypes[Movement],0)),"?")="No",$G128&lt;&gt;""),"Leave Orders blank",IF(AND(IFERROR(INDEX(tblMoveTypes[Reason?],MATCH($E128,tblMoveTypes[Movement],0)),"?")="Yes",$I128=""),"Reason needed",IF(AND(IFERROR(INDEX(tblMoveTypes[Qty?],MATCH($E128,tblMoveTypes[Movement],0)),"?")="Yes",N($F128)&lt;=0),"Qty needed",IF($A128&lt;_xlfn.MINIFS(tblShipment[Arrival Date],tblShipment[Shipment ID],$C128),"Date before arrival",IF(AND($D128&lt;&gt;"",COUNTIFS(tblShipment[Shipment ID],$C128,tblShipment[Item Code],$D128)=0),"Item not in this shipment",IF(AND($H128&lt;&gt;"",COUNTIFS(tblCouriers[Courier],$H128,tblCouriers[Market],$B128)=0),"Courier not in this market","OK")))))))))))))))</f>
        <v>OK</v>
      </c>
    </row>
    <row r="129" customFormat="false" ht="15" hidden="false" customHeight="false" outlineLevel="0" collapsed="false">
      <c r="A129" s="27" t="n">
        <v>46226</v>
      </c>
      <c r="B129" s="26" t="s">
        <v>85</v>
      </c>
      <c r="C129" s="26" t="s">
        <v>140</v>
      </c>
      <c r="D129" s="26" t="s">
        <v>99</v>
      </c>
      <c r="E129" s="26" t="s">
        <v>93</v>
      </c>
      <c r="F129" s="28" t="n">
        <v>47</v>
      </c>
      <c r="G129" s="28"/>
      <c r="H129" s="26" t="s">
        <v>96</v>
      </c>
      <c r="I129" s="26"/>
      <c r="J129" s="26"/>
      <c r="K129" s="29" t="str">
        <f aca="false">IF($A129="","",IF(COUNTIFS(tblMoveTypes[Movement],$E129)=0,"Unknown movement type",IF(COUNTIF(tblShipment[Shipment ID],$C129)=0,"Unknown shipment",IF(COUNTIFS(tblShipment[Shipment ID],$C129,tblShipment[Market],$B129)=0,"Market does not match shipment",IF(AND(IFERROR(INDEX(tblMoveTypes[Item?],MATCH($E129,tblMoveTypes[Movement],0)),"?")="Yes",$D129=""),"Item needed",IF(AND(IFERROR(INDEX(tblMoveTypes[Item?],MATCH($E129,tblMoveTypes[Movement],0)),"?")="No",$D129&lt;&gt;""),"Leave Item blank",IF(AND(IFERROR(INDEX(tblMoveTypes[Courier?],MATCH($E129,tblMoveTypes[Movement],0)),"?")="Yes",$H129=""),"Courier needed",IF(AND(IFERROR(INDEX(tblMoveTypes[Courier?],MATCH($E129,tblMoveTypes[Movement],0)),"?")="No",$H129&lt;&gt;""),"Leave Courier blank",IF(AND(IFERROR(INDEX(tblMoveTypes[Orders?],MATCH($E129,tblMoveTypes[Movement],0)),"?")="Yes",$G129=""),"Orders needed",IF(AND(IFERROR(INDEX(tblMoveTypes[Orders?],MATCH($E129,tblMoveTypes[Movement],0)),"?")="No",$G129&lt;&gt;""),"Leave Orders blank",IF(AND(IFERROR(INDEX(tblMoveTypes[Reason?],MATCH($E129,tblMoveTypes[Movement],0)),"?")="Yes",$I129=""),"Reason needed",IF(AND(IFERROR(INDEX(tblMoveTypes[Qty?],MATCH($E129,tblMoveTypes[Movement],0)),"?")="Yes",N($F129)&lt;=0),"Qty needed",IF($A129&lt;_xlfn.MINIFS(tblShipment[Arrival Date],tblShipment[Shipment ID],$C129),"Date before arrival",IF(AND($D129&lt;&gt;"",COUNTIFS(tblShipment[Shipment ID],$C129,tblShipment[Item Code],$D129)=0),"Item not in this shipment",IF(AND($H129&lt;&gt;"",COUNTIFS(tblCouriers[Courier],$H129,tblCouriers[Market],$B129)=0),"Courier not in this market","OK")))))))))))))))</f>
        <v>OK</v>
      </c>
    </row>
    <row r="130" customFormat="false" ht="15" hidden="false" customHeight="false" outlineLevel="0" collapsed="false">
      <c r="A130" s="27" t="n">
        <v>46226</v>
      </c>
      <c r="B130" s="26" t="s">
        <v>85</v>
      </c>
      <c r="C130" s="26" t="s">
        <v>140</v>
      </c>
      <c r="D130" s="26" t="s">
        <v>94</v>
      </c>
      <c r="E130" s="26" t="s">
        <v>93</v>
      </c>
      <c r="F130" s="28" t="n">
        <v>28</v>
      </c>
      <c r="G130" s="28"/>
      <c r="H130" s="26" t="s">
        <v>91</v>
      </c>
      <c r="I130" s="26"/>
      <c r="J130" s="26"/>
      <c r="K130" s="29" t="str">
        <f aca="false">IF($A130="","",IF(COUNTIFS(tblMoveTypes[Movement],$E130)=0,"Unknown movement type",IF(COUNTIF(tblShipment[Shipment ID],$C130)=0,"Unknown shipment",IF(COUNTIFS(tblShipment[Shipment ID],$C130,tblShipment[Market],$B130)=0,"Market does not match shipment",IF(AND(IFERROR(INDEX(tblMoveTypes[Item?],MATCH($E130,tblMoveTypes[Movement],0)),"?")="Yes",$D130=""),"Item needed",IF(AND(IFERROR(INDEX(tblMoveTypes[Item?],MATCH($E130,tblMoveTypes[Movement],0)),"?")="No",$D130&lt;&gt;""),"Leave Item blank",IF(AND(IFERROR(INDEX(tblMoveTypes[Courier?],MATCH($E130,tblMoveTypes[Movement],0)),"?")="Yes",$H130=""),"Courier needed",IF(AND(IFERROR(INDEX(tblMoveTypes[Courier?],MATCH($E130,tblMoveTypes[Movement],0)),"?")="No",$H130&lt;&gt;""),"Leave Courier blank",IF(AND(IFERROR(INDEX(tblMoveTypes[Orders?],MATCH($E130,tblMoveTypes[Movement],0)),"?")="Yes",$G130=""),"Orders needed",IF(AND(IFERROR(INDEX(tblMoveTypes[Orders?],MATCH($E130,tblMoveTypes[Movement],0)),"?")="No",$G130&lt;&gt;""),"Leave Orders blank",IF(AND(IFERROR(INDEX(tblMoveTypes[Reason?],MATCH($E130,tblMoveTypes[Movement],0)),"?")="Yes",$I130=""),"Reason needed",IF(AND(IFERROR(INDEX(tblMoveTypes[Qty?],MATCH($E130,tblMoveTypes[Movement],0)),"?")="Yes",N($F130)&lt;=0),"Qty needed",IF($A130&lt;_xlfn.MINIFS(tblShipment[Arrival Date],tblShipment[Shipment ID],$C130),"Date before arrival",IF(AND($D130&lt;&gt;"",COUNTIFS(tblShipment[Shipment ID],$C130,tblShipment[Item Code],$D130)=0),"Item not in this shipment",IF(AND($H130&lt;&gt;"",COUNTIFS(tblCouriers[Courier],$H130,tblCouriers[Market],$B130)=0),"Courier not in this market","OK")))))))))))))))</f>
        <v>OK</v>
      </c>
    </row>
    <row r="131" customFormat="false" ht="15" hidden="false" customHeight="false" outlineLevel="0" collapsed="false">
      <c r="A131" s="27" t="n">
        <v>46226</v>
      </c>
      <c r="B131" s="26" t="s">
        <v>85</v>
      </c>
      <c r="C131" s="26" t="s">
        <v>140</v>
      </c>
      <c r="D131" s="26" t="s">
        <v>94</v>
      </c>
      <c r="E131" s="26" t="s">
        <v>93</v>
      </c>
      <c r="F131" s="28" t="n">
        <v>19</v>
      </c>
      <c r="G131" s="28"/>
      <c r="H131" s="26" t="s">
        <v>96</v>
      </c>
      <c r="I131" s="26"/>
      <c r="J131" s="26"/>
      <c r="K131" s="29" t="str">
        <f aca="false">IF($A131="","",IF(COUNTIFS(tblMoveTypes[Movement],$E131)=0,"Unknown movement type",IF(COUNTIF(tblShipment[Shipment ID],$C131)=0,"Unknown shipment",IF(COUNTIFS(tblShipment[Shipment ID],$C131,tblShipment[Market],$B131)=0,"Market does not match shipment",IF(AND(IFERROR(INDEX(tblMoveTypes[Item?],MATCH($E131,tblMoveTypes[Movement],0)),"?")="Yes",$D131=""),"Item needed",IF(AND(IFERROR(INDEX(tblMoveTypes[Item?],MATCH($E131,tblMoveTypes[Movement],0)),"?")="No",$D131&lt;&gt;""),"Leave Item blank",IF(AND(IFERROR(INDEX(tblMoveTypes[Courier?],MATCH($E131,tblMoveTypes[Movement],0)),"?")="Yes",$H131=""),"Courier needed",IF(AND(IFERROR(INDEX(tblMoveTypes[Courier?],MATCH($E131,tblMoveTypes[Movement],0)),"?")="No",$H131&lt;&gt;""),"Leave Courier blank",IF(AND(IFERROR(INDEX(tblMoveTypes[Orders?],MATCH($E131,tblMoveTypes[Movement],0)),"?")="Yes",$G131=""),"Orders needed",IF(AND(IFERROR(INDEX(tblMoveTypes[Orders?],MATCH($E131,tblMoveTypes[Movement],0)),"?")="No",$G131&lt;&gt;""),"Leave Orders blank",IF(AND(IFERROR(INDEX(tblMoveTypes[Reason?],MATCH($E131,tblMoveTypes[Movement],0)),"?")="Yes",$I131=""),"Reason needed",IF(AND(IFERROR(INDEX(tblMoveTypes[Qty?],MATCH($E131,tblMoveTypes[Movement],0)),"?")="Yes",N($F131)&lt;=0),"Qty needed",IF($A131&lt;_xlfn.MINIFS(tblShipment[Arrival Date],tblShipment[Shipment ID],$C131),"Date before arrival",IF(AND($D131&lt;&gt;"",COUNTIFS(tblShipment[Shipment ID],$C131,tblShipment[Item Code],$D131)=0),"Item not in this shipment",IF(AND($H131&lt;&gt;"",COUNTIFS(tblCouriers[Courier],$H131,tblCouriers[Market],$B131)=0),"Courier not in this market","OK")))))))))))))))</f>
        <v>OK</v>
      </c>
    </row>
    <row r="132" customFormat="false" ht="15" hidden="false" customHeight="false" outlineLevel="0" collapsed="false">
      <c r="A132" s="27" t="n">
        <v>46226</v>
      </c>
      <c r="B132" s="26" t="s">
        <v>85</v>
      </c>
      <c r="C132" s="26" t="s">
        <v>140</v>
      </c>
      <c r="D132" s="26"/>
      <c r="E132" s="26" t="s">
        <v>104</v>
      </c>
      <c r="F132" s="28"/>
      <c r="G132" s="28" t="n">
        <v>20</v>
      </c>
      <c r="H132" s="26" t="s">
        <v>91</v>
      </c>
      <c r="I132" s="26"/>
      <c r="J132" s="26"/>
      <c r="K132" s="29" t="str">
        <f aca="false">IF($A132="","",IF(COUNTIFS(tblMoveTypes[Movement],$E132)=0,"Unknown movement type",IF(COUNTIF(tblShipment[Shipment ID],$C132)=0,"Unknown shipment",IF(COUNTIFS(tblShipment[Shipment ID],$C132,tblShipment[Market],$B132)=0,"Market does not match shipment",IF(AND(IFERROR(INDEX(tblMoveTypes[Item?],MATCH($E132,tblMoveTypes[Movement],0)),"?")="Yes",$D132=""),"Item needed",IF(AND(IFERROR(INDEX(tblMoveTypes[Item?],MATCH($E132,tblMoveTypes[Movement],0)),"?")="No",$D132&lt;&gt;""),"Leave Item blank",IF(AND(IFERROR(INDEX(tblMoveTypes[Courier?],MATCH($E132,tblMoveTypes[Movement],0)),"?")="Yes",$H132=""),"Courier needed",IF(AND(IFERROR(INDEX(tblMoveTypes[Courier?],MATCH($E132,tblMoveTypes[Movement],0)),"?")="No",$H132&lt;&gt;""),"Leave Courier blank",IF(AND(IFERROR(INDEX(tblMoveTypes[Orders?],MATCH($E132,tblMoveTypes[Movement],0)),"?")="Yes",$G132=""),"Orders needed",IF(AND(IFERROR(INDEX(tblMoveTypes[Orders?],MATCH($E132,tblMoveTypes[Movement],0)),"?")="No",$G132&lt;&gt;""),"Leave Orders blank",IF(AND(IFERROR(INDEX(tblMoveTypes[Reason?],MATCH($E132,tblMoveTypes[Movement],0)),"?")="Yes",$I132=""),"Reason needed",IF(AND(IFERROR(INDEX(tblMoveTypes[Qty?],MATCH($E132,tblMoveTypes[Movement],0)),"?")="Yes",N($F132)&lt;=0),"Qty needed",IF($A132&lt;_xlfn.MINIFS(tblShipment[Arrival Date],tblShipment[Shipment ID],$C132),"Date before arrival",IF(AND($D132&lt;&gt;"",COUNTIFS(tblShipment[Shipment ID],$C132,tblShipment[Item Code],$D132)=0),"Item not in this shipment",IF(AND($H132&lt;&gt;"",COUNTIFS(tblCouriers[Courier],$H132,tblCouriers[Market],$B132)=0),"Courier not in this market","OK")))))))))))))))</f>
        <v>OK</v>
      </c>
    </row>
    <row r="133" customFormat="false" ht="15" hidden="false" customHeight="false" outlineLevel="0" collapsed="false">
      <c r="A133" s="27" t="n">
        <v>46226</v>
      </c>
      <c r="B133" s="26" t="s">
        <v>85</v>
      </c>
      <c r="C133" s="26" t="s">
        <v>140</v>
      </c>
      <c r="D133" s="26"/>
      <c r="E133" s="26" t="s">
        <v>106</v>
      </c>
      <c r="F133" s="28" t="n">
        <v>60</v>
      </c>
      <c r="G133" s="28" t="n">
        <v>9</v>
      </c>
      <c r="H133" s="26" t="s">
        <v>91</v>
      </c>
      <c r="I133" s="26"/>
      <c r="J133" s="26"/>
      <c r="K133" s="29" t="str">
        <f aca="false">IF($A133="","",IF(COUNTIFS(tblMoveTypes[Movement],$E133)=0,"Unknown movement type",IF(COUNTIF(tblShipment[Shipment ID],$C133)=0,"Unknown shipment",IF(COUNTIFS(tblShipment[Shipment ID],$C133,tblShipment[Market],$B133)=0,"Market does not match shipment",IF(AND(IFERROR(INDEX(tblMoveTypes[Item?],MATCH($E133,tblMoveTypes[Movement],0)),"?")="Yes",$D133=""),"Item needed",IF(AND(IFERROR(INDEX(tblMoveTypes[Item?],MATCH($E133,tblMoveTypes[Movement],0)),"?")="No",$D133&lt;&gt;""),"Leave Item blank",IF(AND(IFERROR(INDEX(tblMoveTypes[Courier?],MATCH($E133,tblMoveTypes[Movement],0)),"?")="Yes",$H133=""),"Courier needed",IF(AND(IFERROR(INDEX(tblMoveTypes[Courier?],MATCH($E133,tblMoveTypes[Movement],0)),"?")="No",$H133&lt;&gt;""),"Leave Courier blank",IF(AND(IFERROR(INDEX(tblMoveTypes[Orders?],MATCH($E133,tblMoveTypes[Movement],0)),"?")="Yes",$G133=""),"Orders needed",IF(AND(IFERROR(INDEX(tblMoveTypes[Orders?],MATCH($E133,tblMoveTypes[Movement],0)),"?")="No",$G133&lt;&gt;""),"Leave Orders blank",IF(AND(IFERROR(INDEX(tblMoveTypes[Reason?],MATCH($E133,tblMoveTypes[Movement],0)),"?")="Yes",$I133=""),"Reason needed",IF(AND(IFERROR(INDEX(tblMoveTypes[Qty?],MATCH($E133,tblMoveTypes[Movement],0)),"?")="Yes",N($F133)&lt;=0),"Qty needed",IF($A133&lt;_xlfn.MINIFS(tblShipment[Arrival Date],tblShipment[Shipment ID],$C133),"Date before arrival",IF(AND($D133&lt;&gt;"",COUNTIFS(tblShipment[Shipment ID],$C133,tblShipment[Item Code],$D133)=0),"Item not in this shipment",IF(AND($H133&lt;&gt;"",COUNTIFS(tblCouriers[Courier],$H133,tblCouriers[Market],$B133)=0),"Courier not in this market","OK")))))))))))))))</f>
        <v>OK</v>
      </c>
    </row>
    <row r="134" customFormat="false" ht="15" hidden="false" customHeight="false" outlineLevel="0" collapsed="false">
      <c r="A134" s="27" t="n">
        <v>46226</v>
      </c>
      <c r="B134" s="26" t="s">
        <v>85</v>
      </c>
      <c r="C134" s="26" t="s">
        <v>140</v>
      </c>
      <c r="D134" s="26"/>
      <c r="E134" s="26" t="s">
        <v>104</v>
      </c>
      <c r="F134" s="28"/>
      <c r="G134" s="28" t="n">
        <v>13</v>
      </c>
      <c r="H134" s="26" t="s">
        <v>96</v>
      </c>
      <c r="I134" s="26"/>
      <c r="J134" s="26"/>
      <c r="K134" s="29" t="str">
        <f aca="false">IF($A134="","",IF(COUNTIFS(tblMoveTypes[Movement],$E134)=0,"Unknown movement type",IF(COUNTIF(tblShipment[Shipment ID],$C134)=0,"Unknown shipment",IF(COUNTIFS(tblShipment[Shipment ID],$C134,tblShipment[Market],$B134)=0,"Market does not match shipment",IF(AND(IFERROR(INDEX(tblMoveTypes[Item?],MATCH($E134,tblMoveTypes[Movement],0)),"?")="Yes",$D134=""),"Item needed",IF(AND(IFERROR(INDEX(tblMoveTypes[Item?],MATCH($E134,tblMoveTypes[Movement],0)),"?")="No",$D134&lt;&gt;""),"Leave Item blank",IF(AND(IFERROR(INDEX(tblMoveTypes[Courier?],MATCH($E134,tblMoveTypes[Movement],0)),"?")="Yes",$H134=""),"Courier needed",IF(AND(IFERROR(INDEX(tblMoveTypes[Courier?],MATCH($E134,tblMoveTypes[Movement],0)),"?")="No",$H134&lt;&gt;""),"Leave Courier blank",IF(AND(IFERROR(INDEX(tblMoveTypes[Orders?],MATCH($E134,tblMoveTypes[Movement],0)),"?")="Yes",$G134=""),"Orders needed",IF(AND(IFERROR(INDEX(tblMoveTypes[Orders?],MATCH($E134,tblMoveTypes[Movement],0)),"?")="No",$G134&lt;&gt;""),"Leave Orders blank",IF(AND(IFERROR(INDEX(tblMoveTypes[Reason?],MATCH($E134,tblMoveTypes[Movement],0)),"?")="Yes",$I134=""),"Reason needed",IF(AND(IFERROR(INDEX(tblMoveTypes[Qty?],MATCH($E134,tblMoveTypes[Movement],0)),"?")="Yes",N($F134)&lt;=0),"Qty needed",IF($A134&lt;_xlfn.MINIFS(tblShipment[Arrival Date],tblShipment[Shipment ID],$C134),"Date before arrival",IF(AND($D134&lt;&gt;"",COUNTIFS(tblShipment[Shipment ID],$C134,tblShipment[Item Code],$D134)=0),"Item not in this shipment",IF(AND($H134&lt;&gt;"",COUNTIFS(tblCouriers[Courier],$H134,tblCouriers[Market],$B134)=0),"Courier not in this market","OK")))))))))))))))</f>
        <v>OK</v>
      </c>
    </row>
    <row r="135" customFormat="false" ht="15" hidden="false" customHeight="false" outlineLevel="0" collapsed="false">
      <c r="A135" s="27" t="n">
        <v>46226</v>
      </c>
      <c r="B135" s="26" t="s">
        <v>85</v>
      </c>
      <c r="C135" s="26" t="s">
        <v>140</v>
      </c>
      <c r="D135" s="26"/>
      <c r="E135" s="26" t="s">
        <v>106</v>
      </c>
      <c r="F135" s="28" t="n">
        <v>36</v>
      </c>
      <c r="G135" s="28" t="n">
        <v>5</v>
      </c>
      <c r="H135" s="26" t="s">
        <v>96</v>
      </c>
      <c r="I135" s="26"/>
      <c r="J135" s="26"/>
      <c r="K135" s="29" t="str">
        <f aca="false">IF($A135="","",IF(COUNTIFS(tblMoveTypes[Movement],$E135)=0,"Unknown movement type",IF(COUNTIF(tblShipment[Shipment ID],$C135)=0,"Unknown shipment",IF(COUNTIFS(tblShipment[Shipment ID],$C135,tblShipment[Market],$B135)=0,"Market does not match shipment",IF(AND(IFERROR(INDEX(tblMoveTypes[Item?],MATCH($E135,tblMoveTypes[Movement],0)),"?")="Yes",$D135=""),"Item needed",IF(AND(IFERROR(INDEX(tblMoveTypes[Item?],MATCH($E135,tblMoveTypes[Movement],0)),"?")="No",$D135&lt;&gt;""),"Leave Item blank",IF(AND(IFERROR(INDEX(tblMoveTypes[Courier?],MATCH($E135,tblMoveTypes[Movement],0)),"?")="Yes",$H135=""),"Courier needed",IF(AND(IFERROR(INDEX(tblMoveTypes[Courier?],MATCH($E135,tblMoveTypes[Movement],0)),"?")="No",$H135&lt;&gt;""),"Leave Courier blank",IF(AND(IFERROR(INDEX(tblMoveTypes[Orders?],MATCH($E135,tblMoveTypes[Movement],0)),"?")="Yes",$G135=""),"Orders needed",IF(AND(IFERROR(INDEX(tblMoveTypes[Orders?],MATCH($E135,tblMoveTypes[Movement],0)),"?")="No",$G135&lt;&gt;""),"Leave Orders blank",IF(AND(IFERROR(INDEX(tblMoveTypes[Reason?],MATCH($E135,tblMoveTypes[Movement],0)),"?")="Yes",$I135=""),"Reason needed",IF(AND(IFERROR(INDEX(tblMoveTypes[Qty?],MATCH($E135,tblMoveTypes[Movement],0)),"?")="Yes",N($F135)&lt;=0),"Qty needed",IF($A135&lt;_xlfn.MINIFS(tblShipment[Arrival Date],tblShipment[Shipment ID],$C135),"Date before arrival",IF(AND($D135&lt;&gt;"",COUNTIFS(tblShipment[Shipment ID],$C135,tblShipment[Item Code],$D135)=0),"Item not in this shipment",IF(AND($H135&lt;&gt;"",COUNTIFS(tblCouriers[Courier],$H135,tblCouriers[Market],$B135)=0),"Courier not in this market","OK")))))))))))))))</f>
        <v>OK</v>
      </c>
    </row>
    <row r="136" customFormat="false" ht="15" hidden="false" customHeight="false" outlineLevel="0" collapsed="false">
      <c r="A136" s="27" t="n">
        <v>46226</v>
      </c>
      <c r="B136" s="26" t="s">
        <v>90</v>
      </c>
      <c r="C136" s="26" t="s">
        <v>147</v>
      </c>
      <c r="D136" s="26"/>
      <c r="E136" s="26" t="s">
        <v>106</v>
      </c>
      <c r="F136" s="28" t="n">
        <v>48</v>
      </c>
      <c r="G136" s="28" t="n">
        <v>7</v>
      </c>
      <c r="H136" s="26" t="s">
        <v>101</v>
      </c>
      <c r="I136" s="26"/>
      <c r="J136" s="26"/>
      <c r="K136" s="29" t="str">
        <f aca="false">IF($A136="","",IF(COUNTIFS(tblMoveTypes[Movement],$E136)=0,"Unknown movement type",IF(COUNTIF(tblShipment[Shipment ID],$C136)=0,"Unknown shipment",IF(COUNTIFS(tblShipment[Shipment ID],$C136,tblShipment[Market],$B136)=0,"Market does not match shipment",IF(AND(IFERROR(INDEX(tblMoveTypes[Item?],MATCH($E136,tblMoveTypes[Movement],0)),"?")="Yes",$D136=""),"Item needed",IF(AND(IFERROR(INDEX(tblMoveTypes[Item?],MATCH($E136,tblMoveTypes[Movement],0)),"?")="No",$D136&lt;&gt;""),"Leave Item blank",IF(AND(IFERROR(INDEX(tblMoveTypes[Courier?],MATCH($E136,tblMoveTypes[Movement],0)),"?")="Yes",$H136=""),"Courier needed",IF(AND(IFERROR(INDEX(tblMoveTypes[Courier?],MATCH($E136,tblMoveTypes[Movement],0)),"?")="No",$H136&lt;&gt;""),"Leave Courier blank",IF(AND(IFERROR(INDEX(tblMoveTypes[Orders?],MATCH($E136,tblMoveTypes[Movement],0)),"?")="Yes",$G136=""),"Orders needed",IF(AND(IFERROR(INDEX(tblMoveTypes[Orders?],MATCH($E136,tblMoveTypes[Movement],0)),"?")="No",$G136&lt;&gt;""),"Leave Orders blank",IF(AND(IFERROR(INDEX(tblMoveTypes[Reason?],MATCH($E136,tblMoveTypes[Movement],0)),"?")="Yes",$I136=""),"Reason needed",IF(AND(IFERROR(INDEX(tblMoveTypes[Qty?],MATCH($E136,tblMoveTypes[Movement],0)),"?")="Yes",N($F136)&lt;=0),"Qty needed",IF($A136&lt;_xlfn.MINIFS(tblShipment[Arrival Date],tblShipment[Shipment ID],$C136),"Date before arrival",IF(AND($D136&lt;&gt;"",COUNTIFS(tblShipment[Shipment ID],$C136,tblShipment[Item Code],$D136)=0),"Item not in this shipment",IF(AND($H136&lt;&gt;"",COUNTIFS(tblCouriers[Courier],$H136,tblCouriers[Market],$B136)=0),"Courier not in this market","OK")))))))))))))))</f>
        <v>OK</v>
      </c>
    </row>
    <row r="137" customFormat="false" ht="15" hidden="false" customHeight="false" outlineLevel="0" collapsed="false">
      <c r="A137" s="27" t="n">
        <v>46226</v>
      </c>
      <c r="B137" s="26" t="s">
        <v>78</v>
      </c>
      <c r="C137" s="26" t="s">
        <v>131</v>
      </c>
      <c r="D137" s="26"/>
      <c r="E137" s="26" t="s">
        <v>106</v>
      </c>
      <c r="F137" s="28" t="n">
        <v>54</v>
      </c>
      <c r="G137" s="28" t="n">
        <v>8</v>
      </c>
      <c r="H137" s="26" t="s">
        <v>79</v>
      </c>
      <c r="I137" s="26"/>
      <c r="J137" s="26"/>
      <c r="K137" s="29" t="str">
        <f aca="false">IF($A137="","",IF(COUNTIFS(tblMoveTypes[Movement],$E137)=0,"Unknown movement type",IF(COUNTIF(tblShipment[Shipment ID],$C137)=0,"Unknown shipment",IF(COUNTIFS(tblShipment[Shipment ID],$C137,tblShipment[Market],$B137)=0,"Market does not match shipment",IF(AND(IFERROR(INDEX(tblMoveTypes[Item?],MATCH($E137,tblMoveTypes[Movement],0)),"?")="Yes",$D137=""),"Item needed",IF(AND(IFERROR(INDEX(tblMoveTypes[Item?],MATCH($E137,tblMoveTypes[Movement],0)),"?")="No",$D137&lt;&gt;""),"Leave Item blank",IF(AND(IFERROR(INDEX(tblMoveTypes[Courier?],MATCH($E137,tblMoveTypes[Movement],0)),"?")="Yes",$H137=""),"Courier needed",IF(AND(IFERROR(INDEX(tblMoveTypes[Courier?],MATCH($E137,tblMoveTypes[Movement],0)),"?")="No",$H137&lt;&gt;""),"Leave Courier blank",IF(AND(IFERROR(INDEX(tblMoveTypes[Orders?],MATCH($E137,tblMoveTypes[Movement],0)),"?")="Yes",$G137=""),"Orders needed",IF(AND(IFERROR(INDEX(tblMoveTypes[Orders?],MATCH($E137,tblMoveTypes[Movement],0)),"?")="No",$G137&lt;&gt;""),"Leave Orders blank",IF(AND(IFERROR(INDEX(tblMoveTypes[Reason?],MATCH($E137,tblMoveTypes[Movement],0)),"?")="Yes",$I137=""),"Reason needed",IF(AND(IFERROR(INDEX(tblMoveTypes[Qty?],MATCH($E137,tblMoveTypes[Movement],0)),"?")="Yes",N($F137)&lt;=0),"Qty needed",IF($A137&lt;_xlfn.MINIFS(tblShipment[Arrival Date],tblShipment[Shipment ID],$C137),"Date before arrival",IF(AND($D137&lt;&gt;"",COUNTIFS(tblShipment[Shipment ID],$C137,tblShipment[Item Code],$D137)=0),"Item not in this shipment",IF(AND($H137&lt;&gt;"",COUNTIFS(tblCouriers[Courier],$H137,tblCouriers[Market],$B137)=0),"Courier not in this market","OK")))))))))))))))</f>
        <v>OK</v>
      </c>
    </row>
    <row r="138" customFormat="false" ht="15" hidden="false" customHeight="false" outlineLevel="0" collapsed="false">
      <c r="A138" s="27" t="n">
        <v>46226</v>
      </c>
      <c r="B138" s="26" t="s">
        <v>78</v>
      </c>
      <c r="C138" s="26" t="s">
        <v>131</v>
      </c>
      <c r="D138" s="26" t="s">
        <v>88</v>
      </c>
      <c r="E138" s="26" t="s">
        <v>93</v>
      </c>
      <c r="F138" s="28" t="n">
        <v>5</v>
      </c>
      <c r="G138" s="28"/>
      <c r="H138" s="26" t="s">
        <v>79</v>
      </c>
      <c r="I138" s="26"/>
      <c r="J138" s="26"/>
      <c r="K138" s="29" t="str">
        <f aca="false">IF($A138="","",IF(COUNTIFS(tblMoveTypes[Movement],$E138)=0,"Unknown movement type",IF(COUNTIF(tblShipment[Shipment ID],$C138)=0,"Unknown shipment",IF(COUNTIFS(tblShipment[Shipment ID],$C138,tblShipment[Market],$B138)=0,"Market does not match shipment",IF(AND(IFERROR(INDEX(tblMoveTypes[Item?],MATCH($E138,tblMoveTypes[Movement],0)),"?")="Yes",$D138=""),"Item needed",IF(AND(IFERROR(INDEX(tblMoveTypes[Item?],MATCH($E138,tblMoveTypes[Movement],0)),"?")="No",$D138&lt;&gt;""),"Leave Item blank",IF(AND(IFERROR(INDEX(tblMoveTypes[Courier?],MATCH($E138,tblMoveTypes[Movement],0)),"?")="Yes",$H138=""),"Courier needed",IF(AND(IFERROR(INDEX(tblMoveTypes[Courier?],MATCH($E138,tblMoveTypes[Movement],0)),"?")="No",$H138&lt;&gt;""),"Leave Courier blank",IF(AND(IFERROR(INDEX(tblMoveTypes[Orders?],MATCH($E138,tblMoveTypes[Movement],0)),"?")="Yes",$G138=""),"Orders needed",IF(AND(IFERROR(INDEX(tblMoveTypes[Orders?],MATCH($E138,tblMoveTypes[Movement],0)),"?")="No",$G138&lt;&gt;""),"Leave Orders blank",IF(AND(IFERROR(INDEX(tblMoveTypes[Reason?],MATCH($E138,tblMoveTypes[Movement],0)),"?")="Yes",$I138=""),"Reason needed",IF(AND(IFERROR(INDEX(tblMoveTypes[Qty?],MATCH($E138,tblMoveTypes[Movement],0)),"?")="Yes",N($F138)&lt;=0),"Qty needed",IF($A138&lt;_xlfn.MINIFS(tblShipment[Arrival Date],tblShipment[Shipment ID],$C138),"Date before arrival",IF(AND($D138&lt;&gt;"",COUNTIFS(tblShipment[Shipment ID],$C138,tblShipment[Item Code],$D138)=0),"Item not in this shipment",IF(AND($H138&lt;&gt;"",COUNTIFS(tblCouriers[Courier],$H138,tblCouriers[Market],$B138)=0),"Courier not in this market","OK")))))))))))))))</f>
        <v>OK</v>
      </c>
    </row>
    <row r="139" customFormat="false" ht="15" hidden="false" customHeight="false" outlineLevel="0" collapsed="false">
      <c r="A139" s="27" t="n">
        <v>46226</v>
      </c>
      <c r="B139" s="26" t="s">
        <v>78</v>
      </c>
      <c r="C139" s="26" t="s">
        <v>131</v>
      </c>
      <c r="D139" s="26"/>
      <c r="E139" s="26" t="s">
        <v>104</v>
      </c>
      <c r="F139" s="28"/>
      <c r="G139" s="28" t="n">
        <v>1</v>
      </c>
      <c r="H139" s="26" t="s">
        <v>79</v>
      </c>
      <c r="I139" s="26"/>
      <c r="J139" s="26"/>
      <c r="K139" s="29" t="str">
        <f aca="false">IF($A139="","",IF(COUNTIFS(tblMoveTypes[Movement],$E139)=0,"Unknown movement type",IF(COUNTIF(tblShipment[Shipment ID],$C139)=0,"Unknown shipment",IF(COUNTIFS(tblShipment[Shipment ID],$C139,tblShipment[Market],$B139)=0,"Market does not match shipment",IF(AND(IFERROR(INDEX(tblMoveTypes[Item?],MATCH($E139,tblMoveTypes[Movement],0)),"?")="Yes",$D139=""),"Item needed",IF(AND(IFERROR(INDEX(tblMoveTypes[Item?],MATCH($E139,tblMoveTypes[Movement],0)),"?")="No",$D139&lt;&gt;""),"Leave Item blank",IF(AND(IFERROR(INDEX(tblMoveTypes[Courier?],MATCH($E139,tblMoveTypes[Movement],0)),"?")="Yes",$H139=""),"Courier needed",IF(AND(IFERROR(INDEX(tblMoveTypes[Courier?],MATCH($E139,tblMoveTypes[Movement],0)),"?")="No",$H139&lt;&gt;""),"Leave Courier blank",IF(AND(IFERROR(INDEX(tblMoveTypes[Orders?],MATCH($E139,tblMoveTypes[Movement],0)),"?")="Yes",$G139=""),"Orders needed",IF(AND(IFERROR(INDEX(tblMoveTypes[Orders?],MATCH($E139,tblMoveTypes[Movement],0)),"?")="No",$G139&lt;&gt;""),"Leave Orders blank",IF(AND(IFERROR(INDEX(tblMoveTypes[Reason?],MATCH($E139,tblMoveTypes[Movement],0)),"?")="Yes",$I139=""),"Reason needed",IF(AND(IFERROR(INDEX(tblMoveTypes[Qty?],MATCH($E139,tblMoveTypes[Movement],0)),"?")="Yes",N($F139)&lt;=0),"Qty needed",IF($A139&lt;_xlfn.MINIFS(tblShipment[Arrival Date],tblShipment[Shipment ID],$C139),"Date before arrival",IF(AND($D139&lt;&gt;"",COUNTIFS(tblShipment[Shipment ID],$C139,tblShipment[Item Code],$D139)=0),"Item not in this shipment",IF(AND($H139&lt;&gt;"",COUNTIFS(tblCouriers[Courier],$H139,tblCouriers[Market],$B139)=0),"Courier not in this market","OK")))))))))))))))</f>
        <v>OK</v>
      </c>
    </row>
    <row r="140" customFormat="false" ht="15" hidden="false" customHeight="false" outlineLevel="0" collapsed="false">
      <c r="A140" s="27" t="n">
        <v>46226</v>
      </c>
      <c r="B140" s="26" t="s">
        <v>78</v>
      </c>
      <c r="C140" s="26" t="s">
        <v>132</v>
      </c>
      <c r="D140" s="26"/>
      <c r="E140" s="26" t="s">
        <v>106</v>
      </c>
      <c r="F140" s="28" t="n">
        <v>26</v>
      </c>
      <c r="G140" s="28" t="n">
        <v>4</v>
      </c>
      <c r="H140" s="26" t="s">
        <v>79</v>
      </c>
      <c r="I140" s="26"/>
      <c r="J140" s="26"/>
      <c r="K140" s="29" t="str">
        <f aca="false">IF($A140="","",IF(COUNTIFS(tblMoveTypes[Movement],$E140)=0,"Unknown movement type",IF(COUNTIF(tblShipment[Shipment ID],$C140)=0,"Unknown shipment",IF(COUNTIFS(tblShipment[Shipment ID],$C140,tblShipment[Market],$B140)=0,"Market does not match shipment",IF(AND(IFERROR(INDEX(tblMoveTypes[Item?],MATCH($E140,tblMoveTypes[Movement],0)),"?")="Yes",$D140=""),"Item needed",IF(AND(IFERROR(INDEX(tblMoveTypes[Item?],MATCH($E140,tblMoveTypes[Movement],0)),"?")="No",$D140&lt;&gt;""),"Leave Item blank",IF(AND(IFERROR(INDEX(tblMoveTypes[Courier?],MATCH($E140,tblMoveTypes[Movement],0)),"?")="Yes",$H140=""),"Courier needed",IF(AND(IFERROR(INDEX(tblMoveTypes[Courier?],MATCH($E140,tblMoveTypes[Movement],0)),"?")="No",$H140&lt;&gt;""),"Leave Courier blank",IF(AND(IFERROR(INDEX(tblMoveTypes[Orders?],MATCH($E140,tblMoveTypes[Movement],0)),"?")="Yes",$G140=""),"Orders needed",IF(AND(IFERROR(INDEX(tblMoveTypes[Orders?],MATCH($E140,tblMoveTypes[Movement],0)),"?")="No",$G140&lt;&gt;""),"Leave Orders blank",IF(AND(IFERROR(INDEX(tblMoveTypes[Reason?],MATCH($E140,tblMoveTypes[Movement],0)),"?")="Yes",$I140=""),"Reason needed",IF(AND(IFERROR(INDEX(tblMoveTypes[Qty?],MATCH($E140,tblMoveTypes[Movement],0)),"?")="Yes",N($F140)&lt;=0),"Qty needed",IF($A140&lt;_xlfn.MINIFS(tblShipment[Arrival Date],tblShipment[Shipment ID],$C140),"Date before arrival",IF(AND($D140&lt;&gt;"",COUNTIFS(tblShipment[Shipment ID],$C140,tblShipment[Item Code],$D140)=0),"Item not in this shipment",IF(AND($H140&lt;&gt;"",COUNTIFS(tblCouriers[Courier],$H140,tblCouriers[Market],$B140)=0),"Courier not in this market","OK")))))))))))))))</f>
        <v>OK</v>
      </c>
    </row>
    <row r="141" customFormat="false" ht="15" hidden="false" customHeight="false" outlineLevel="0" collapsed="false">
      <c r="A141" s="27" t="n">
        <v>46227</v>
      </c>
      <c r="B141" s="26" t="s">
        <v>70</v>
      </c>
      <c r="C141" s="26" t="s">
        <v>124</v>
      </c>
      <c r="D141" s="26" t="s">
        <v>94</v>
      </c>
      <c r="E141" s="26" t="s">
        <v>93</v>
      </c>
      <c r="F141" s="28" t="n">
        <v>4</v>
      </c>
      <c r="G141" s="28"/>
      <c r="H141" s="26" t="s">
        <v>71</v>
      </c>
      <c r="I141" s="26"/>
      <c r="J141" s="26"/>
      <c r="K141" s="29" t="str">
        <f aca="false">IF($A141="","",IF(COUNTIFS(tblMoveTypes[Movement],$E141)=0,"Unknown movement type",IF(COUNTIF(tblShipment[Shipment ID],$C141)=0,"Unknown shipment",IF(COUNTIFS(tblShipment[Shipment ID],$C141,tblShipment[Market],$B141)=0,"Market does not match shipment",IF(AND(IFERROR(INDEX(tblMoveTypes[Item?],MATCH($E141,tblMoveTypes[Movement],0)),"?")="Yes",$D141=""),"Item needed",IF(AND(IFERROR(INDEX(tblMoveTypes[Item?],MATCH($E141,tblMoveTypes[Movement],0)),"?")="No",$D141&lt;&gt;""),"Leave Item blank",IF(AND(IFERROR(INDEX(tblMoveTypes[Courier?],MATCH($E141,tblMoveTypes[Movement],0)),"?")="Yes",$H141=""),"Courier needed",IF(AND(IFERROR(INDEX(tblMoveTypes[Courier?],MATCH($E141,tblMoveTypes[Movement],0)),"?")="No",$H141&lt;&gt;""),"Leave Courier blank",IF(AND(IFERROR(INDEX(tblMoveTypes[Orders?],MATCH($E141,tblMoveTypes[Movement],0)),"?")="Yes",$G141=""),"Orders needed",IF(AND(IFERROR(INDEX(tblMoveTypes[Orders?],MATCH($E141,tblMoveTypes[Movement],0)),"?")="No",$G141&lt;&gt;""),"Leave Orders blank",IF(AND(IFERROR(INDEX(tblMoveTypes[Reason?],MATCH($E141,tblMoveTypes[Movement],0)),"?")="Yes",$I141=""),"Reason needed",IF(AND(IFERROR(INDEX(tblMoveTypes[Qty?],MATCH($E141,tblMoveTypes[Movement],0)),"?")="Yes",N($F141)&lt;=0),"Qty needed",IF($A141&lt;_xlfn.MINIFS(tblShipment[Arrival Date],tblShipment[Shipment ID],$C141),"Date before arrival",IF(AND($D141&lt;&gt;"",COUNTIFS(tblShipment[Shipment ID],$C141,tblShipment[Item Code],$D141)=0),"Item not in this shipment",IF(AND($H141&lt;&gt;"",COUNTIFS(tblCouriers[Courier],$H141,tblCouriers[Market],$B141)=0),"Courier not in this market","OK")))))))))))))))</f>
        <v>OK</v>
      </c>
    </row>
    <row r="142" customFormat="false" ht="15" hidden="false" customHeight="false" outlineLevel="0" collapsed="false">
      <c r="A142" s="27" t="n">
        <v>46227</v>
      </c>
      <c r="B142" s="26" t="s">
        <v>70</v>
      </c>
      <c r="C142" s="26" t="s">
        <v>124</v>
      </c>
      <c r="D142" s="26"/>
      <c r="E142" s="26" t="s">
        <v>104</v>
      </c>
      <c r="F142" s="28"/>
      <c r="G142" s="28" t="n">
        <v>1</v>
      </c>
      <c r="H142" s="26" t="s">
        <v>71</v>
      </c>
      <c r="I142" s="26"/>
      <c r="J142" s="26"/>
      <c r="K142" s="29" t="str">
        <f aca="false">IF($A142="","",IF(COUNTIFS(tblMoveTypes[Movement],$E142)=0,"Unknown movement type",IF(COUNTIF(tblShipment[Shipment ID],$C142)=0,"Unknown shipment",IF(COUNTIFS(tblShipment[Shipment ID],$C142,tblShipment[Market],$B142)=0,"Market does not match shipment",IF(AND(IFERROR(INDEX(tblMoveTypes[Item?],MATCH($E142,tblMoveTypes[Movement],0)),"?")="Yes",$D142=""),"Item needed",IF(AND(IFERROR(INDEX(tblMoveTypes[Item?],MATCH($E142,tblMoveTypes[Movement],0)),"?")="No",$D142&lt;&gt;""),"Leave Item blank",IF(AND(IFERROR(INDEX(tblMoveTypes[Courier?],MATCH($E142,tblMoveTypes[Movement],0)),"?")="Yes",$H142=""),"Courier needed",IF(AND(IFERROR(INDEX(tblMoveTypes[Courier?],MATCH($E142,tblMoveTypes[Movement],0)),"?")="No",$H142&lt;&gt;""),"Leave Courier blank",IF(AND(IFERROR(INDEX(tblMoveTypes[Orders?],MATCH($E142,tblMoveTypes[Movement],0)),"?")="Yes",$G142=""),"Orders needed",IF(AND(IFERROR(INDEX(tblMoveTypes[Orders?],MATCH($E142,tblMoveTypes[Movement],0)),"?")="No",$G142&lt;&gt;""),"Leave Orders blank",IF(AND(IFERROR(INDEX(tblMoveTypes[Reason?],MATCH($E142,tblMoveTypes[Movement],0)),"?")="Yes",$I142=""),"Reason needed",IF(AND(IFERROR(INDEX(tblMoveTypes[Qty?],MATCH($E142,tblMoveTypes[Movement],0)),"?")="Yes",N($F142)&lt;=0),"Qty needed",IF($A142&lt;_xlfn.MINIFS(tblShipment[Arrival Date],tblShipment[Shipment ID],$C142),"Date before arrival",IF(AND($D142&lt;&gt;"",COUNTIFS(tblShipment[Shipment ID],$C142,tblShipment[Item Code],$D142)=0),"Item not in this shipment",IF(AND($H142&lt;&gt;"",COUNTIFS(tblCouriers[Courier],$H142,tblCouriers[Market],$B142)=0),"Courier not in this market","OK")))))))))))))))</f>
        <v>OK</v>
      </c>
    </row>
    <row r="143" customFormat="false" ht="15" hidden="false" customHeight="false" outlineLevel="0" collapsed="false">
      <c r="A143" s="27" t="n">
        <v>46227</v>
      </c>
      <c r="B143" s="26" t="s">
        <v>70</v>
      </c>
      <c r="C143" s="26" t="s">
        <v>125</v>
      </c>
      <c r="D143" s="26" t="s">
        <v>76</v>
      </c>
      <c r="E143" s="26" t="s">
        <v>74</v>
      </c>
      <c r="F143" s="28" t="n">
        <v>100</v>
      </c>
      <c r="G143" s="28"/>
      <c r="H143" s="26"/>
      <c r="I143" s="26"/>
      <c r="J143" s="26"/>
      <c r="K143" s="29" t="str">
        <f aca="false">IF($A143="","",IF(COUNTIFS(tblMoveTypes[Movement],$E143)=0,"Unknown movement type",IF(COUNTIF(tblShipment[Shipment ID],$C143)=0,"Unknown shipment",IF(COUNTIFS(tblShipment[Shipment ID],$C143,tblShipment[Market],$B143)=0,"Market does not match shipment",IF(AND(IFERROR(INDEX(tblMoveTypes[Item?],MATCH($E143,tblMoveTypes[Movement],0)),"?")="Yes",$D143=""),"Item needed",IF(AND(IFERROR(INDEX(tblMoveTypes[Item?],MATCH($E143,tblMoveTypes[Movement],0)),"?")="No",$D143&lt;&gt;""),"Leave Item blank",IF(AND(IFERROR(INDEX(tblMoveTypes[Courier?],MATCH($E143,tblMoveTypes[Movement],0)),"?")="Yes",$H143=""),"Courier needed",IF(AND(IFERROR(INDEX(tblMoveTypes[Courier?],MATCH($E143,tblMoveTypes[Movement],0)),"?")="No",$H143&lt;&gt;""),"Leave Courier blank",IF(AND(IFERROR(INDEX(tblMoveTypes[Orders?],MATCH($E143,tblMoveTypes[Movement],0)),"?")="Yes",$G143=""),"Orders needed",IF(AND(IFERROR(INDEX(tblMoveTypes[Orders?],MATCH($E143,tblMoveTypes[Movement],0)),"?")="No",$G143&lt;&gt;""),"Leave Orders blank",IF(AND(IFERROR(INDEX(tblMoveTypes[Reason?],MATCH($E143,tblMoveTypes[Movement],0)),"?")="Yes",$I143=""),"Reason needed",IF(AND(IFERROR(INDEX(tblMoveTypes[Qty?],MATCH($E143,tblMoveTypes[Movement],0)),"?")="Yes",N($F143)&lt;=0),"Qty needed",IF($A143&lt;_xlfn.MINIFS(tblShipment[Arrival Date],tblShipment[Shipment ID],$C143),"Date before arrival",IF(AND($D143&lt;&gt;"",COUNTIFS(tblShipment[Shipment ID],$C143,tblShipment[Item Code],$D143)=0),"Item not in this shipment",IF(AND($H143&lt;&gt;"",COUNTIFS(tblCouriers[Courier],$H143,tblCouriers[Market],$B143)=0),"Courier not in this market","OK")))))))))))))))</f>
        <v>OK</v>
      </c>
    </row>
    <row r="144" customFormat="false" ht="15" hidden="false" customHeight="false" outlineLevel="0" collapsed="false">
      <c r="A144" s="27" t="n">
        <v>46227</v>
      </c>
      <c r="B144" s="26" t="s">
        <v>70</v>
      </c>
      <c r="C144" s="26" t="s">
        <v>125</v>
      </c>
      <c r="D144" s="26" t="s">
        <v>67</v>
      </c>
      <c r="E144" s="26" t="s">
        <v>74</v>
      </c>
      <c r="F144" s="28" t="n">
        <v>120</v>
      </c>
      <c r="G144" s="28"/>
      <c r="H144" s="26"/>
      <c r="I144" s="26"/>
      <c r="J144" s="26"/>
      <c r="K144" s="29" t="str">
        <f aca="false">IF($A144="","",IF(COUNTIFS(tblMoveTypes[Movement],$E144)=0,"Unknown movement type",IF(COUNTIF(tblShipment[Shipment ID],$C144)=0,"Unknown shipment",IF(COUNTIFS(tblShipment[Shipment ID],$C144,tblShipment[Market],$B144)=0,"Market does not match shipment",IF(AND(IFERROR(INDEX(tblMoveTypes[Item?],MATCH($E144,tblMoveTypes[Movement],0)),"?")="Yes",$D144=""),"Item needed",IF(AND(IFERROR(INDEX(tblMoveTypes[Item?],MATCH($E144,tblMoveTypes[Movement],0)),"?")="No",$D144&lt;&gt;""),"Leave Item blank",IF(AND(IFERROR(INDEX(tblMoveTypes[Courier?],MATCH($E144,tblMoveTypes[Movement],0)),"?")="Yes",$H144=""),"Courier needed",IF(AND(IFERROR(INDEX(tblMoveTypes[Courier?],MATCH($E144,tblMoveTypes[Movement],0)),"?")="No",$H144&lt;&gt;""),"Leave Courier blank",IF(AND(IFERROR(INDEX(tblMoveTypes[Orders?],MATCH($E144,tblMoveTypes[Movement],0)),"?")="Yes",$G144=""),"Orders needed",IF(AND(IFERROR(INDEX(tblMoveTypes[Orders?],MATCH($E144,tblMoveTypes[Movement],0)),"?")="No",$G144&lt;&gt;""),"Leave Orders blank",IF(AND(IFERROR(INDEX(tblMoveTypes[Reason?],MATCH($E144,tblMoveTypes[Movement],0)),"?")="Yes",$I144=""),"Reason needed",IF(AND(IFERROR(INDEX(tblMoveTypes[Qty?],MATCH($E144,tblMoveTypes[Movement],0)),"?")="Yes",N($F144)&lt;=0),"Qty needed",IF($A144&lt;_xlfn.MINIFS(tblShipment[Arrival Date],tblShipment[Shipment ID],$C144),"Date before arrival",IF(AND($D144&lt;&gt;"",COUNTIFS(tblShipment[Shipment ID],$C144,tblShipment[Item Code],$D144)=0),"Item not in this shipment",IF(AND($H144&lt;&gt;"",COUNTIFS(tblCouriers[Courier],$H144,tblCouriers[Market],$B144)=0),"Courier not in this market","OK")))))))))))))))</f>
        <v>OK</v>
      </c>
    </row>
    <row r="145" customFormat="false" ht="15" hidden="false" customHeight="false" outlineLevel="0" collapsed="false">
      <c r="A145" s="27" t="n">
        <v>46227</v>
      </c>
      <c r="B145" s="26" t="s">
        <v>70</v>
      </c>
      <c r="C145" s="26" t="s">
        <v>125</v>
      </c>
      <c r="D145" s="26" t="s">
        <v>99</v>
      </c>
      <c r="E145" s="26" t="s">
        <v>74</v>
      </c>
      <c r="F145" s="28" t="n">
        <v>40</v>
      </c>
      <c r="G145" s="28"/>
      <c r="H145" s="26"/>
      <c r="I145" s="26"/>
      <c r="J145" s="26"/>
      <c r="K145" s="29" t="str">
        <f aca="false">IF($A145="","",IF(COUNTIFS(tblMoveTypes[Movement],$E145)=0,"Unknown movement type",IF(COUNTIF(tblShipment[Shipment ID],$C145)=0,"Unknown shipment",IF(COUNTIFS(tblShipment[Shipment ID],$C145,tblShipment[Market],$B145)=0,"Market does not match shipment",IF(AND(IFERROR(INDEX(tblMoveTypes[Item?],MATCH($E145,tblMoveTypes[Movement],0)),"?")="Yes",$D145=""),"Item needed",IF(AND(IFERROR(INDEX(tblMoveTypes[Item?],MATCH($E145,tblMoveTypes[Movement],0)),"?")="No",$D145&lt;&gt;""),"Leave Item blank",IF(AND(IFERROR(INDEX(tblMoveTypes[Courier?],MATCH($E145,tblMoveTypes[Movement],0)),"?")="Yes",$H145=""),"Courier needed",IF(AND(IFERROR(INDEX(tblMoveTypes[Courier?],MATCH($E145,tblMoveTypes[Movement],0)),"?")="No",$H145&lt;&gt;""),"Leave Courier blank",IF(AND(IFERROR(INDEX(tblMoveTypes[Orders?],MATCH($E145,tblMoveTypes[Movement],0)),"?")="Yes",$G145=""),"Orders needed",IF(AND(IFERROR(INDEX(tblMoveTypes[Orders?],MATCH($E145,tblMoveTypes[Movement],0)),"?")="No",$G145&lt;&gt;""),"Leave Orders blank",IF(AND(IFERROR(INDEX(tblMoveTypes[Reason?],MATCH($E145,tblMoveTypes[Movement],0)),"?")="Yes",$I145=""),"Reason needed",IF(AND(IFERROR(INDEX(tblMoveTypes[Qty?],MATCH($E145,tblMoveTypes[Movement],0)),"?")="Yes",N($F145)&lt;=0),"Qty needed",IF($A145&lt;_xlfn.MINIFS(tblShipment[Arrival Date],tblShipment[Shipment ID],$C145),"Date before arrival",IF(AND($D145&lt;&gt;"",COUNTIFS(tblShipment[Shipment ID],$C145,tblShipment[Item Code],$D145)=0),"Item not in this shipment",IF(AND($H145&lt;&gt;"",COUNTIFS(tblCouriers[Courier],$H145,tblCouriers[Market],$B145)=0),"Courier not in this market","OK")))))))))))))))</f>
        <v>OK</v>
      </c>
    </row>
    <row r="146" customFormat="false" ht="15" hidden="false" customHeight="false" outlineLevel="0" collapsed="false">
      <c r="A146" s="27" t="n">
        <v>46227</v>
      </c>
      <c r="B146" s="26" t="s">
        <v>70</v>
      </c>
      <c r="C146" s="26" t="s">
        <v>125</v>
      </c>
      <c r="D146" s="26" t="s">
        <v>88</v>
      </c>
      <c r="E146" s="26" t="s">
        <v>81</v>
      </c>
      <c r="F146" s="28" t="n">
        <v>2</v>
      </c>
      <c r="G146" s="28"/>
      <c r="H146" s="26"/>
      <c r="I146" s="26"/>
      <c r="J146" s="26" t="s">
        <v>162</v>
      </c>
      <c r="K146" s="29" t="str">
        <f aca="false">IF($A146="","",IF(COUNTIFS(tblMoveTypes[Movement],$E146)=0,"Unknown movement type",IF(COUNTIF(tblShipment[Shipment ID],$C146)=0,"Unknown shipment",IF(COUNTIFS(tblShipment[Shipment ID],$C146,tblShipment[Market],$B146)=0,"Market does not match shipment",IF(AND(IFERROR(INDEX(tblMoveTypes[Item?],MATCH($E146,tblMoveTypes[Movement],0)),"?")="Yes",$D146=""),"Item needed",IF(AND(IFERROR(INDEX(tblMoveTypes[Item?],MATCH($E146,tblMoveTypes[Movement],0)),"?")="No",$D146&lt;&gt;""),"Leave Item blank",IF(AND(IFERROR(INDEX(tblMoveTypes[Courier?],MATCH($E146,tblMoveTypes[Movement],0)),"?")="Yes",$H146=""),"Courier needed",IF(AND(IFERROR(INDEX(tblMoveTypes[Courier?],MATCH($E146,tblMoveTypes[Movement],0)),"?")="No",$H146&lt;&gt;""),"Leave Courier blank",IF(AND(IFERROR(INDEX(tblMoveTypes[Orders?],MATCH($E146,tblMoveTypes[Movement],0)),"?")="Yes",$G146=""),"Orders needed",IF(AND(IFERROR(INDEX(tblMoveTypes[Orders?],MATCH($E146,tblMoveTypes[Movement],0)),"?")="No",$G146&lt;&gt;""),"Leave Orders blank",IF(AND(IFERROR(INDEX(tblMoveTypes[Reason?],MATCH($E146,tblMoveTypes[Movement],0)),"?")="Yes",$I146=""),"Reason needed",IF(AND(IFERROR(INDEX(tblMoveTypes[Qty?],MATCH($E146,tblMoveTypes[Movement],0)),"?")="Yes",N($F146)&lt;=0),"Qty needed",IF($A146&lt;_xlfn.MINIFS(tblShipment[Arrival Date],tblShipment[Shipment ID],$C146),"Date before arrival",IF(AND($D146&lt;&gt;"",COUNTIFS(tblShipment[Shipment ID],$C146,tblShipment[Item Code],$D146)=0),"Item not in this shipment",IF(AND($H146&lt;&gt;"",COUNTIFS(tblCouriers[Courier],$H146,tblCouriers[Market],$B146)=0),"Courier not in this market","OK")))))))))))))))</f>
        <v>OK</v>
      </c>
    </row>
    <row r="147" customFormat="false" ht="15" hidden="false" customHeight="false" outlineLevel="0" collapsed="false">
      <c r="A147" s="27" t="n">
        <v>46227</v>
      </c>
      <c r="B147" s="26" t="s">
        <v>70</v>
      </c>
      <c r="C147" s="26" t="s">
        <v>125</v>
      </c>
      <c r="D147" s="26" t="s">
        <v>88</v>
      </c>
      <c r="E147" s="26" t="s">
        <v>74</v>
      </c>
      <c r="F147" s="28" t="n">
        <v>98</v>
      </c>
      <c r="G147" s="28"/>
      <c r="H147" s="26"/>
      <c r="I147" s="26"/>
      <c r="J147" s="26"/>
      <c r="K147" s="29" t="str">
        <f aca="false">IF($A147="","",IF(COUNTIFS(tblMoveTypes[Movement],$E147)=0,"Unknown movement type",IF(COUNTIF(tblShipment[Shipment ID],$C147)=0,"Unknown shipment",IF(COUNTIFS(tblShipment[Shipment ID],$C147,tblShipment[Market],$B147)=0,"Market does not match shipment",IF(AND(IFERROR(INDEX(tblMoveTypes[Item?],MATCH($E147,tblMoveTypes[Movement],0)),"?")="Yes",$D147=""),"Item needed",IF(AND(IFERROR(INDEX(tblMoveTypes[Item?],MATCH($E147,tblMoveTypes[Movement],0)),"?")="No",$D147&lt;&gt;""),"Leave Item blank",IF(AND(IFERROR(INDEX(tblMoveTypes[Courier?],MATCH($E147,tblMoveTypes[Movement],0)),"?")="Yes",$H147=""),"Courier needed",IF(AND(IFERROR(INDEX(tblMoveTypes[Courier?],MATCH($E147,tblMoveTypes[Movement],0)),"?")="No",$H147&lt;&gt;""),"Leave Courier blank",IF(AND(IFERROR(INDEX(tblMoveTypes[Orders?],MATCH($E147,tblMoveTypes[Movement],0)),"?")="Yes",$G147=""),"Orders needed",IF(AND(IFERROR(INDEX(tblMoveTypes[Orders?],MATCH($E147,tblMoveTypes[Movement],0)),"?")="No",$G147&lt;&gt;""),"Leave Orders blank",IF(AND(IFERROR(INDEX(tblMoveTypes[Reason?],MATCH($E147,tblMoveTypes[Movement],0)),"?")="Yes",$I147=""),"Reason needed",IF(AND(IFERROR(INDEX(tblMoveTypes[Qty?],MATCH($E147,tblMoveTypes[Movement],0)),"?")="Yes",N($F147)&lt;=0),"Qty needed",IF($A147&lt;_xlfn.MINIFS(tblShipment[Arrival Date],tblShipment[Shipment ID],$C147),"Date before arrival",IF(AND($D147&lt;&gt;"",COUNTIFS(tblShipment[Shipment ID],$C147,tblShipment[Item Code],$D147)=0),"Item not in this shipment",IF(AND($H147&lt;&gt;"",COUNTIFS(tblCouriers[Courier],$H147,tblCouriers[Market],$B147)=0),"Courier not in this market","OK")))))))))))))))</f>
        <v>OK</v>
      </c>
    </row>
    <row r="148" customFormat="false" ht="15" hidden="false" customHeight="false" outlineLevel="0" collapsed="false">
      <c r="A148" s="27" t="n">
        <v>46227</v>
      </c>
      <c r="B148" s="26" t="s">
        <v>70</v>
      </c>
      <c r="C148" s="26" t="s">
        <v>125</v>
      </c>
      <c r="D148" s="26" t="s">
        <v>94</v>
      </c>
      <c r="E148" s="26" t="s">
        <v>74</v>
      </c>
      <c r="F148" s="28" t="n">
        <v>40</v>
      </c>
      <c r="G148" s="28"/>
      <c r="H148" s="26"/>
      <c r="I148" s="26"/>
      <c r="J148" s="26"/>
      <c r="K148" s="29" t="str">
        <f aca="false">IF($A148="","",IF(COUNTIFS(tblMoveTypes[Movement],$E148)=0,"Unknown movement type",IF(COUNTIF(tblShipment[Shipment ID],$C148)=0,"Unknown shipment",IF(COUNTIFS(tblShipment[Shipment ID],$C148,tblShipment[Market],$B148)=0,"Market does not match shipment",IF(AND(IFERROR(INDEX(tblMoveTypes[Item?],MATCH($E148,tblMoveTypes[Movement],0)),"?")="Yes",$D148=""),"Item needed",IF(AND(IFERROR(INDEX(tblMoveTypes[Item?],MATCH($E148,tblMoveTypes[Movement],0)),"?")="No",$D148&lt;&gt;""),"Leave Item blank",IF(AND(IFERROR(INDEX(tblMoveTypes[Courier?],MATCH($E148,tblMoveTypes[Movement],0)),"?")="Yes",$H148=""),"Courier needed",IF(AND(IFERROR(INDEX(tblMoveTypes[Courier?],MATCH($E148,tblMoveTypes[Movement],0)),"?")="No",$H148&lt;&gt;""),"Leave Courier blank",IF(AND(IFERROR(INDEX(tblMoveTypes[Orders?],MATCH($E148,tblMoveTypes[Movement],0)),"?")="Yes",$G148=""),"Orders needed",IF(AND(IFERROR(INDEX(tblMoveTypes[Orders?],MATCH($E148,tblMoveTypes[Movement],0)),"?")="No",$G148&lt;&gt;""),"Leave Orders blank",IF(AND(IFERROR(INDEX(tblMoveTypes[Reason?],MATCH($E148,tblMoveTypes[Movement],0)),"?")="Yes",$I148=""),"Reason needed",IF(AND(IFERROR(INDEX(tblMoveTypes[Qty?],MATCH($E148,tblMoveTypes[Movement],0)),"?")="Yes",N($F148)&lt;=0),"Qty needed",IF($A148&lt;_xlfn.MINIFS(tblShipment[Arrival Date],tblShipment[Shipment ID],$C148),"Date before arrival",IF(AND($D148&lt;&gt;"",COUNTIFS(tblShipment[Shipment ID],$C148,tblShipment[Item Code],$D148)=0),"Item not in this shipment",IF(AND($H148&lt;&gt;"",COUNTIFS(tblCouriers[Courier],$H148,tblCouriers[Market],$B148)=0),"Courier not in this market","OK")))))))))))))))</f>
        <v>OK</v>
      </c>
    </row>
    <row r="149" customFormat="false" ht="15" hidden="false" customHeight="false" outlineLevel="0" collapsed="false">
      <c r="A149" s="27" t="n">
        <v>46227</v>
      </c>
      <c r="B149" s="26" t="s">
        <v>70</v>
      </c>
      <c r="C149" s="26" t="s">
        <v>125</v>
      </c>
      <c r="D149" s="26"/>
      <c r="E149" s="26" t="s">
        <v>98</v>
      </c>
      <c r="F149" s="28"/>
      <c r="G149" s="28" t="n">
        <v>57</v>
      </c>
      <c r="H149" s="26"/>
      <c r="I149" s="26"/>
      <c r="J149" s="26"/>
      <c r="K149" s="29" t="str">
        <f aca="false">IF($A149="","",IF(COUNTIFS(tblMoveTypes[Movement],$E149)=0,"Unknown movement type",IF(COUNTIF(tblShipment[Shipment ID],$C149)=0,"Unknown shipment",IF(COUNTIFS(tblShipment[Shipment ID],$C149,tblShipment[Market],$B149)=0,"Market does not match shipment",IF(AND(IFERROR(INDEX(tblMoveTypes[Item?],MATCH($E149,tblMoveTypes[Movement],0)),"?")="Yes",$D149=""),"Item needed",IF(AND(IFERROR(INDEX(tblMoveTypes[Item?],MATCH($E149,tblMoveTypes[Movement],0)),"?")="No",$D149&lt;&gt;""),"Leave Item blank",IF(AND(IFERROR(INDEX(tblMoveTypes[Courier?],MATCH($E149,tblMoveTypes[Movement],0)),"?")="Yes",$H149=""),"Courier needed",IF(AND(IFERROR(INDEX(tblMoveTypes[Courier?],MATCH($E149,tblMoveTypes[Movement],0)),"?")="No",$H149&lt;&gt;""),"Leave Courier blank",IF(AND(IFERROR(INDEX(tblMoveTypes[Orders?],MATCH($E149,tblMoveTypes[Movement],0)),"?")="Yes",$G149=""),"Orders needed",IF(AND(IFERROR(INDEX(tblMoveTypes[Orders?],MATCH($E149,tblMoveTypes[Movement],0)),"?")="No",$G149&lt;&gt;""),"Leave Orders blank",IF(AND(IFERROR(INDEX(tblMoveTypes[Reason?],MATCH($E149,tblMoveTypes[Movement],0)),"?")="Yes",$I149=""),"Reason needed",IF(AND(IFERROR(INDEX(tblMoveTypes[Qty?],MATCH($E149,tblMoveTypes[Movement],0)),"?")="Yes",N($F149)&lt;=0),"Qty needed",IF($A149&lt;_xlfn.MINIFS(tblShipment[Arrival Date],tblShipment[Shipment ID],$C149),"Date before arrival",IF(AND($D149&lt;&gt;"",COUNTIFS(tblShipment[Shipment ID],$C149,tblShipment[Item Code],$D149)=0),"Item not in this shipment",IF(AND($H149&lt;&gt;"",COUNTIFS(tblCouriers[Courier],$H149,tblCouriers[Market],$B149)=0),"Courier not in this market","OK")))))))))))))))</f>
        <v>OK</v>
      </c>
    </row>
    <row r="150" customFormat="false" ht="15" hidden="false" customHeight="false" outlineLevel="0" collapsed="false">
      <c r="A150" s="27" t="n">
        <v>46227</v>
      </c>
      <c r="B150" s="26" t="s">
        <v>70</v>
      </c>
      <c r="C150" s="26" t="s">
        <v>125</v>
      </c>
      <c r="D150" s="26" t="s">
        <v>76</v>
      </c>
      <c r="E150" s="26" t="s">
        <v>73</v>
      </c>
      <c r="F150" s="28" t="n">
        <v>4</v>
      </c>
      <c r="G150" s="28"/>
      <c r="H150" s="26"/>
      <c r="I150" s="26" t="s">
        <v>72</v>
      </c>
      <c r="J150" s="26"/>
      <c r="K150" s="29" t="str">
        <f aca="false">IF($A150="","",IF(COUNTIFS(tblMoveTypes[Movement],$E150)=0,"Unknown movement type",IF(COUNTIF(tblShipment[Shipment ID],$C150)=0,"Unknown shipment",IF(COUNTIFS(tblShipment[Shipment ID],$C150,tblShipment[Market],$B150)=0,"Market does not match shipment",IF(AND(IFERROR(INDEX(tblMoveTypes[Item?],MATCH($E150,tblMoveTypes[Movement],0)),"?")="Yes",$D150=""),"Item needed",IF(AND(IFERROR(INDEX(tblMoveTypes[Item?],MATCH($E150,tblMoveTypes[Movement],0)),"?")="No",$D150&lt;&gt;""),"Leave Item blank",IF(AND(IFERROR(INDEX(tblMoveTypes[Courier?],MATCH($E150,tblMoveTypes[Movement],0)),"?")="Yes",$H150=""),"Courier needed",IF(AND(IFERROR(INDEX(tblMoveTypes[Courier?],MATCH($E150,tblMoveTypes[Movement],0)),"?")="No",$H150&lt;&gt;""),"Leave Courier blank",IF(AND(IFERROR(INDEX(tblMoveTypes[Orders?],MATCH($E150,tblMoveTypes[Movement],0)),"?")="Yes",$G150=""),"Orders needed",IF(AND(IFERROR(INDEX(tblMoveTypes[Orders?],MATCH($E150,tblMoveTypes[Movement],0)),"?")="No",$G150&lt;&gt;""),"Leave Orders blank",IF(AND(IFERROR(INDEX(tblMoveTypes[Reason?],MATCH($E150,tblMoveTypes[Movement],0)),"?")="Yes",$I150=""),"Reason needed",IF(AND(IFERROR(INDEX(tblMoveTypes[Qty?],MATCH($E150,tblMoveTypes[Movement],0)),"?")="Yes",N($F150)&lt;=0),"Qty needed",IF($A150&lt;_xlfn.MINIFS(tblShipment[Arrival Date],tblShipment[Shipment ID],$C150),"Date before arrival",IF(AND($D150&lt;&gt;"",COUNTIFS(tblShipment[Shipment ID],$C150,tblShipment[Item Code],$D150)=0),"Item not in this shipment",IF(AND($H150&lt;&gt;"",COUNTIFS(tblCouriers[Courier],$H150,tblCouriers[Market],$B150)=0),"Courier not in this market","OK")))))))))))))))</f>
        <v>OK</v>
      </c>
    </row>
    <row r="151" customFormat="false" ht="15" hidden="false" customHeight="false" outlineLevel="0" collapsed="false">
      <c r="A151" s="27" t="n">
        <v>46227</v>
      </c>
      <c r="B151" s="26" t="s">
        <v>70</v>
      </c>
      <c r="C151" s="26" t="s">
        <v>125</v>
      </c>
      <c r="D151" s="26" t="s">
        <v>67</v>
      </c>
      <c r="E151" s="26" t="s">
        <v>73</v>
      </c>
      <c r="F151" s="28" t="n">
        <v>4</v>
      </c>
      <c r="G151" s="28"/>
      <c r="H151" s="26"/>
      <c r="I151" s="26" t="s">
        <v>80</v>
      </c>
      <c r="J151" s="26"/>
      <c r="K151" s="29" t="str">
        <f aca="false">IF($A151="","",IF(COUNTIFS(tblMoveTypes[Movement],$E151)=0,"Unknown movement type",IF(COUNTIF(tblShipment[Shipment ID],$C151)=0,"Unknown shipment",IF(COUNTIFS(tblShipment[Shipment ID],$C151,tblShipment[Market],$B151)=0,"Market does not match shipment",IF(AND(IFERROR(INDEX(tblMoveTypes[Item?],MATCH($E151,tblMoveTypes[Movement],0)),"?")="Yes",$D151=""),"Item needed",IF(AND(IFERROR(INDEX(tblMoveTypes[Item?],MATCH($E151,tblMoveTypes[Movement],0)),"?")="No",$D151&lt;&gt;""),"Leave Item blank",IF(AND(IFERROR(INDEX(tblMoveTypes[Courier?],MATCH($E151,tblMoveTypes[Movement],0)),"?")="Yes",$H151=""),"Courier needed",IF(AND(IFERROR(INDEX(tblMoveTypes[Courier?],MATCH($E151,tblMoveTypes[Movement],0)),"?")="No",$H151&lt;&gt;""),"Leave Courier blank",IF(AND(IFERROR(INDEX(tblMoveTypes[Orders?],MATCH($E151,tblMoveTypes[Movement],0)),"?")="Yes",$G151=""),"Orders needed",IF(AND(IFERROR(INDEX(tblMoveTypes[Orders?],MATCH($E151,tblMoveTypes[Movement],0)),"?")="No",$G151&lt;&gt;""),"Leave Orders blank",IF(AND(IFERROR(INDEX(tblMoveTypes[Reason?],MATCH($E151,tblMoveTypes[Movement],0)),"?")="Yes",$I151=""),"Reason needed",IF(AND(IFERROR(INDEX(tblMoveTypes[Qty?],MATCH($E151,tblMoveTypes[Movement],0)),"?")="Yes",N($F151)&lt;=0),"Qty needed",IF($A151&lt;_xlfn.MINIFS(tblShipment[Arrival Date],tblShipment[Shipment ID],$C151),"Date before arrival",IF(AND($D151&lt;&gt;"",COUNTIFS(tblShipment[Shipment ID],$C151,tblShipment[Item Code],$D151)=0),"Item not in this shipment",IF(AND($H151&lt;&gt;"",COUNTIFS(tblCouriers[Courier],$H151,tblCouriers[Market],$B151)=0),"Courier not in this market","OK")))))))))))))))</f>
        <v>OK</v>
      </c>
    </row>
    <row r="152" customFormat="false" ht="15" hidden="false" customHeight="false" outlineLevel="0" collapsed="false">
      <c r="A152" s="27" t="n">
        <v>46227</v>
      </c>
      <c r="B152" s="26" t="s">
        <v>70</v>
      </c>
      <c r="C152" s="26" t="s">
        <v>125</v>
      </c>
      <c r="D152" s="26" t="s">
        <v>99</v>
      </c>
      <c r="E152" s="26" t="s">
        <v>73</v>
      </c>
      <c r="F152" s="28" t="n">
        <v>2</v>
      </c>
      <c r="G152" s="28"/>
      <c r="H152" s="26"/>
      <c r="I152" s="26" t="s">
        <v>80</v>
      </c>
      <c r="J152" s="26"/>
      <c r="K152" s="29" t="str">
        <f aca="false">IF($A152="","",IF(COUNTIFS(tblMoveTypes[Movement],$E152)=0,"Unknown movement type",IF(COUNTIF(tblShipment[Shipment ID],$C152)=0,"Unknown shipment",IF(COUNTIFS(tblShipment[Shipment ID],$C152,tblShipment[Market],$B152)=0,"Market does not match shipment",IF(AND(IFERROR(INDEX(tblMoveTypes[Item?],MATCH($E152,tblMoveTypes[Movement],0)),"?")="Yes",$D152=""),"Item needed",IF(AND(IFERROR(INDEX(tblMoveTypes[Item?],MATCH($E152,tblMoveTypes[Movement],0)),"?")="No",$D152&lt;&gt;""),"Leave Item blank",IF(AND(IFERROR(INDEX(tblMoveTypes[Courier?],MATCH($E152,tblMoveTypes[Movement],0)),"?")="Yes",$H152=""),"Courier needed",IF(AND(IFERROR(INDEX(tblMoveTypes[Courier?],MATCH($E152,tblMoveTypes[Movement],0)),"?")="No",$H152&lt;&gt;""),"Leave Courier blank",IF(AND(IFERROR(INDEX(tblMoveTypes[Orders?],MATCH($E152,tblMoveTypes[Movement],0)),"?")="Yes",$G152=""),"Orders needed",IF(AND(IFERROR(INDEX(tblMoveTypes[Orders?],MATCH($E152,tblMoveTypes[Movement],0)),"?")="No",$G152&lt;&gt;""),"Leave Orders blank",IF(AND(IFERROR(INDEX(tblMoveTypes[Reason?],MATCH($E152,tblMoveTypes[Movement],0)),"?")="Yes",$I152=""),"Reason needed",IF(AND(IFERROR(INDEX(tblMoveTypes[Qty?],MATCH($E152,tblMoveTypes[Movement],0)),"?")="Yes",N($F152)&lt;=0),"Qty needed",IF($A152&lt;_xlfn.MINIFS(tblShipment[Arrival Date],tblShipment[Shipment ID],$C152),"Date before arrival",IF(AND($D152&lt;&gt;"",COUNTIFS(tblShipment[Shipment ID],$C152,tblShipment[Item Code],$D152)=0),"Item not in this shipment",IF(AND($H152&lt;&gt;"",COUNTIFS(tblCouriers[Courier],$H152,tblCouriers[Market],$B152)=0),"Courier not in this market","OK")))))))))))))))</f>
        <v>OK</v>
      </c>
    </row>
    <row r="153" customFormat="false" ht="15" hidden="false" customHeight="false" outlineLevel="0" collapsed="false">
      <c r="A153" s="27" t="n">
        <v>46227</v>
      </c>
      <c r="B153" s="26" t="s">
        <v>70</v>
      </c>
      <c r="C153" s="26" t="s">
        <v>125</v>
      </c>
      <c r="D153" s="26" t="s">
        <v>88</v>
      </c>
      <c r="E153" s="26" t="s">
        <v>73</v>
      </c>
      <c r="F153" s="28" t="n">
        <v>2</v>
      </c>
      <c r="G153" s="28"/>
      <c r="H153" s="26"/>
      <c r="I153" s="26" t="s">
        <v>72</v>
      </c>
      <c r="J153" s="26"/>
      <c r="K153" s="29" t="str">
        <f aca="false">IF($A153="","",IF(COUNTIFS(tblMoveTypes[Movement],$E153)=0,"Unknown movement type",IF(COUNTIF(tblShipment[Shipment ID],$C153)=0,"Unknown shipment",IF(COUNTIFS(tblShipment[Shipment ID],$C153,tblShipment[Market],$B153)=0,"Market does not match shipment",IF(AND(IFERROR(INDEX(tblMoveTypes[Item?],MATCH($E153,tblMoveTypes[Movement],0)),"?")="Yes",$D153=""),"Item needed",IF(AND(IFERROR(INDEX(tblMoveTypes[Item?],MATCH($E153,tblMoveTypes[Movement],0)),"?")="No",$D153&lt;&gt;""),"Leave Item blank",IF(AND(IFERROR(INDEX(tblMoveTypes[Courier?],MATCH($E153,tblMoveTypes[Movement],0)),"?")="Yes",$H153=""),"Courier needed",IF(AND(IFERROR(INDEX(tblMoveTypes[Courier?],MATCH($E153,tblMoveTypes[Movement],0)),"?")="No",$H153&lt;&gt;""),"Leave Courier blank",IF(AND(IFERROR(INDEX(tblMoveTypes[Orders?],MATCH($E153,tblMoveTypes[Movement],0)),"?")="Yes",$G153=""),"Orders needed",IF(AND(IFERROR(INDEX(tblMoveTypes[Orders?],MATCH($E153,tblMoveTypes[Movement],0)),"?")="No",$G153&lt;&gt;""),"Leave Orders blank",IF(AND(IFERROR(INDEX(tblMoveTypes[Reason?],MATCH($E153,tblMoveTypes[Movement],0)),"?")="Yes",$I153=""),"Reason needed",IF(AND(IFERROR(INDEX(tblMoveTypes[Qty?],MATCH($E153,tblMoveTypes[Movement],0)),"?")="Yes",N($F153)&lt;=0),"Qty needed",IF($A153&lt;_xlfn.MINIFS(tblShipment[Arrival Date],tblShipment[Shipment ID],$C153),"Date before arrival",IF(AND($D153&lt;&gt;"",COUNTIFS(tblShipment[Shipment ID],$C153,tblShipment[Item Code],$D153)=0),"Item not in this shipment",IF(AND($H153&lt;&gt;"",COUNTIFS(tblCouriers[Courier],$H153,tblCouriers[Market],$B153)=0),"Courier not in this market","OK")))))))))))))))</f>
        <v>OK</v>
      </c>
    </row>
    <row r="154" customFormat="false" ht="15" hidden="false" customHeight="false" outlineLevel="0" collapsed="false">
      <c r="A154" s="27" t="n">
        <v>46227</v>
      </c>
      <c r="B154" s="26" t="s">
        <v>70</v>
      </c>
      <c r="C154" s="26" t="s">
        <v>125</v>
      </c>
      <c r="D154" s="26" t="s">
        <v>94</v>
      </c>
      <c r="E154" s="26" t="s">
        <v>73</v>
      </c>
      <c r="F154" s="28" t="n">
        <v>2</v>
      </c>
      <c r="G154" s="28"/>
      <c r="H154" s="26"/>
      <c r="I154" s="26" t="s">
        <v>72</v>
      </c>
      <c r="J154" s="26"/>
      <c r="K154" s="29" t="str">
        <f aca="false">IF($A154="","",IF(COUNTIFS(tblMoveTypes[Movement],$E154)=0,"Unknown movement type",IF(COUNTIF(tblShipment[Shipment ID],$C154)=0,"Unknown shipment",IF(COUNTIFS(tblShipment[Shipment ID],$C154,tblShipment[Market],$B154)=0,"Market does not match shipment",IF(AND(IFERROR(INDEX(tblMoveTypes[Item?],MATCH($E154,tblMoveTypes[Movement],0)),"?")="Yes",$D154=""),"Item needed",IF(AND(IFERROR(INDEX(tblMoveTypes[Item?],MATCH($E154,tblMoveTypes[Movement],0)),"?")="No",$D154&lt;&gt;""),"Leave Item blank",IF(AND(IFERROR(INDEX(tblMoveTypes[Courier?],MATCH($E154,tblMoveTypes[Movement],0)),"?")="Yes",$H154=""),"Courier needed",IF(AND(IFERROR(INDEX(tblMoveTypes[Courier?],MATCH($E154,tblMoveTypes[Movement],0)),"?")="No",$H154&lt;&gt;""),"Leave Courier blank",IF(AND(IFERROR(INDEX(tblMoveTypes[Orders?],MATCH($E154,tblMoveTypes[Movement],0)),"?")="Yes",$G154=""),"Orders needed",IF(AND(IFERROR(INDEX(tblMoveTypes[Orders?],MATCH($E154,tblMoveTypes[Movement],0)),"?")="No",$G154&lt;&gt;""),"Leave Orders blank",IF(AND(IFERROR(INDEX(tblMoveTypes[Reason?],MATCH($E154,tblMoveTypes[Movement],0)),"?")="Yes",$I154=""),"Reason needed",IF(AND(IFERROR(INDEX(tblMoveTypes[Qty?],MATCH($E154,tblMoveTypes[Movement],0)),"?")="Yes",N($F154)&lt;=0),"Qty needed",IF($A154&lt;_xlfn.MINIFS(tblShipment[Arrival Date],tblShipment[Shipment ID],$C154),"Date before arrival",IF(AND($D154&lt;&gt;"",COUNTIFS(tblShipment[Shipment ID],$C154,tblShipment[Item Code],$D154)=0),"Item not in this shipment",IF(AND($H154&lt;&gt;"",COUNTIFS(tblCouriers[Courier],$H154,tblCouriers[Market],$B154)=0),"Courier not in this market","OK")))))))))))))))</f>
        <v>OK</v>
      </c>
    </row>
    <row r="155" customFormat="false" ht="15" hidden="false" customHeight="false" outlineLevel="0" collapsed="false">
      <c r="A155" s="27" t="n">
        <v>46227</v>
      </c>
      <c r="B155" s="26" t="s">
        <v>70</v>
      </c>
      <c r="C155" s="26" t="s">
        <v>125</v>
      </c>
      <c r="D155" s="26" t="s">
        <v>76</v>
      </c>
      <c r="E155" s="26" t="s">
        <v>93</v>
      </c>
      <c r="F155" s="28" t="n">
        <v>96</v>
      </c>
      <c r="G155" s="28"/>
      <c r="H155" s="26" t="s">
        <v>71</v>
      </c>
      <c r="I155" s="26"/>
      <c r="J155" s="26"/>
      <c r="K155" s="29" t="str">
        <f aca="false">IF($A155="","",IF(COUNTIFS(tblMoveTypes[Movement],$E155)=0,"Unknown movement type",IF(COUNTIF(tblShipment[Shipment ID],$C155)=0,"Unknown shipment",IF(COUNTIFS(tblShipment[Shipment ID],$C155,tblShipment[Market],$B155)=0,"Market does not match shipment",IF(AND(IFERROR(INDEX(tblMoveTypes[Item?],MATCH($E155,tblMoveTypes[Movement],0)),"?")="Yes",$D155=""),"Item needed",IF(AND(IFERROR(INDEX(tblMoveTypes[Item?],MATCH($E155,tblMoveTypes[Movement],0)),"?")="No",$D155&lt;&gt;""),"Leave Item blank",IF(AND(IFERROR(INDEX(tblMoveTypes[Courier?],MATCH($E155,tblMoveTypes[Movement],0)),"?")="Yes",$H155=""),"Courier needed",IF(AND(IFERROR(INDEX(tblMoveTypes[Courier?],MATCH($E155,tblMoveTypes[Movement],0)),"?")="No",$H155&lt;&gt;""),"Leave Courier blank",IF(AND(IFERROR(INDEX(tblMoveTypes[Orders?],MATCH($E155,tblMoveTypes[Movement],0)),"?")="Yes",$G155=""),"Orders needed",IF(AND(IFERROR(INDEX(tblMoveTypes[Orders?],MATCH($E155,tblMoveTypes[Movement],0)),"?")="No",$G155&lt;&gt;""),"Leave Orders blank",IF(AND(IFERROR(INDEX(tblMoveTypes[Reason?],MATCH($E155,tblMoveTypes[Movement],0)),"?")="Yes",$I155=""),"Reason needed",IF(AND(IFERROR(INDEX(tblMoveTypes[Qty?],MATCH($E155,tblMoveTypes[Movement],0)),"?")="Yes",N($F155)&lt;=0),"Qty needed",IF($A155&lt;_xlfn.MINIFS(tblShipment[Arrival Date],tblShipment[Shipment ID],$C155),"Date before arrival",IF(AND($D155&lt;&gt;"",COUNTIFS(tblShipment[Shipment ID],$C155,tblShipment[Item Code],$D155)=0),"Item not in this shipment",IF(AND($H155&lt;&gt;"",COUNTIFS(tblCouriers[Courier],$H155,tblCouriers[Market],$B155)=0),"Courier not in this market","OK")))))))))))))))</f>
        <v>OK</v>
      </c>
    </row>
    <row r="156" customFormat="false" ht="15" hidden="false" customHeight="false" outlineLevel="0" collapsed="false">
      <c r="A156" s="27" t="n">
        <v>46227</v>
      </c>
      <c r="B156" s="26" t="s">
        <v>70</v>
      </c>
      <c r="C156" s="26" t="s">
        <v>125</v>
      </c>
      <c r="D156" s="26" t="s">
        <v>67</v>
      </c>
      <c r="E156" s="26" t="s">
        <v>93</v>
      </c>
      <c r="F156" s="28" t="n">
        <v>116</v>
      </c>
      <c r="G156" s="28"/>
      <c r="H156" s="26" t="s">
        <v>71</v>
      </c>
      <c r="I156" s="26"/>
      <c r="J156" s="26"/>
      <c r="K156" s="29" t="str">
        <f aca="false">IF($A156="","",IF(COUNTIFS(tblMoveTypes[Movement],$E156)=0,"Unknown movement type",IF(COUNTIF(tblShipment[Shipment ID],$C156)=0,"Unknown shipment",IF(COUNTIFS(tblShipment[Shipment ID],$C156,tblShipment[Market],$B156)=0,"Market does not match shipment",IF(AND(IFERROR(INDEX(tblMoveTypes[Item?],MATCH($E156,tblMoveTypes[Movement],0)),"?")="Yes",$D156=""),"Item needed",IF(AND(IFERROR(INDEX(tblMoveTypes[Item?],MATCH($E156,tblMoveTypes[Movement],0)),"?")="No",$D156&lt;&gt;""),"Leave Item blank",IF(AND(IFERROR(INDEX(tblMoveTypes[Courier?],MATCH($E156,tblMoveTypes[Movement],0)),"?")="Yes",$H156=""),"Courier needed",IF(AND(IFERROR(INDEX(tblMoveTypes[Courier?],MATCH($E156,tblMoveTypes[Movement],0)),"?")="No",$H156&lt;&gt;""),"Leave Courier blank",IF(AND(IFERROR(INDEX(tblMoveTypes[Orders?],MATCH($E156,tblMoveTypes[Movement],0)),"?")="Yes",$G156=""),"Orders needed",IF(AND(IFERROR(INDEX(tblMoveTypes[Orders?],MATCH($E156,tblMoveTypes[Movement],0)),"?")="No",$G156&lt;&gt;""),"Leave Orders blank",IF(AND(IFERROR(INDEX(tblMoveTypes[Reason?],MATCH($E156,tblMoveTypes[Movement],0)),"?")="Yes",$I156=""),"Reason needed",IF(AND(IFERROR(INDEX(tblMoveTypes[Qty?],MATCH($E156,tblMoveTypes[Movement],0)),"?")="Yes",N($F156)&lt;=0),"Qty needed",IF($A156&lt;_xlfn.MINIFS(tblShipment[Arrival Date],tblShipment[Shipment ID],$C156),"Date before arrival",IF(AND($D156&lt;&gt;"",COUNTIFS(tblShipment[Shipment ID],$C156,tblShipment[Item Code],$D156)=0),"Item not in this shipment",IF(AND($H156&lt;&gt;"",COUNTIFS(tblCouriers[Courier],$H156,tblCouriers[Market],$B156)=0),"Courier not in this market","OK")))))))))))))))</f>
        <v>OK</v>
      </c>
    </row>
    <row r="157" customFormat="false" ht="15" hidden="false" customHeight="false" outlineLevel="0" collapsed="false">
      <c r="A157" s="27" t="n">
        <v>46227</v>
      </c>
      <c r="B157" s="26" t="s">
        <v>70</v>
      </c>
      <c r="C157" s="26" t="s">
        <v>125</v>
      </c>
      <c r="D157" s="26" t="s">
        <v>99</v>
      </c>
      <c r="E157" s="26" t="s">
        <v>93</v>
      </c>
      <c r="F157" s="28" t="n">
        <v>38</v>
      </c>
      <c r="G157" s="28"/>
      <c r="H157" s="26" t="s">
        <v>71</v>
      </c>
      <c r="I157" s="26"/>
      <c r="J157" s="26"/>
      <c r="K157" s="29" t="str">
        <f aca="false">IF($A157="","",IF(COUNTIFS(tblMoveTypes[Movement],$E157)=0,"Unknown movement type",IF(COUNTIF(tblShipment[Shipment ID],$C157)=0,"Unknown shipment",IF(COUNTIFS(tblShipment[Shipment ID],$C157,tblShipment[Market],$B157)=0,"Market does not match shipment",IF(AND(IFERROR(INDEX(tblMoveTypes[Item?],MATCH($E157,tblMoveTypes[Movement],0)),"?")="Yes",$D157=""),"Item needed",IF(AND(IFERROR(INDEX(tblMoveTypes[Item?],MATCH($E157,tblMoveTypes[Movement],0)),"?")="No",$D157&lt;&gt;""),"Leave Item blank",IF(AND(IFERROR(INDEX(tblMoveTypes[Courier?],MATCH($E157,tblMoveTypes[Movement],0)),"?")="Yes",$H157=""),"Courier needed",IF(AND(IFERROR(INDEX(tblMoveTypes[Courier?],MATCH($E157,tblMoveTypes[Movement],0)),"?")="No",$H157&lt;&gt;""),"Leave Courier blank",IF(AND(IFERROR(INDEX(tblMoveTypes[Orders?],MATCH($E157,tblMoveTypes[Movement],0)),"?")="Yes",$G157=""),"Orders needed",IF(AND(IFERROR(INDEX(tblMoveTypes[Orders?],MATCH($E157,tblMoveTypes[Movement],0)),"?")="No",$G157&lt;&gt;""),"Leave Orders blank",IF(AND(IFERROR(INDEX(tblMoveTypes[Reason?],MATCH($E157,tblMoveTypes[Movement],0)),"?")="Yes",$I157=""),"Reason needed",IF(AND(IFERROR(INDEX(tblMoveTypes[Qty?],MATCH($E157,tblMoveTypes[Movement],0)),"?")="Yes",N($F157)&lt;=0),"Qty needed",IF($A157&lt;_xlfn.MINIFS(tblShipment[Arrival Date],tblShipment[Shipment ID],$C157),"Date before arrival",IF(AND($D157&lt;&gt;"",COUNTIFS(tblShipment[Shipment ID],$C157,tblShipment[Item Code],$D157)=0),"Item not in this shipment",IF(AND($H157&lt;&gt;"",COUNTIFS(tblCouriers[Courier],$H157,tblCouriers[Market],$B157)=0),"Courier not in this market","OK")))))))))))))))</f>
        <v>OK</v>
      </c>
    </row>
    <row r="158" customFormat="false" ht="15" hidden="false" customHeight="false" outlineLevel="0" collapsed="false">
      <c r="A158" s="27" t="n">
        <v>46227</v>
      </c>
      <c r="B158" s="26" t="s">
        <v>70</v>
      </c>
      <c r="C158" s="26" t="s">
        <v>125</v>
      </c>
      <c r="D158" s="26" t="s">
        <v>88</v>
      </c>
      <c r="E158" s="26" t="s">
        <v>93</v>
      </c>
      <c r="F158" s="28" t="n">
        <v>96</v>
      </c>
      <c r="G158" s="28"/>
      <c r="H158" s="26" t="s">
        <v>71</v>
      </c>
      <c r="I158" s="26"/>
      <c r="J158" s="26"/>
      <c r="K158" s="29" t="str">
        <f aca="false">IF($A158="","",IF(COUNTIFS(tblMoveTypes[Movement],$E158)=0,"Unknown movement type",IF(COUNTIF(tblShipment[Shipment ID],$C158)=0,"Unknown shipment",IF(COUNTIFS(tblShipment[Shipment ID],$C158,tblShipment[Market],$B158)=0,"Market does not match shipment",IF(AND(IFERROR(INDEX(tblMoveTypes[Item?],MATCH($E158,tblMoveTypes[Movement],0)),"?")="Yes",$D158=""),"Item needed",IF(AND(IFERROR(INDEX(tblMoveTypes[Item?],MATCH($E158,tblMoveTypes[Movement],0)),"?")="No",$D158&lt;&gt;""),"Leave Item blank",IF(AND(IFERROR(INDEX(tblMoveTypes[Courier?],MATCH($E158,tblMoveTypes[Movement],0)),"?")="Yes",$H158=""),"Courier needed",IF(AND(IFERROR(INDEX(tblMoveTypes[Courier?],MATCH($E158,tblMoveTypes[Movement],0)),"?")="No",$H158&lt;&gt;""),"Leave Courier blank",IF(AND(IFERROR(INDEX(tblMoveTypes[Orders?],MATCH($E158,tblMoveTypes[Movement],0)),"?")="Yes",$G158=""),"Orders needed",IF(AND(IFERROR(INDEX(tblMoveTypes[Orders?],MATCH($E158,tblMoveTypes[Movement],0)),"?")="No",$G158&lt;&gt;""),"Leave Orders blank",IF(AND(IFERROR(INDEX(tblMoveTypes[Reason?],MATCH($E158,tblMoveTypes[Movement],0)),"?")="Yes",$I158=""),"Reason needed",IF(AND(IFERROR(INDEX(tblMoveTypes[Qty?],MATCH($E158,tblMoveTypes[Movement],0)),"?")="Yes",N($F158)&lt;=0),"Qty needed",IF($A158&lt;_xlfn.MINIFS(tblShipment[Arrival Date],tblShipment[Shipment ID],$C158),"Date before arrival",IF(AND($D158&lt;&gt;"",COUNTIFS(tblShipment[Shipment ID],$C158,tblShipment[Item Code],$D158)=0),"Item not in this shipment",IF(AND($H158&lt;&gt;"",COUNTIFS(tblCouriers[Courier],$H158,tblCouriers[Market],$B158)=0),"Courier not in this market","OK")))))))))))))))</f>
        <v>OK</v>
      </c>
    </row>
    <row r="159" customFormat="false" ht="15" hidden="false" customHeight="false" outlineLevel="0" collapsed="false">
      <c r="A159" s="27" t="n">
        <v>46227</v>
      </c>
      <c r="B159" s="26" t="s">
        <v>70</v>
      </c>
      <c r="C159" s="26" t="s">
        <v>125</v>
      </c>
      <c r="D159" s="26" t="s">
        <v>94</v>
      </c>
      <c r="E159" s="26" t="s">
        <v>93</v>
      </c>
      <c r="F159" s="28" t="n">
        <v>38</v>
      </c>
      <c r="G159" s="28"/>
      <c r="H159" s="26" t="s">
        <v>71</v>
      </c>
      <c r="I159" s="26"/>
      <c r="J159" s="26"/>
      <c r="K159" s="29" t="str">
        <f aca="false">IF($A159="","",IF(COUNTIFS(tblMoveTypes[Movement],$E159)=0,"Unknown movement type",IF(COUNTIF(tblShipment[Shipment ID],$C159)=0,"Unknown shipment",IF(COUNTIFS(tblShipment[Shipment ID],$C159,tblShipment[Market],$B159)=0,"Market does not match shipment",IF(AND(IFERROR(INDEX(tblMoveTypes[Item?],MATCH($E159,tblMoveTypes[Movement],0)),"?")="Yes",$D159=""),"Item needed",IF(AND(IFERROR(INDEX(tblMoveTypes[Item?],MATCH($E159,tblMoveTypes[Movement],0)),"?")="No",$D159&lt;&gt;""),"Leave Item blank",IF(AND(IFERROR(INDEX(tblMoveTypes[Courier?],MATCH($E159,tblMoveTypes[Movement],0)),"?")="Yes",$H159=""),"Courier needed",IF(AND(IFERROR(INDEX(tblMoveTypes[Courier?],MATCH($E159,tblMoveTypes[Movement],0)),"?")="No",$H159&lt;&gt;""),"Leave Courier blank",IF(AND(IFERROR(INDEX(tblMoveTypes[Orders?],MATCH($E159,tblMoveTypes[Movement],0)),"?")="Yes",$G159=""),"Orders needed",IF(AND(IFERROR(INDEX(tblMoveTypes[Orders?],MATCH($E159,tblMoveTypes[Movement],0)),"?")="No",$G159&lt;&gt;""),"Leave Orders blank",IF(AND(IFERROR(INDEX(tblMoveTypes[Reason?],MATCH($E159,tblMoveTypes[Movement],0)),"?")="Yes",$I159=""),"Reason needed",IF(AND(IFERROR(INDEX(tblMoveTypes[Qty?],MATCH($E159,tblMoveTypes[Movement],0)),"?")="Yes",N($F159)&lt;=0),"Qty needed",IF($A159&lt;_xlfn.MINIFS(tblShipment[Arrival Date],tblShipment[Shipment ID],$C159),"Date before arrival",IF(AND($D159&lt;&gt;"",COUNTIFS(tblShipment[Shipment ID],$C159,tblShipment[Item Code],$D159)=0),"Item not in this shipment",IF(AND($H159&lt;&gt;"",COUNTIFS(tblCouriers[Courier],$H159,tblCouriers[Market],$B159)=0),"Courier not in this market","OK")))))))))))))))</f>
        <v>OK</v>
      </c>
    </row>
    <row r="160" customFormat="false" ht="15" hidden="false" customHeight="false" outlineLevel="0" collapsed="false">
      <c r="A160" s="27" t="n">
        <v>46227</v>
      </c>
      <c r="B160" s="26" t="s">
        <v>70</v>
      </c>
      <c r="C160" s="26" t="s">
        <v>125</v>
      </c>
      <c r="D160" s="26"/>
      <c r="E160" s="26" t="s">
        <v>104</v>
      </c>
      <c r="F160" s="28"/>
      <c r="G160" s="28" t="n">
        <v>57</v>
      </c>
      <c r="H160" s="26" t="s">
        <v>71</v>
      </c>
      <c r="I160" s="26"/>
      <c r="J160" s="26"/>
      <c r="K160" s="29" t="str">
        <f aca="false">IF($A160="","",IF(COUNTIFS(tblMoveTypes[Movement],$E160)=0,"Unknown movement type",IF(COUNTIF(tblShipment[Shipment ID],$C160)=0,"Unknown shipment",IF(COUNTIFS(tblShipment[Shipment ID],$C160,tblShipment[Market],$B160)=0,"Market does not match shipment",IF(AND(IFERROR(INDEX(tblMoveTypes[Item?],MATCH($E160,tblMoveTypes[Movement],0)),"?")="Yes",$D160=""),"Item needed",IF(AND(IFERROR(INDEX(tblMoveTypes[Item?],MATCH($E160,tblMoveTypes[Movement],0)),"?")="No",$D160&lt;&gt;""),"Leave Item blank",IF(AND(IFERROR(INDEX(tblMoveTypes[Courier?],MATCH($E160,tblMoveTypes[Movement],0)),"?")="Yes",$H160=""),"Courier needed",IF(AND(IFERROR(INDEX(tblMoveTypes[Courier?],MATCH($E160,tblMoveTypes[Movement],0)),"?")="No",$H160&lt;&gt;""),"Leave Courier blank",IF(AND(IFERROR(INDEX(tblMoveTypes[Orders?],MATCH($E160,tblMoveTypes[Movement],0)),"?")="Yes",$G160=""),"Orders needed",IF(AND(IFERROR(INDEX(tblMoveTypes[Orders?],MATCH($E160,tblMoveTypes[Movement],0)),"?")="No",$G160&lt;&gt;""),"Leave Orders blank",IF(AND(IFERROR(INDEX(tblMoveTypes[Reason?],MATCH($E160,tblMoveTypes[Movement],0)),"?")="Yes",$I160=""),"Reason needed",IF(AND(IFERROR(INDEX(tblMoveTypes[Qty?],MATCH($E160,tblMoveTypes[Movement],0)),"?")="Yes",N($F160)&lt;=0),"Qty needed",IF($A160&lt;_xlfn.MINIFS(tblShipment[Arrival Date],tblShipment[Shipment ID],$C160),"Date before arrival",IF(AND($D160&lt;&gt;"",COUNTIFS(tblShipment[Shipment ID],$C160,tblShipment[Item Code],$D160)=0),"Item not in this shipment",IF(AND($H160&lt;&gt;"",COUNTIFS(tblCouriers[Courier],$H160,tblCouriers[Market],$B160)=0),"Courier not in this market","OK")))))))))))))))</f>
        <v>OK</v>
      </c>
    </row>
    <row r="161" customFormat="false" ht="15" hidden="false" customHeight="false" outlineLevel="0" collapsed="false">
      <c r="A161" s="27" t="n">
        <v>46227</v>
      </c>
      <c r="B161" s="26" t="s">
        <v>70</v>
      </c>
      <c r="C161" s="26" t="s">
        <v>125</v>
      </c>
      <c r="D161" s="26"/>
      <c r="E161" s="26" t="s">
        <v>106</v>
      </c>
      <c r="F161" s="28" t="n">
        <v>159</v>
      </c>
      <c r="G161" s="28" t="n">
        <v>24</v>
      </c>
      <c r="H161" s="26" t="s">
        <v>71</v>
      </c>
      <c r="I161" s="26"/>
      <c r="J161" s="26"/>
      <c r="K161" s="29" t="str">
        <f aca="false">IF($A161="","",IF(COUNTIFS(tblMoveTypes[Movement],$E161)=0,"Unknown movement type",IF(COUNTIF(tblShipment[Shipment ID],$C161)=0,"Unknown shipment",IF(COUNTIFS(tblShipment[Shipment ID],$C161,tblShipment[Market],$B161)=0,"Market does not match shipment",IF(AND(IFERROR(INDEX(tblMoveTypes[Item?],MATCH($E161,tblMoveTypes[Movement],0)),"?")="Yes",$D161=""),"Item needed",IF(AND(IFERROR(INDEX(tblMoveTypes[Item?],MATCH($E161,tblMoveTypes[Movement],0)),"?")="No",$D161&lt;&gt;""),"Leave Item blank",IF(AND(IFERROR(INDEX(tblMoveTypes[Courier?],MATCH($E161,tblMoveTypes[Movement],0)),"?")="Yes",$H161=""),"Courier needed",IF(AND(IFERROR(INDEX(tblMoveTypes[Courier?],MATCH($E161,tblMoveTypes[Movement],0)),"?")="No",$H161&lt;&gt;""),"Leave Courier blank",IF(AND(IFERROR(INDEX(tblMoveTypes[Orders?],MATCH($E161,tblMoveTypes[Movement],0)),"?")="Yes",$G161=""),"Orders needed",IF(AND(IFERROR(INDEX(tblMoveTypes[Orders?],MATCH($E161,tblMoveTypes[Movement],0)),"?")="No",$G161&lt;&gt;""),"Leave Orders blank",IF(AND(IFERROR(INDEX(tblMoveTypes[Reason?],MATCH($E161,tblMoveTypes[Movement],0)),"?")="Yes",$I161=""),"Reason needed",IF(AND(IFERROR(INDEX(tblMoveTypes[Qty?],MATCH($E161,tblMoveTypes[Movement],0)),"?")="Yes",N($F161)&lt;=0),"Qty needed",IF($A161&lt;_xlfn.MINIFS(tblShipment[Arrival Date],tblShipment[Shipment ID],$C161),"Date before arrival",IF(AND($D161&lt;&gt;"",COUNTIFS(tblShipment[Shipment ID],$C161,tblShipment[Item Code],$D161)=0),"Item not in this shipment",IF(AND($H161&lt;&gt;"",COUNTIFS(tblCouriers[Courier],$H161,tblCouriers[Market],$B161)=0),"Courier not in this market","OK")))))))))))))))</f>
        <v>OK</v>
      </c>
    </row>
    <row r="162" customFormat="false" ht="15" hidden="false" customHeight="false" outlineLevel="0" collapsed="false">
      <c r="A162" s="27" t="n">
        <v>46227</v>
      </c>
      <c r="B162" s="26" t="s">
        <v>85</v>
      </c>
      <c r="C162" s="26" t="s">
        <v>139</v>
      </c>
      <c r="D162" s="26"/>
      <c r="E162" s="26" t="s">
        <v>106</v>
      </c>
      <c r="F162" s="28" t="n">
        <v>37</v>
      </c>
      <c r="G162" s="28" t="n">
        <v>6</v>
      </c>
      <c r="H162" s="26" t="s">
        <v>96</v>
      </c>
      <c r="I162" s="26"/>
      <c r="J162" s="26"/>
      <c r="K162" s="29" t="str">
        <f aca="false">IF($A162="","",IF(COUNTIFS(tblMoveTypes[Movement],$E162)=0,"Unknown movement type",IF(COUNTIF(tblShipment[Shipment ID],$C162)=0,"Unknown shipment",IF(COUNTIFS(tblShipment[Shipment ID],$C162,tblShipment[Market],$B162)=0,"Market does not match shipment",IF(AND(IFERROR(INDEX(tblMoveTypes[Item?],MATCH($E162,tblMoveTypes[Movement],0)),"?")="Yes",$D162=""),"Item needed",IF(AND(IFERROR(INDEX(tblMoveTypes[Item?],MATCH($E162,tblMoveTypes[Movement],0)),"?")="No",$D162&lt;&gt;""),"Leave Item blank",IF(AND(IFERROR(INDEX(tblMoveTypes[Courier?],MATCH($E162,tblMoveTypes[Movement],0)),"?")="Yes",$H162=""),"Courier needed",IF(AND(IFERROR(INDEX(tblMoveTypes[Courier?],MATCH($E162,tblMoveTypes[Movement],0)),"?")="No",$H162&lt;&gt;""),"Leave Courier blank",IF(AND(IFERROR(INDEX(tblMoveTypes[Orders?],MATCH($E162,tblMoveTypes[Movement],0)),"?")="Yes",$G162=""),"Orders needed",IF(AND(IFERROR(INDEX(tblMoveTypes[Orders?],MATCH($E162,tblMoveTypes[Movement],0)),"?")="No",$G162&lt;&gt;""),"Leave Orders blank",IF(AND(IFERROR(INDEX(tblMoveTypes[Reason?],MATCH($E162,tblMoveTypes[Movement],0)),"?")="Yes",$I162=""),"Reason needed",IF(AND(IFERROR(INDEX(tblMoveTypes[Qty?],MATCH($E162,tblMoveTypes[Movement],0)),"?")="Yes",N($F162)&lt;=0),"Qty needed",IF($A162&lt;_xlfn.MINIFS(tblShipment[Arrival Date],tblShipment[Shipment ID],$C162),"Date before arrival",IF(AND($D162&lt;&gt;"",COUNTIFS(tblShipment[Shipment ID],$C162,tblShipment[Item Code],$D162)=0),"Item not in this shipment",IF(AND($H162&lt;&gt;"",COUNTIFS(tblCouriers[Courier],$H162,tblCouriers[Market],$B162)=0),"Courier not in this market","OK")))))))))))))))</f>
        <v>OK</v>
      </c>
    </row>
    <row r="163" customFormat="false" ht="15" hidden="false" customHeight="false" outlineLevel="0" collapsed="false">
      <c r="A163" s="27" t="n">
        <v>46227</v>
      </c>
      <c r="B163" s="26" t="s">
        <v>85</v>
      </c>
      <c r="C163" s="26" t="s">
        <v>139</v>
      </c>
      <c r="D163" s="26"/>
      <c r="E163" s="26" t="s">
        <v>108</v>
      </c>
      <c r="F163" s="28" t="n">
        <v>3</v>
      </c>
      <c r="G163" s="28" t="n">
        <v>1</v>
      </c>
      <c r="H163" s="26" t="s">
        <v>96</v>
      </c>
      <c r="I163" s="26" t="s">
        <v>102</v>
      </c>
      <c r="J163" s="26"/>
      <c r="K163" s="29" t="str">
        <f aca="false">IF($A163="","",IF(COUNTIFS(tblMoveTypes[Movement],$E163)=0,"Unknown movement type",IF(COUNTIF(tblShipment[Shipment ID],$C163)=0,"Unknown shipment",IF(COUNTIFS(tblShipment[Shipment ID],$C163,tblShipment[Market],$B163)=0,"Market does not match shipment",IF(AND(IFERROR(INDEX(tblMoveTypes[Item?],MATCH($E163,tblMoveTypes[Movement],0)),"?")="Yes",$D163=""),"Item needed",IF(AND(IFERROR(INDEX(tblMoveTypes[Item?],MATCH($E163,tblMoveTypes[Movement],0)),"?")="No",$D163&lt;&gt;""),"Leave Item blank",IF(AND(IFERROR(INDEX(tblMoveTypes[Courier?],MATCH($E163,tblMoveTypes[Movement],0)),"?")="Yes",$H163=""),"Courier needed",IF(AND(IFERROR(INDEX(tblMoveTypes[Courier?],MATCH($E163,tblMoveTypes[Movement],0)),"?")="No",$H163&lt;&gt;""),"Leave Courier blank",IF(AND(IFERROR(INDEX(tblMoveTypes[Orders?],MATCH($E163,tblMoveTypes[Movement],0)),"?")="Yes",$G163=""),"Orders needed",IF(AND(IFERROR(INDEX(tblMoveTypes[Orders?],MATCH($E163,tblMoveTypes[Movement],0)),"?")="No",$G163&lt;&gt;""),"Leave Orders blank",IF(AND(IFERROR(INDEX(tblMoveTypes[Reason?],MATCH($E163,tblMoveTypes[Movement],0)),"?")="Yes",$I163=""),"Reason needed",IF(AND(IFERROR(INDEX(tblMoveTypes[Qty?],MATCH($E163,tblMoveTypes[Movement],0)),"?")="Yes",N($F163)&lt;=0),"Qty needed",IF($A163&lt;_xlfn.MINIFS(tblShipment[Arrival Date],tblShipment[Shipment ID],$C163),"Date before arrival",IF(AND($D163&lt;&gt;"",COUNTIFS(tblShipment[Shipment ID],$C163,tblShipment[Item Code],$D163)=0),"Item not in this shipment",IF(AND($H163&lt;&gt;"",COUNTIFS(tblCouriers[Courier],$H163,tblCouriers[Market],$B163)=0),"Courier not in this market","OK")))))))))))))))</f>
        <v>OK</v>
      </c>
    </row>
    <row r="164" customFormat="false" ht="15" hidden="false" customHeight="false" outlineLevel="0" collapsed="false">
      <c r="A164" s="27" t="n">
        <v>46227</v>
      </c>
      <c r="B164" s="26" t="s">
        <v>85</v>
      </c>
      <c r="C164" s="26" t="s">
        <v>139</v>
      </c>
      <c r="D164" s="26" t="s">
        <v>88</v>
      </c>
      <c r="E164" s="26" t="s">
        <v>110</v>
      </c>
      <c r="F164" s="28" t="n">
        <v>2</v>
      </c>
      <c r="G164" s="28"/>
      <c r="H164" s="26"/>
      <c r="I164" s="26"/>
      <c r="J164" s="26"/>
      <c r="K164" s="29" t="str">
        <f aca="false">IF($A164="","",IF(COUNTIFS(tblMoveTypes[Movement],$E164)=0,"Unknown movement type",IF(COUNTIF(tblShipment[Shipment ID],$C164)=0,"Unknown shipment",IF(COUNTIFS(tblShipment[Shipment ID],$C164,tblShipment[Market],$B164)=0,"Market does not match shipment",IF(AND(IFERROR(INDEX(tblMoveTypes[Item?],MATCH($E164,tblMoveTypes[Movement],0)),"?")="Yes",$D164=""),"Item needed",IF(AND(IFERROR(INDEX(tblMoveTypes[Item?],MATCH($E164,tblMoveTypes[Movement],0)),"?")="No",$D164&lt;&gt;""),"Leave Item blank",IF(AND(IFERROR(INDEX(tblMoveTypes[Courier?],MATCH($E164,tblMoveTypes[Movement],0)),"?")="Yes",$H164=""),"Courier needed",IF(AND(IFERROR(INDEX(tblMoveTypes[Courier?],MATCH($E164,tblMoveTypes[Movement],0)),"?")="No",$H164&lt;&gt;""),"Leave Courier blank",IF(AND(IFERROR(INDEX(tblMoveTypes[Orders?],MATCH($E164,tblMoveTypes[Movement],0)),"?")="Yes",$G164=""),"Orders needed",IF(AND(IFERROR(INDEX(tblMoveTypes[Orders?],MATCH($E164,tblMoveTypes[Movement],0)),"?")="No",$G164&lt;&gt;""),"Leave Orders blank",IF(AND(IFERROR(INDEX(tblMoveTypes[Reason?],MATCH($E164,tblMoveTypes[Movement],0)),"?")="Yes",$I164=""),"Reason needed",IF(AND(IFERROR(INDEX(tblMoveTypes[Qty?],MATCH($E164,tblMoveTypes[Movement],0)),"?")="Yes",N($F164)&lt;=0),"Qty needed",IF($A164&lt;_xlfn.MINIFS(tblShipment[Arrival Date],tblShipment[Shipment ID],$C164),"Date before arrival",IF(AND($D164&lt;&gt;"",COUNTIFS(tblShipment[Shipment ID],$C164,tblShipment[Item Code],$D164)=0),"Item not in this shipment",IF(AND($H164&lt;&gt;"",COUNTIFS(tblCouriers[Courier],$H164,tblCouriers[Market],$B164)=0),"Courier not in this market","OK")))))))))))))))</f>
        <v>OK</v>
      </c>
    </row>
    <row r="165" customFormat="false" ht="15" hidden="false" customHeight="false" outlineLevel="0" collapsed="false">
      <c r="A165" s="27" t="n">
        <v>46227</v>
      </c>
      <c r="B165" s="26" t="s">
        <v>85</v>
      </c>
      <c r="C165" s="26" t="s">
        <v>139</v>
      </c>
      <c r="D165" s="26" t="s">
        <v>88</v>
      </c>
      <c r="E165" s="26" t="s">
        <v>112</v>
      </c>
      <c r="F165" s="28" t="n">
        <v>1</v>
      </c>
      <c r="G165" s="28"/>
      <c r="H165" s="26"/>
      <c r="I165" s="26" t="s">
        <v>72</v>
      </c>
      <c r="J165" s="26"/>
      <c r="K165" s="29" t="str">
        <f aca="false">IF($A165="","",IF(COUNTIFS(tblMoveTypes[Movement],$E165)=0,"Unknown movement type",IF(COUNTIF(tblShipment[Shipment ID],$C165)=0,"Unknown shipment",IF(COUNTIFS(tblShipment[Shipment ID],$C165,tblShipment[Market],$B165)=0,"Market does not match shipment",IF(AND(IFERROR(INDEX(tblMoveTypes[Item?],MATCH($E165,tblMoveTypes[Movement],0)),"?")="Yes",$D165=""),"Item needed",IF(AND(IFERROR(INDEX(tblMoveTypes[Item?],MATCH($E165,tblMoveTypes[Movement],0)),"?")="No",$D165&lt;&gt;""),"Leave Item blank",IF(AND(IFERROR(INDEX(tblMoveTypes[Courier?],MATCH($E165,tblMoveTypes[Movement],0)),"?")="Yes",$H165=""),"Courier needed",IF(AND(IFERROR(INDEX(tblMoveTypes[Courier?],MATCH($E165,tblMoveTypes[Movement],0)),"?")="No",$H165&lt;&gt;""),"Leave Courier blank",IF(AND(IFERROR(INDEX(tblMoveTypes[Orders?],MATCH($E165,tblMoveTypes[Movement],0)),"?")="Yes",$G165=""),"Orders needed",IF(AND(IFERROR(INDEX(tblMoveTypes[Orders?],MATCH($E165,tblMoveTypes[Movement],0)),"?")="No",$G165&lt;&gt;""),"Leave Orders blank",IF(AND(IFERROR(INDEX(tblMoveTypes[Reason?],MATCH($E165,tblMoveTypes[Movement],0)),"?")="Yes",$I165=""),"Reason needed",IF(AND(IFERROR(INDEX(tblMoveTypes[Qty?],MATCH($E165,tblMoveTypes[Movement],0)),"?")="Yes",N($F165)&lt;=0),"Qty needed",IF($A165&lt;_xlfn.MINIFS(tblShipment[Arrival Date],tblShipment[Shipment ID],$C165),"Date before arrival",IF(AND($D165&lt;&gt;"",COUNTIFS(tblShipment[Shipment ID],$C165,tblShipment[Item Code],$D165)=0),"Item not in this shipment",IF(AND($H165&lt;&gt;"",COUNTIFS(tblCouriers[Courier],$H165,tblCouriers[Market],$B165)=0),"Courier not in this market","OK")))))))))))))))</f>
        <v>OK</v>
      </c>
    </row>
    <row r="166" customFormat="false" ht="15" hidden="false" customHeight="false" outlineLevel="0" collapsed="false">
      <c r="A166" s="27" t="n">
        <v>46227</v>
      </c>
      <c r="B166" s="26" t="s">
        <v>85</v>
      </c>
      <c r="C166" s="26" t="s">
        <v>140</v>
      </c>
      <c r="D166" s="26"/>
      <c r="E166" s="26" t="s">
        <v>106</v>
      </c>
      <c r="F166" s="28" t="n">
        <v>28</v>
      </c>
      <c r="G166" s="28" t="n">
        <v>4</v>
      </c>
      <c r="H166" s="26" t="s">
        <v>91</v>
      </c>
      <c r="I166" s="26"/>
      <c r="J166" s="26"/>
      <c r="K166" s="29" t="str">
        <f aca="false">IF($A166="","",IF(COUNTIFS(tblMoveTypes[Movement],$E166)=0,"Unknown movement type",IF(COUNTIF(tblShipment[Shipment ID],$C166)=0,"Unknown shipment",IF(COUNTIFS(tblShipment[Shipment ID],$C166,tblShipment[Market],$B166)=0,"Market does not match shipment",IF(AND(IFERROR(INDEX(tblMoveTypes[Item?],MATCH($E166,tblMoveTypes[Movement],0)),"?")="Yes",$D166=""),"Item needed",IF(AND(IFERROR(INDEX(tblMoveTypes[Item?],MATCH($E166,tblMoveTypes[Movement],0)),"?")="No",$D166&lt;&gt;""),"Leave Item blank",IF(AND(IFERROR(INDEX(tblMoveTypes[Courier?],MATCH($E166,tblMoveTypes[Movement],0)),"?")="Yes",$H166=""),"Courier needed",IF(AND(IFERROR(INDEX(tblMoveTypes[Courier?],MATCH($E166,tblMoveTypes[Movement],0)),"?")="No",$H166&lt;&gt;""),"Leave Courier blank",IF(AND(IFERROR(INDEX(tblMoveTypes[Orders?],MATCH($E166,tblMoveTypes[Movement],0)),"?")="Yes",$G166=""),"Orders needed",IF(AND(IFERROR(INDEX(tblMoveTypes[Orders?],MATCH($E166,tblMoveTypes[Movement],0)),"?")="No",$G166&lt;&gt;""),"Leave Orders blank",IF(AND(IFERROR(INDEX(tblMoveTypes[Reason?],MATCH($E166,tblMoveTypes[Movement],0)),"?")="Yes",$I166=""),"Reason needed",IF(AND(IFERROR(INDEX(tblMoveTypes[Qty?],MATCH($E166,tblMoveTypes[Movement],0)),"?")="Yes",N($F166)&lt;=0),"Qty needed",IF($A166&lt;_xlfn.MINIFS(tblShipment[Arrival Date],tblShipment[Shipment ID],$C166),"Date before arrival",IF(AND($D166&lt;&gt;"",COUNTIFS(tblShipment[Shipment ID],$C166,tblShipment[Item Code],$D166)=0),"Item not in this shipment",IF(AND($H166&lt;&gt;"",COUNTIFS(tblCouriers[Courier],$H166,tblCouriers[Market],$B166)=0),"Courier not in this market","OK")))))))))))))))</f>
        <v>OK</v>
      </c>
    </row>
    <row r="167" customFormat="false" ht="15" hidden="false" customHeight="false" outlineLevel="0" collapsed="false">
      <c r="A167" s="27" t="n">
        <v>46227</v>
      </c>
      <c r="B167" s="26" t="s">
        <v>90</v>
      </c>
      <c r="C167" s="26" t="s">
        <v>147</v>
      </c>
      <c r="D167" s="26"/>
      <c r="E167" s="26" t="s">
        <v>108</v>
      </c>
      <c r="F167" s="28" t="n">
        <v>7</v>
      </c>
      <c r="G167" s="28" t="n">
        <v>1</v>
      </c>
      <c r="H167" s="26" t="s">
        <v>101</v>
      </c>
      <c r="I167" s="26" t="s">
        <v>105</v>
      </c>
      <c r="J167" s="26"/>
      <c r="K167" s="29" t="str">
        <f aca="false">IF($A167="","",IF(COUNTIFS(tblMoveTypes[Movement],$E167)=0,"Unknown movement type",IF(COUNTIF(tblShipment[Shipment ID],$C167)=0,"Unknown shipment",IF(COUNTIFS(tblShipment[Shipment ID],$C167,tblShipment[Market],$B167)=0,"Market does not match shipment",IF(AND(IFERROR(INDEX(tblMoveTypes[Item?],MATCH($E167,tblMoveTypes[Movement],0)),"?")="Yes",$D167=""),"Item needed",IF(AND(IFERROR(INDEX(tblMoveTypes[Item?],MATCH($E167,tblMoveTypes[Movement],0)),"?")="No",$D167&lt;&gt;""),"Leave Item blank",IF(AND(IFERROR(INDEX(tblMoveTypes[Courier?],MATCH($E167,tblMoveTypes[Movement],0)),"?")="Yes",$H167=""),"Courier needed",IF(AND(IFERROR(INDEX(tblMoveTypes[Courier?],MATCH($E167,tblMoveTypes[Movement],0)),"?")="No",$H167&lt;&gt;""),"Leave Courier blank",IF(AND(IFERROR(INDEX(tblMoveTypes[Orders?],MATCH($E167,tblMoveTypes[Movement],0)),"?")="Yes",$G167=""),"Orders needed",IF(AND(IFERROR(INDEX(tblMoveTypes[Orders?],MATCH($E167,tblMoveTypes[Movement],0)),"?")="No",$G167&lt;&gt;""),"Leave Orders blank",IF(AND(IFERROR(INDEX(tblMoveTypes[Reason?],MATCH($E167,tblMoveTypes[Movement],0)),"?")="Yes",$I167=""),"Reason needed",IF(AND(IFERROR(INDEX(tblMoveTypes[Qty?],MATCH($E167,tblMoveTypes[Movement],0)),"?")="Yes",N($F167)&lt;=0),"Qty needed",IF($A167&lt;_xlfn.MINIFS(tblShipment[Arrival Date],tblShipment[Shipment ID],$C167),"Date before arrival",IF(AND($D167&lt;&gt;"",COUNTIFS(tblShipment[Shipment ID],$C167,tblShipment[Item Code],$D167)=0),"Item not in this shipment",IF(AND($H167&lt;&gt;"",COUNTIFS(tblCouriers[Courier],$H167,tblCouriers[Market],$B167)=0),"Courier not in this market","OK")))))))))))))))</f>
        <v>OK</v>
      </c>
    </row>
    <row r="168" customFormat="false" ht="15" hidden="false" customHeight="false" outlineLevel="0" collapsed="false">
      <c r="A168" s="27" t="n">
        <v>46227</v>
      </c>
      <c r="B168" s="26" t="s">
        <v>90</v>
      </c>
      <c r="C168" s="26" t="s">
        <v>147</v>
      </c>
      <c r="D168" s="26" t="s">
        <v>76</v>
      </c>
      <c r="E168" s="26" t="s">
        <v>110</v>
      </c>
      <c r="F168" s="28" t="n">
        <v>5</v>
      </c>
      <c r="G168" s="28"/>
      <c r="H168" s="26"/>
      <c r="I168" s="26"/>
      <c r="J168" s="26"/>
      <c r="K168" s="29" t="str">
        <f aca="false">IF($A168="","",IF(COUNTIFS(tblMoveTypes[Movement],$E168)=0,"Unknown movement type",IF(COUNTIF(tblShipment[Shipment ID],$C168)=0,"Unknown shipment",IF(COUNTIFS(tblShipment[Shipment ID],$C168,tblShipment[Market],$B168)=0,"Market does not match shipment",IF(AND(IFERROR(INDEX(tblMoveTypes[Item?],MATCH($E168,tblMoveTypes[Movement],0)),"?")="Yes",$D168=""),"Item needed",IF(AND(IFERROR(INDEX(tblMoveTypes[Item?],MATCH($E168,tblMoveTypes[Movement],0)),"?")="No",$D168&lt;&gt;""),"Leave Item blank",IF(AND(IFERROR(INDEX(tblMoveTypes[Courier?],MATCH($E168,tblMoveTypes[Movement],0)),"?")="Yes",$H168=""),"Courier needed",IF(AND(IFERROR(INDEX(tblMoveTypes[Courier?],MATCH($E168,tblMoveTypes[Movement],0)),"?")="No",$H168&lt;&gt;""),"Leave Courier blank",IF(AND(IFERROR(INDEX(tblMoveTypes[Orders?],MATCH($E168,tblMoveTypes[Movement],0)),"?")="Yes",$G168=""),"Orders needed",IF(AND(IFERROR(INDEX(tblMoveTypes[Orders?],MATCH($E168,tblMoveTypes[Movement],0)),"?")="No",$G168&lt;&gt;""),"Leave Orders blank",IF(AND(IFERROR(INDEX(tblMoveTypes[Reason?],MATCH($E168,tblMoveTypes[Movement],0)),"?")="Yes",$I168=""),"Reason needed",IF(AND(IFERROR(INDEX(tblMoveTypes[Qty?],MATCH($E168,tblMoveTypes[Movement],0)),"?")="Yes",N($F168)&lt;=0),"Qty needed",IF($A168&lt;_xlfn.MINIFS(tblShipment[Arrival Date],tblShipment[Shipment ID],$C168),"Date before arrival",IF(AND($D168&lt;&gt;"",COUNTIFS(tblShipment[Shipment ID],$C168,tblShipment[Item Code],$D168)=0),"Item not in this shipment",IF(AND($H168&lt;&gt;"",COUNTIFS(tblCouriers[Courier],$H168,tblCouriers[Market],$B168)=0),"Courier not in this market","OK")))))))))))))))</f>
        <v>OK</v>
      </c>
    </row>
    <row r="169" customFormat="false" ht="15" hidden="false" customHeight="false" outlineLevel="0" collapsed="false">
      <c r="A169" s="27" t="n">
        <v>46227</v>
      </c>
      <c r="B169" s="26" t="s">
        <v>90</v>
      </c>
      <c r="C169" s="26" t="s">
        <v>147</v>
      </c>
      <c r="D169" s="26" t="s">
        <v>76</v>
      </c>
      <c r="E169" s="26" t="s">
        <v>112</v>
      </c>
      <c r="F169" s="28" t="n">
        <v>2</v>
      </c>
      <c r="G169" s="28"/>
      <c r="H169" s="26"/>
      <c r="I169" s="26" t="s">
        <v>80</v>
      </c>
      <c r="J169" s="26"/>
      <c r="K169" s="29" t="str">
        <f aca="false">IF($A169="","",IF(COUNTIFS(tblMoveTypes[Movement],$E169)=0,"Unknown movement type",IF(COUNTIF(tblShipment[Shipment ID],$C169)=0,"Unknown shipment",IF(COUNTIFS(tblShipment[Shipment ID],$C169,tblShipment[Market],$B169)=0,"Market does not match shipment",IF(AND(IFERROR(INDEX(tblMoveTypes[Item?],MATCH($E169,tblMoveTypes[Movement],0)),"?")="Yes",$D169=""),"Item needed",IF(AND(IFERROR(INDEX(tblMoveTypes[Item?],MATCH($E169,tblMoveTypes[Movement],0)),"?")="No",$D169&lt;&gt;""),"Leave Item blank",IF(AND(IFERROR(INDEX(tblMoveTypes[Courier?],MATCH($E169,tblMoveTypes[Movement],0)),"?")="Yes",$H169=""),"Courier needed",IF(AND(IFERROR(INDEX(tblMoveTypes[Courier?],MATCH($E169,tblMoveTypes[Movement],0)),"?")="No",$H169&lt;&gt;""),"Leave Courier blank",IF(AND(IFERROR(INDEX(tblMoveTypes[Orders?],MATCH($E169,tblMoveTypes[Movement],0)),"?")="Yes",$G169=""),"Orders needed",IF(AND(IFERROR(INDEX(tblMoveTypes[Orders?],MATCH($E169,tblMoveTypes[Movement],0)),"?")="No",$G169&lt;&gt;""),"Leave Orders blank",IF(AND(IFERROR(INDEX(tblMoveTypes[Reason?],MATCH($E169,tblMoveTypes[Movement],0)),"?")="Yes",$I169=""),"Reason needed",IF(AND(IFERROR(INDEX(tblMoveTypes[Qty?],MATCH($E169,tblMoveTypes[Movement],0)),"?")="Yes",N($F169)&lt;=0),"Qty needed",IF($A169&lt;_xlfn.MINIFS(tblShipment[Arrival Date],tblShipment[Shipment ID],$C169),"Date before arrival",IF(AND($D169&lt;&gt;"",COUNTIFS(tblShipment[Shipment ID],$C169,tblShipment[Item Code],$D169)=0),"Item not in this shipment",IF(AND($H169&lt;&gt;"",COUNTIFS(tblCouriers[Courier],$H169,tblCouriers[Market],$B169)=0),"Courier not in this market","OK")))))))))))))))</f>
        <v>OK</v>
      </c>
    </row>
    <row r="170" customFormat="false" ht="15" hidden="false" customHeight="false" outlineLevel="0" collapsed="false">
      <c r="A170" s="27" t="n">
        <v>46227</v>
      </c>
      <c r="B170" s="26" t="s">
        <v>90</v>
      </c>
      <c r="C170" s="26" t="s">
        <v>148</v>
      </c>
      <c r="D170" s="26" t="s">
        <v>67</v>
      </c>
      <c r="E170" s="26" t="s">
        <v>74</v>
      </c>
      <c r="F170" s="28" t="n">
        <v>120</v>
      </c>
      <c r="G170" s="28"/>
      <c r="H170" s="26"/>
      <c r="I170" s="26"/>
      <c r="J170" s="26"/>
      <c r="K170" s="29" t="str">
        <f aca="false">IF($A170="","",IF(COUNTIFS(tblMoveTypes[Movement],$E170)=0,"Unknown movement type",IF(COUNTIF(tblShipment[Shipment ID],$C170)=0,"Unknown shipment",IF(COUNTIFS(tblShipment[Shipment ID],$C170,tblShipment[Market],$B170)=0,"Market does not match shipment",IF(AND(IFERROR(INDEX(tblMoveTypes[Item?],MATCH($E170,tblMoveTypes[Movement],0)),"?")="Yes",$D170=""),"Item needed",IF(AND(IFERROR(INDEX(tblMoveTypes[Item?],MATCH($E170,tblMoveTypes[Movement],0)),"?")="No",$D170&lt;&gt;""),"Leave Item blank",IF(AND(IFERROR(INDEX(tblMoveTypes[Courier?],MATCH($E170,tblMoveTypes[Movement],0)),"?")="Yes",$H170=""),"Courier needed",IF(AND(IFERROR(INDEX(tblMoveTypes[Courier?],MATCH($E170,tblMoveTypes[Movement],0)),"?")="No",$H170&lt;&gt;""),"Leave Courier blank",IF(AND(IFERROR(INDEX(tblMoveTypes[Orders?],MATCH($E170,tblMoveTypes[Movement],0)),"?")="Yes",$G170=""),"Orders needed",IF(AND(IFERROR(INDEX(tblMoveTypes[Orders?],MATCH($E170,tblMoveTypes[Movement],0)),"?")="No",$G170&lt;&gt;""),"Leave Orders blank",IF(AND(IFERROR(INDEX(tblMoveTypes[Reason?],MATCH($E170,tblMoveTypes[Movement],0)),"?")="Yes",$I170=""),"Reason needed",IF(AND(IFERROR(INDEX(tblMoveTypes[Qty?],MATCH($E170,tblMoveTypes[Movement],0)),"?")="Yes",N($F170)&lt;=0),"Qty needed",IF($A170&lt;_xlfn.MINIFS(tblShipment[Arrival Date],tblShipment[Shipment ID],$C170),"Date before arrival",IF(AND($D170&lt;&gt;"",COUNTIFS(tblShipment[Shipment ID],$C170,tblShipment[Item Code],$D170)=0),"Item not in this shipment",IF(AND($H170&lt;&gt;"",COUNTIFS(tblCouriers[Courier],$H170,tblCouriers[Market],$B170)=0),"Courier not in this market","OK")))))))))))))))</f>
        <v>OK</v>
      </c>
    </row>
    <row r="171" customFormat="false" ht="15" hidden="false" customHeight="false" outlineLevel="0" collapsed="false">
      <c r="A171" s="27" t="n">
        <v>46227</v>
      </c>
      <c r="B171" s="26" t="s">
        <v>90</v>
      </c>
      <c r="C171" s="26" t="s">
        <v>148</v>
      </c>
      <c r="D171" s="26" t="s">
        <v>76</v>
      </c>
      <c r="E171" s="26" t="s">
        <v>74</v>
      </c>
      <c r="F171" s="28" t="n">
        <v>80</v>
      </c>
      <c r="G171" s="28"/>
      <c r="H171" s="26"/>
      <c r="I171" s="26"/>
      <c r="J171" s="26"/>
      <c r="K171" s="29" t="str">
        <f aca="false">IF($A171="","",IF(COUNTIFS(tblMoveTypes[Movement],$E171)=0,"Unknown movement type",IF(COUNTIF(tblShipment[Shipment ID],$C171)=0,"Unknown shipment",IF(COUNTIFS(tblShipment[Shipment ID],$C171,tblShipment[Market],$B171)=0,"Market does not match shipment",IF(AND(IFERROR(INDEX(tblMoveTypes[Item?],MATCH($E171,tblMoveTypes[Movement],0)),"?")="Yes",$D171=""),"Item needed",IF(AND(IFERROR(INDEX(tblMoveTypes[Item?],MATCH($E171,tblMoveTypes[Movement],0)),"?")="No",$D171&lt;&gt;""),"Leave Item blank",IF(AND(IFERROR(INDEX(tblMoveTypes[Courier?],MATCH($E171,tblMoveTypes[Movement],0)),"?")="Yes",$H171=""),"Courier needed",IF(AND(IFERROR(INDEX(tblMoveTypes[Courier?],MATCH($E171,tblMoveTypes[Movement],0)),"?")="No",$H171&lt;&gt;""),"Leave Courier blank",IF(AND(IFERROR(INDEX(tblMoveTypes[Orders?],MATCH($E171,tblMoveTypes[Movement],0)),"?")="Yes",$G171=""),"Orders needed",IF(AND(IFERROR(INDEX(tblMoveTypes[Orders?],MATCH($E171,tblMoveTypes[Movement],0)),"?")="No",$G171&lt;&gt;""),"Leave Orders blank",IF(AND(IFERROR(INDEX(tblMoveTypes[Reason?],MATCH($E171,tblMoveTypes[Movement],0)),"?")="Yes",$I171=""),"Reason needed",IF(AND(IFERROR(INDEX(tblMoveTypes[Qty?],MATCH($E171,tblMoveTypes[Movement],0)),"?")="Yes",N($F171)&lt;=0),"Qty needed",IF($A171&lt;_xlfn.MINIFS(tblShipment[Arrival Date],tblShipment[Shipment ID],$C171),"Date before arrival",IF(AND($D171&lt;&gt;"",COUNTIFS(tblShipment[Shipment ID],$C171,tblShipment[Item Code],$D171)=0),"Item not in this shipment",IF(AND($H171&lt;&gt;"",COUNTIFS(tblCouriers[Courier],$H171,tblCouriers[Market],$B171)=0),"Courier not in this market","OK")))))))))))))))</f>
        <v>OK</v>
      </c>
    </row>
    <row r="172" customFormat="false" ht="15" hidden="false" customHeight="false" outlineLevel="0" collapsed="false">
      <c r="A172" s="27" t="n">
        <v>46227</v>
      </c>
      <c r="B172" s="26" t="s">
        <v>90</v>
      </c>
      <c r="C172" s="26" t="s">
        <v>148</v>
      </c>
      <c r="D172" s="26" t="s">
        <v>99</v>
      </c>
      <c r="E172" s="26" t="s">
        <v>74</v>
      </c>
      <c r="F172" s="28" t="n">
        <v>50</v>
      </c>
      <c r="G172" s="28"/>
      <c r="H172" s="26"/>
      <c r="I172" s="26"/>
      <c r="J172" s="26"/>
      <c r="K172" s="29" t="str">
        <f aca="false">IF($A172="","",IF(COUNTIFS(tblMoveTypes[Movement],$E172)=0,"Unknown movement type",IF(COUNTIF(tblShipment[Shipment ID],$C172)=0,"Unknown shipment",IF(COUNTIFS(tblShipment[Shipment ID],$C172,tblShipment[Market],$B172)=0,"Market does not match shipment",IF(AND(IFERROR(INDEX(tblMoveTypes[Item?],MATCH($E172,tblMoveTypes[Movement],0)),"?")="Yes",$D172=""),"Item needed",IF(AND(IFERROR(INDEX(tblMoveTypes[Item?],MATCH($E172,tblMoveTypes[Movement],0)),"?")="No",$D172&lt;&gt;""),"Leave Item blank",IF(AND(IFERROR(INDEX(tblMoveTypes[Courier?],MATCH($E172,tblMoveTypes[Movement],0)),"?")="Yes",$H172=""),"Courier needed",IF(AND(IFERROR(INDEX(tblMoveTypes[Courier?],MATCH($E172,tblMoveTypes[Movement],0)),"?")="No",$H172&lt;&gt;""),"Leave Courier blank",IF(AND(IFERROR(INDEX(tblMoveTypes[Orders?],MATCH($E172,tblMoveTypes[Movement],0)),"?")="Yes",$G172=""),"Orders needed",IF(AND(IFERROR(INDEX(tblMoveTypes[Orders?],MATCH($E172,tblMoveTypes[Movement],0)),"?")="No",$G172&lt;&gt;""),"Leave Orders blank",IF(AND(IFERROR(INDEX(tblMoveTypes[Reason?],MATCH($E172,tblMoveTypes[Movement],0)),"?")="Yes",$I172=""),"Reason needed",IF(AND(IFERROR(INDEX(tblMoveTypes[Qty?],MATCH($E172,tblMoveTypes[Movement],0)),"?")="Yes",N($F172)&lt;=0),"Qty needed",IF($A172&lt;_xlfn.MINIFS(tblShipment[Arrival Date],tblShipment[Shipment ID],$C172),"Date before arrival",IF(AND($D172&lt;&gt;"",COUNTIFS(tblShipment[Shipment ID],$C172,tblShipment[Item Code],$D172)=0),"Item not in this shipment",IF(AND($H172&lt;&gt;"",COUNTIFS(tblCouriers[Courier],$H172,tblCouriers[Market],$B172)=0),"Courier not in this market","OK")))))))))))))))</f>
        <v>OK</v>
      </c>
    </row>
    <row r="173" customFormat="false" ht="15" hidden="false" customHeight="false" outlineLevel="0" collapsed="false">
      <c r="A173" s="27" t="n">
        <v>46227</v>
      </c>
      <c r="B173" s="26" t="s">
        <v>90</v>
      </c>
      <c r="C173" s="26" t="s">
        <v>148</v>
      </c>
      <c r="D173" s="26" t="s">
        <v>94</v>
      </c>
      <c r="E173" s="26" t="s">
        <v>81</v>
      </c>
      <c r="F173" s="28" t="n">
        <v>3</v>
      </c>
      <c r="G173" s="28"/>
      <c r="H173" s="26"/>
      <c r="I173" s="26"/>
      <c r="J173" s="26" t="s">
        <v>162</v>
      </c>
      <c r="K173" s="29" t="str">
        <f aca="false">IF($A173="","",IF(COUNTIFS(tblMoveTypes[Movement],$E173)=0,"Unknown movement type",IF(COUNTIF(tblShipment[Shipment ID],$C173)=0,"Unknown shipment",IF(COUNTIFS(tblShipment[Shipment ID],$C173,tblShipment[Market],$B173)=0,"Market does not match shipment",IF(AND(IFERROR(INDEX(tblMoveTypes[Item?],MATCH($E173,tblMoveTypes[Movement],0)),"?")="Yes",$D173=""),"Item needed",IF(AND(IFERROR(INDEX(tblMoveTypes[Item?],MATCH($E173,tblMoveTypes[Movement],0)),"?")="No",$D173&lt;&gt;""),"Leave Item blank",IF(AND(IFERROR(INDEX(tblMoveTypes[Courier?],MATCH($E173,tblMoveTypes[Movement],0)),"?")="Yes",$H173=""),"Courier needed",IF(AND(IFERROR(INDEX(tblMoveTypes[Courier?],MATCH($E173,tblMoveTypes[Movement],0)),"?")="No",$H173&lt;&gt;""),"Leave Courier blank",IF(AND(IFERROR(INDEX(tblMoveTypes[Orders?],MATCH($E173,tblMoveTypes[Movement],0)),"?")="Yes",$G173=""),"Orders needed",IF(AND(IFERROR(INDEX(tblMoveTypes[Orders?],MATCH($E173,tblMoveTypes[Movement],0)),"?")="No",$G173&lt;&gt;""),"Leave Orders blank",IF(AND(IFERROR(INDEX(tblMoveTypes[Reason?],MATCH($E173,tblMoveTypes[Movement],0)),"?")="Yes",$I173=""),"Reason needed",IF(AND(IFERROR(INDEX(tblMoveTypes[Qty?],MATCH($E173,tblMoveTypes[Movement],0)),"?")="Yes",N($F173)&lt;=0),"Qty needed",IF($A173&lt;_xlfn.MINIFS(tblShipment[Arrival Date],tblShipment[Shipment ID],$C173),"Date before arrival",IF(AND($D173&lt;&gt;"",COUNTIFS(tblShipment[Shipment ID],$C173,tblShipment[Item Code],$D173)=0),"Item not in this shipment",IF(AND($H173&lt;&gt;"",COUNTIFS(tblCouriers[Courier],$H173,tblCouriers[Market],$B173)=0),"Courier not in this market","OK")))))))))))))))</f>
        <v>OK</v>
      </c>
    </row>
    <row r="174" customFormat="false" ht="15" hidden="false" customHeight="false" outlineLevel="0" collapsed="false">
      <c r="A174" s="27" t="n">
        <v>46227</v>
      </c>
      <c r="B174" s="26" t="s">
        <v>90</v>
      </c>
      <c r="C174" s="26" t="s">
        <v>148</v>
      </c>
      <c r="D174" s="26" t="s">
        <v>94</v>
      </c>
      <c r="E174" s="26" t="s">
        <v>74</v>
      </c>
      <c r="F174" s="28" t="n">
        <v>47</v>
      </c>
      <c r="G174" s="28"/>
      <c r="H174" s="26"/>
      <c r="I174" s="26"/>
      <c r="J174" s="26"/>
      <c r="K174" s="29" t="str">
        <f aca="false">IF($A174="","",IF(COUNTIFS(tblMoveTypes[Movement],$E174)=0,"Unknown movement type",IF(COUNTIF(tblShipment[Shipment ID],$C174)=0,"Unknown shipment",IF(COUNTIFS(tblShipment[Shipment ID],$C174,tblShipment[Market],$B174)=0,"Market does not match shipment",IF(AND(IFERROR(INDEX(tblMoveTypes[Item?],MATCH($E174,tblMoveTypes[Movement],0)),"?")="Yes",$D174=""),"Item needed",IF(AND(IFERROR(INDEX(tblMoveTypes[Item?],MATCH($E174,tblMoveTypes[Movement],0)),"?")="No",$D174&lt;&gt;""),"Leave Item blank",IF(AND(IFERROR(INDEX(tblMoveTypes[Courier?],MATCH($E174,tblMoveTypes[Movement],0)),"?")="Yes",$H174=""),"Courier needed",IF(AND(IFERROR(INDEX(tblMoveTypes[Courier?],MATCH($E174,tblMoveTypes[Movement],0)),"?")="No",$H174&lt;&gt;""),"Leave Courier blank",IF(AND(IFERROR(INDEX(tblMoveTypes[Orders?],MATCH($E174,tblMoveTypes[Movement],0)),"?")="Yes",$G174=""),"Orders needed",IF(AND(IFERROR(INDEX(tblMoveTypes[Orders?],MATCH($E174,tblMoveTypes[Movement],0)),"?")="No",$G174&lt;&gt;""),"Leave Orders blank",IF(AND(IFERROR(INDEX(tblMoveTypes[Reason?],MATCH($E174,tblMoveTypes[Movement],0)),"?")="Yes",$I174=""),"Reason needed",IF(AND(IFERROR(INDEX(tblMoveTypes[Qty?],MATCH($E174,tblMoveTypes[Movement],0)),"?")="Yes",N($F174)&lt;=0),"Qty needed",IF($A174&lt;_xlfn.MINIFS(tblShipment[Arrival Date],tblShipment[Shipment ID],$C174),"Date before arrival",IF(AND($D174&lt;&gt;"",COUNTIFS(tblShipment[Shipment ID],$C174,tblShipment[Item Code],$D174)=0),"Item not in this shipment",IF(AND($H174&lt;&gt;"",COUNTIFS(tblCouriers[Courier],$H174,tblCouriers[Market],$B174)=0),"Courier not in this market","OK")))))))))))))))</f>
        <v>OK</v>
      </c>
    </row>
    <row r="175" customFormat="false" ht="15" hidden="false" customHeight="false" outlineLevel="0" collapsed="false">
      <c r="A175" s="27" t="n">
        <v>46227</v>
      </c>
      <c r="B175" s="26" t="s">
        <v>90</v>
      </c>
      <c r="C175" s="26" t="s">
        <v>148</v>
      </c>
      <c r="D175" s="26" t="s">
        <v>83</v>
      </c>
      <c r="E175" s="26" t="s">
        <v>74</v>
      </c>
      <c r="F175" s="28" t="n">
        <v>50</v>
      </c>
      <c r="G175" s="28"/>
      <c r="H175" s="26"/>
      <c r="I175" s="26"/>
      <c r="J175" s="26"/>
      <c r="K175" s="29" t="str">
        <f aca="false">IF($A175="","",IF(COUNTIFS(tblMoveTypes[Movement],$E175)=0,"Unknown movement type",IF(COUNTIF(tblShipment[Shipment ID],$C175)=0,"Unknown shipment",IF(COUNTIFS(tblShipment[Shipment ID],$C175,tblShipment[Market],$B175)=0,"Market does not match shipment",IF(AND(IFERROR(INDEX(tblMoveTypes[Item?],MATCH($E175,tblMoveTypes[Movement],0)),"?")="Yes",$D175=""),"Item needed",IF(AND(IFERROR(INDEX(tblMoveTypes[Item?],MATCH($E175,tblMoveTypes[Movement],0)),"?")="No",$D175&lt;&gt;""),"Leave Item blank",IF(AND(IFERROR(INDEX(tblMoveTypes[Courier?],MATCH($E175,tblMoveTypes[Movement],0)),"?")="Yes",$H175=""),"Courier needed",IF(AND(IFERROR(INDEX(tblMoveTypes[Courier?],MATCH($E175,tblMoveTypes[Movement],0)),"?")="No",$H175&lt;&gt;""),"Leave Courier blank",IF(AND(IFERROR(INDEX(tblMoveTypes[Orders?],MATCH($E175,tblMoveTypes[Movement],0)),"?")="Yes",$G175=""),"Orders needed",IF(AND(IFERROR(INDEX(tblMoveTypes[Orders?],MATCH($E175,tblMoveTypes[Movement],0)),"?")="No",$G175&lt;&gt;""),"Leave Orders blank",IF(AND(IFERROR(INDEX(tblMoveTypes[Reason?],MATCH($E175,tblMoveTypes[Movement],0)),"?")="Yes",$I175=""),"Reason needed",IF(AND(IFERROR(INDEX(tblMoveTypes[Qty?],MATCH($E175,tblMoveTypes[Movement],0)),"?")="Yes",N($F175)&lt;=0),"Qty needed",IF($A175&lt;_xlfn.MINIFS(tblShipment[Arrival Date],tblShipment[Shipment ID],$C175),"Date before arrival",IF(AND($D175&lt;&gt;"",COUNTIFS(tblShipment[Shipment ID],$C175,tblShipment[Item Code],$D175)=0),"Item not in this shipment",IF(AND($H175&lt;&gt;"",COUNTIFS(tblCouriers[Courier],$H175,tblCouriers[Market],$B175)=0),"Courier not in this market","OK")))))))))))))))</f>
        <v>OK</v>
      </c>
    </row>
    <row r="176" customFormat="false" ht="15" hidden="false" customHeight="false" outlineLevel="0" collapsed="false">
      <c r="A176" s="27" t="n">
        <v>46227</v>
      </c>
      <c r="B176" s="26" t="s">
        <v>90</v>
      </c>
      <c r="C176" s="26" t="s">
        <v>148</v>
      </c>
      <c r="D176" s="26"/>
      <c r="E176" s="26" t="s">
        <v>98</v>
      </c>
      <c r="F176" s="28"/>
      <c r="G176" s="28" t="n">
        <v>50</v>
      </c>
      <c r="H176" s="26"/>
      <c r="I176" s="26"/>
      <c r="J176" s="26"/>
      <c r="K176" s="29" t="str">
        <f aca="false">IF($A176="","",IF(COUNTIFS(tblMoveTypes[Movement],$E176)=0,"Unknown movement type",IF(COUNTIF(tblShipment[Shipment ID],$C176)=0,"Unknown shipment",IF(COUNTIFS(tblShipment[Shipment ID],$C176,tblShipment[Market],$B176)=0,"Market does not match shipment",IF(AND(IFERROR(INDEX(tblMoveTypes[Item?],MATCH($E176,tblMoveTypes[Movement],0)),"?")="Yes",$D176=""),"Item needed",IF(AND(IFERROR(INDEX(tblMoveTypes[Item?],MATCH($E176,tblMoveTypes[Movement],0)),"?")="No",$D176&lt;&gt;""),"Leave Item blank",IF(AND(IFERROR(INDEX(tblMoveTypes[Courier?],MATCH($E176,tblMoveTypes[Movement],0)),"?")="Yes",$H176=""),"Courier needed",IF(AND(IFERROR(INDEX(tblMoveTypes[Courier?],MATCH($E176,tblMoveTypes[Movement],0)),"?")="No",$H176&lt;&gt;""),"Leave Courier blank",IF(AND(IFERROR(INDEX(tblMoveTypes[Orders?],MATCH($E176,tblMoveTypes[Movement],0)),"?")="Yes",$G176=""),"Orders needed",IF(AND(IFERROR(INDEX(tblMoveTypes[Orders?],MATCH($E176,tblMoveTypes[Movement],0)),"?")="No",$G176&lt;&gt;""),"Leave Orders blank",IF(AND(IFERROR(INDEX(tblMoveTypes[Reason?],MATCH($E176,tblMoveTypes[Movement],0)),"?")="Yes",$I176=""),"Reason needed",IF(AND(IFERROR(INDEX(tblMoveTypes[Qty?],MATCH($E176,tblMoveTypes[Movement],0)),"?")="Yes",N($F176)&lt;=0),"Qty needed",IF($A176&lt;_xlfn.MINIFS(tblShipment[Arrival Date],tblShipment[Shipment ID],$C176),"Date before arrival",IF(AND($D176&lt;&gt;"",COUNTIFS(tblShipment[Shipment ID],$C176,tblShipment[Item Code],$D176)=0),"Item not in this shipment",IF(AND($H176&lt;&gt;"",COUNTIFS(tblCouriers[Courier],$H176,tblCouriers[Market],$B176)=0),"Courier not in this market","OK")))))))))))))))</f>
        <v>OK</v>
      </c>
    </row>
    <row r="177" customFormat="false" ht="15" hidden="false" customHeight="false" outlineLevel="0" collapsed="false">
      <c r="A177" s="27" t="n">
        <v>46227</v>
      </c>
      <c r="B177" s="26" t="s">
        <v>90</v>
      </c>
      <c r="C177" s="26" t="s">
        <v>148</v>
      </c>
      <c r="D177" s="26" t="s">
        <v>67</v>
      </c>
      <c r="E177" s="26" t="s">
        <v>73</v>
      </c>
      <c r="F177" s="28" t="n">
        <v>7</v>
      </c>
      <c r="G177" s="28"/>
      <c r="H177" s="26"/>
      <c r="I177" s="26" t="s">
        <v>72</v>
      </c>
      <c r="J177" s="26"/>
      <c r="K177" s="29" t="str">
        <f aca="false">IF($A177="","",IF(COUNTIFS(tblMoveTypes[Movement],$E177)=0,"Unknown movement type",IF(COUNTIF(tblShipment[Shipment ID],$C177)=0,"Unknown shipment",IF(COUNTIFS(tblShipment[Shipment ID],$C177,tblShipment[Market],$B177)=0,"Market does not match shipment",IF(AND(IFERROR(INDEX(tblMoveTypes[Item?],MATCH($E177,tblMoveTypes[Movement],0)),"?")="Yes",$D177=""),"Item needed",IF(AND(IFERROR(INDEX(tblMoveTypes[Item?],MATCH($E177,tblMoveTypes[Movement],0)),"?")="No",$D177&lt;&gt;""),"Leave Item blank",IF(AND(IFERROR(INDEX(tblMoveTypes[Courier?],MATCH($E177,tblMoveTypes[Movement],0)),"?")="Yes",$H177=""),"Courier needed",IF(AND(IFERROR(INDEX(tblMoveTypes[Courier?],MATCH($E177,tblMoveTypes[Movement],0)),"?")="No",$H177&lt;&gt;""),"Leave Courier blank",IF(AND(IFERROR(INDEX(tblMoveTypes[Orders?],MATCH($E177,tblMoveTypes[Movement],0)),"?")="Yes",$G177=""),"Orders needed",IF(AND(IFERROR(INDEX(tblMoveTypes[Orders?],MATCH($E177,tblMoveTypes[Movement],0)),"?")="No",$G177&lt;&gt;""),"Leave Orders blank",IF(AND(IFERROR(INDEX(tblMoveTypes[Reason?],MATCH($E177,tblMoveTypes[Movement],0)),"?")="Yes",$I177=""),"Reason needed",IF(AND(IFERROR(INDEX(tblMoveTypes[Qty?],MATCH($E177,tblMoveTypes[Movement],0)),"?")="Yes",N($F177)&lt;=0),"Qty needed",IF($A177&lt;_xlfn.MINIFS(tblShipment[Arrival Date],tblShipment[Shipment ID],$C177),"Date before arrival",IF(AND($D177&lt;&gt;"",COUNTIFS(tblShipment[Shipment ID],$C177,tblShipment[Item Code],$D177)=0),"Item not in this shipment",IF(AND($H177&lt;&gt;"",COUNTIFS(tblCouriers[Courier],$H177,tblCouriers[Market],$B177)=0),"Courier not in this market","OK")))))))))))))))</f>
        <v>OK</v>
      </c>
    </row>
    <row r="178" customFormat="false" ht="15" hidden="false" customHeight="false" outlineLevel="0" collapsed="false">
      <c r="A178" s="27" t="n">
        <v>46227</v>
      </c>
      <c r="B178" s="26" t="s">
        <v>90</v>
      </c>
      <c r="C178" s="26" t="s">
        <v>148</v>
      </c>
      <c r="D178" s="26" t="s">
        <v>76</v>
      </c>
      <c r="E178" s="26" t="s">
        <v>73</v>
      </c>
      <c r="F178" s="28" t="n">
        <v>5</v>
      </c>
      <c r="G178" s="28"/>
      <c r="H178" s="26"/>
      <c r="I178" s="26" t="s">
        <v>72</v>
      </c>
      <c r="J178" s="26"/>
      <c r="K178" s="29" t="str">
        <f aca="false">IF($A178="","",IF(COUNTIFS(tblMoveTypes[Movement],$E178)=0,"Unknown movement type",IF(COUNTIF(tblShipment[Shipment ID],$C178)=0,"Unknown shipment",IF(COUNTIFS(tblShipment[Shipment ID],$C178,tblShipment[Market],$B178)=0,"Market does not match shipment",IF(AND(IFERROR(INDEX(tblMoveTypes[Item?],MATCH($E178,tblMoveTypes[Movement],0)),"?")="Yes",$D178=""),"Item needed",IF(AND(IFERROR(INDEX(tblMoveTypes[Item?],MATCH($E178,tblMoveTypes[Movement],0)),"?")="No",$D178&lt;&gt;""),"Leave Item blank",IF(AND(IFERROR(INDEX(tblMoveTypes[Courier?],MATCH($E178,tblMoveTypes[Movement],0)),"?")="Yes",$H178=""),"Courier needed",IF(AND(IFERROR(INDEX(tblMoveTypes[Courier?],MATCH($E178,tblMoveTypes[Movement],0)),"?")="No",$H178&lt;&gt;""),"Leave Courier blank",IF(AND(IFERROR(INDEX(tblMoveTypes[Orders?],MATCH($E178,tblMoveTypes[Movement],0)),"?")="Yes",$G178=""),"Orders needed",IF(AND(IFERROR(INDEX(tblMoveTypes[Orders?],MATCH($E178,tblMoveTypes[Movement],0)),"?")="No",$G178&lt;&gt;""),"Leave Orders blank",IF(AND(IFERROR(INDEX(tblMoveTypes[Reason?],MATCH($E178,tblMoveTypes[Movement],0)),"?")="Yes",$I178=""),"Reason needed",IF(AND(IFERROR(INDEX(tblMoveTypes[Qty?],MATCH($E178,tblMoveTypes[Movement],0)),"?")="Yes",N($F178)&lt;=0),"Qty needed",IF($A178&lt;_xlfn.MINIFS(tblShipment[Arrival Date],tblShipment[Shipment ID],$C178),"Date before arrival",IF(AND($D178&lt;&gt;"",COUNTIFS(tblShipment[Shipment ID],$C178,tblShipment[Item Code],$D178)=0),"Item not in this shipment",IF(AND($H178&lt;&gt;"",COUNTIFS(tblCouriers[Courier],$H178,tblCouriers[Market],$B178)=0),"Courier not in this market","OK")))))))))))))))</f>
        <v>OK</v>
      </c>
    </row>
    <row r="179" customFormat="false" ht="15" hidden="false" customHeight="false" outlineLevel="0" collapsed="false">
      <c r="A179" s="27" t="n">
        <v>46227</v>
      </c>
      <c r="B179" s="26" t="s">
        <v>90</v>
      </c>
      <c r="C179" s="26" t="s">
        <v>148</v>
      </c>
      <c r="D179" s="26" t="s">
        <v>99</v>
      </c>
      <c r="E179" s="26" t="s">
        <v>73</v>
      </c>
      <c r="F179" s="28" t="n">
        <v>2</v>
      </c>
      <c r="G179" s="28"/>
      <c r="H179" s="26"/>
      <c r="I179" s="26" t="s">
        <v>80</v>
      </c>
      <c r="J179" s="26"/>
      <c r="K179" s="29" t="str">
        <f aca="false">IF($A179="","",IF(COUNTIFS(tblMoveTypes[Movement],$E179)=0,"Unknown movement type",IF(COUNTIF(tblShipment[Shipment ID],$C179)=0,"Unknown shipment",IF(COUNTIFS(tblShipment[Shipment ID],$C179,tblShipment[Market],$B179)=0,"Market does not match shipment",IF(AND(IFERROR(INDEX(tblMoveTypes[Item?],MATCH($E179,tblMoveTypes[Movement],0)),"?")="Yes",$D179=""),"Item needed",IF(AND(IFERROR(INDEX(tblMoveTypes[Item?],MATCH($E179,tblMoveTypes[Movement],0)),"?")="No",$D179&lt;&gt;""),"Leave Item blank",IF(AND(IFERROR(INDEX(tblMoveTypes[Courier?],MATCH($E179,tblMoveTypes[Movement],0)),"?")="Yes",$H179=""),"Courier needed",IF(AND(IFERROR(INDEX(tblMoveTypes[Courier?],MATCH($E179,tblMoveTypes[Movement],0)),"?")="No",$H179&lt;&gt;""),"Leave Courier blank",IF(AND(IFERROR(INDEX(tblMoveTypes[Orders?],MATCH($E179,tblMoveTypes[Movement],0)),"?")="Yes",$G179=""),"Orders needed",IF(AND(IFERROR(INDEX(tblMoveTypes[Orders?],MATCH($E179,tblMoveTypes[Movement],0)),"?")="No",$G179&lt;&gt;""),"Leave Orders blank",IF(AND(IFERROR(INDEX(tblMoveTypes[Reason?],MATCH($E179,tblMoveTypes[Movement],0)),"?")="Yes",$I179=""),"Reason needed",IF(AND(IFERROR(INDEX(tblMoveTypes[Qty?],MATCH($E179,tblMoveTypes[Movement],0)),"?")="Yes",N($F179)&lt;=0),"Qty needed",IF($A179&lt;_xlfn.MINIFS(tblShipment[Arrival Date],tblShipment[Shipment ID],$C179),"Date before arrival",IF(AND($D179&lt;&gt;"",COUNTIFS(tblShipment[Shipment ID],$C179,tblShipment[Item Code],$D179)=0),"Item not in this shipment",IF(AND($H179&lt;&gt;"",COUNTIFS(tblCouriers[Courier],$H179,tblCouriers[Market],$B179)=0),"Courier not in this market","OK")))))))))))))))</f>
        <v>OK</v>
      </c>
    </row>
    <row r="180" customFormat="false" ht="15" hidden="false" customHeight="false" outlineLevel="0" collapsed="false">
      <c r="A180" s="27" t="n">
        <v>46227</v>
      </c>
      <c r="B180" s="26" t="s">
        <v>90</v>
      </c>
      <c r="C180" s="26" t="s">
        <v>148</v>
      </c>
      <c r="D180" s="26" t="s">
        <v>94</v>
      </c>
      <c r="E180" s="26" t="s">
        <v>73</v>
      </c>
      <c r="F180" s="28" t="n">
        <v>2</v>
      </c>
      <c r="G180" s="28"/>
      <c r="H180" s="26"/>
      <c r="I180" s="26" t="s">
        <v>72</v>
      </c>
      <c r="J180" s="26"/>
      <c r="K180" s="29" t="str">
        <f aca="false">IF($A180="","",IF(COUNTIFS(tblMoveTypes[Movement],$E180)=0,"Unknown movement type",IF(COUNTIF(tblShipment[Shipment ID],$C180)=0,"Unknown shipment",IF(COUNTIFS(tblShipment[Shipment ID],$C180,tblShipment[Market],$B180)=0,"Market does not match shipment",IF(AND(IFERROR(INDEX(tblMoveTypes[Item?],MATCH($E180,tblMoveTypes[Movement],0)),"?")="Yes",$D180=""),"Item needed",IF(AND(IFERROR(INDEX(tblMoveTypes[Item?],MATCH($E180,tblMoveTypes[Movement],0)),"?")="No",$D180&lt;&gt;""),"Leave Item blank",IF(AND(IFERROR(INDEX(tblMoveTypes[Courier?],MATCH($E180,tblMoveTypes[Movement],0)),"?")="Yes",$H180=""),"Courier needed",IF(AND(IFERROR(INDEX(tblMoveTypes[Courier?],MATCH($E180,tblMoveTypes[Movement],0)),"?")="No",$H180&lt;&gt;""),"Leave Courier blank",IF(AND(IFERROR(INDEX(tblMoveTypes[Orders?],MATCH($E180,tblMoveTypes[Movement],0)),"?")="Yes",$G180=""),"Orders needed",IF(AND(IFERROR(INDEX(tblMoveTypes[Orders?],MATCH($E180,tblMoveTypes[Movement],0)),"?")="No",$G180&lt;&gt;""),"Leave Orders blank",IF(AND(IFERROR(INDEX(tblMoveTypes[Reason?],MATCH($E180,tblMoveTypes[Movement],0)),"?")="Yes",$I180=""),"Reason needed",IF(AND(IFERROR(INDEX(tblMoveTypes[Qty?],MATCH($E180,tblMoveTypes[Movement],0)),"?")="Yes",N($F180)&lt;=0),"Qty needed",IF($A180&lt;_xlfn.MINIFS(tblShipment[Arrival Date],tblShipment[Shipment ID],$C180),"Date before arrival",IF(AND($D180&lt;&gt;"",COUNTIFS(tblShipment[Shipment ID],$C180,tblShipment[Item Code],$D180)=0),"Item not in this shipment",IF(AND($H180&lt;&gt;"",COUNTIFS(tblCouriers[Courier],$H180,tblCouriers[Market],$B180)=0),"Courier not in this market","OK")))))))))))))))</f>
        <v>OK</v>
      </c>
    </row>
    <row r="181" customFormat="false" ht="15" hidden="false" customHeight="false" outlineLevel="0" collapsed="false">
      <c r="A181" s="27" t="n">
        <v>46227</v>
      </c>
      <c r="B181" s="26" t="s">
        <v>90</v>
      </c>
      <c r="C181" s="26" t="s">
        <v>148</v>
      </c>
      <c r="D181" s="26" t="s">
        <v>83</v>
      </c>
      <c r="E181" s="26" t="s">
        <v>73</v>
      </c>
      <c r="F181" s="28" t="n">
        <v>3</v>
      </c>
      <c r="G181" s="28"/>
      <c r="H181" s="26"/>
      <c r="I181" s="26" t="s">
        <v>80</v>
      </c>
      <c r="J181" s="26"/>
      <c r="K181" s="29" t="str">
        <f aca="false">IF($A181="","",IF(COUNTIFS(tblMoveTypes[Movement],$E181)=0,"Unknown movement type",IF(COUNTIF(tblShipment[Shipment ID],$C181)=0,"Unknown shipment",IF(COUNTIFS(tblShipment[Shipment ID],$C181,tblShipment[Market],$B181)=0,"Market does not match shipment",IF(AND(IFERROR(INDEX(tblMoveTypes[Item?],MATCH($E181,tblMoveTypes[Movement],0)),"?")="Yes",$D181=""),"Item needed",IF(AND(IFERROR(INDEX(tblMoveTypes[Item?],MATCH($E181,tblMoveTypes[Movement],0)),"?")="No",$D181&lt;&gt;""),"Leave Item blank",IF(AND(IFERROR(INDEX(tblMoveTypes[Courier?],MATCH($E181,tblMoveTypes[Movement],0)),"?")="Yes",$H181=""),"Courier needed",IF(AND(IFERROR(INDEX(tblMoveTypes[Courier?],MATCH($E181,tblMoveTypes[Movement],0)),"?")="No",$H181&lt;&gt;""),"Leave Courier blank",IF(AND(IFERROR(INDEX(tblMoveTypes[Orders?],MATCH($E181,tblMoveTypes[Movement],0)),"?")="Yes",$G181=""),"Orders needed",IF(AND(IFERROR(INDEX(tblMoveTypes[Orders?],MATCH($E181,tblMoveTypes[Movement],0)),"?")="No",$G181&lt;&gt;""),"Leave Orders blank",IF(AND(IFERROR(INDEX(tblMoveTypes[Reason?],MATCH($E181,tblMoveTypes[Movement],0)),"?")="Yes",$I181=""),"Reason needed",IF(AND(IFERROR(INDEX(tblMoveTypes[Qty?],MATCH($E181,tblMoveTypes[Movement],0)),"?")="Yes",N($F181)&lt;=0),"Qty needed",IF($A181&lt;_xlfn.MINIFS(tblShipment[Arrival Date],tblShipment[Shipment ID],$C181),"Date before arrival",IF(AND($D181&lt;&gt;"",COUNTIFS(tblShipment[Shipment ID],$C181,tblShipment[Item Code],$D181)=0),"Item not in this shipment",IF(AND($H181&lt;&gt;"",COUNTIFS(tblCouriers[Courier],$H181,tblCouriers[Market],$B181)=0),"Courier not in this market","OK")))))))))))))))</f>
        <v>OK</v>
      </c>
    </row>
    <row r="182" customFormat="false" ht="15" hidden="false" customHeight="false" outlineLevel="0" collapsed="false">
      <c r="A182" s="27" t="n">
        <v>46227</v>
      </c>
      <c r="B182" s="26" t="s">
        <v>90</v>
      </c>
      <c r="C182" s="26" t="s">
        <v>148</v>
      </c>
      <c r="D182" s="26" t="s">
        <v>67</v>
      </c>
      <c r="E182" s="26" t="s">
        <v>93</v>
      </c>
      <c r="F182" s="28" t="n">
        <v>113</v>
      </c>
      <c r="G182" s="28"/>
      <c r="H182" s="26" t="s">
        <v>101</v>
      </c>
      <c r="I182" s="26"/>
      <c r="J182" s="26"/>
      <c r="K182" s="29" t="str">
        <f aca="false">IF($A182="","",IF(COUNTIFS(tblMoveTypes[Movement],$E182)=0,"Unknown movement type",IF(COUNTIF(tblShipment[Shipment ID],$C182)=0,"Unknown shipment",IF(COUNTIFS(tblShipment[Shipment ID],$C182,tblShipment[Market],$B182)=0,"Market does not match shipment",IF(AND(IFERROR(INDEX(tblMoveTypes[Item?],MATCH($E182,tblMoveTypes[Movement],0)),"?")="Yes",$D182=""),"Item needed",IF(AND(IFERROR(INDEX(tblMoveTypes[Item?],MATCH($E182,tblMoveTypes[Movement],0)),"?")="No",$D182&lt;&gt;""),"Leave Item blank",IF(AND(IFERROR(INDEX(tblMoveTypes[Courier?],MATCH($E182,tblMoveTypes[Movement],0)),"?")="Yes",$H182=""),"Courier needed",IF(AND(IFERROR(INDEX(tblMoveTypes[Courier?],MATCH($E182,tblMoveTypes[Movement],0)),"?")="No",$H182&lt;&gt;""),"Leave Courier blank",IF(AND(IFERROR(INDEX(tblMoveTypes[Orders?],MATCH($E182,tblMoveTypes[Movement],0)),"?")="Yes",$G182=""),"Orders needed",IF(AND(IFERROR(INDEX(tblMoveTypes[Orders?],MATCH($E182,tblMoveTypes[Movement],0)),"?")="No",$G182&lt;&gt;""),"Leave Orders blank",IF(AND(IFERROR(INDEX(tblMoveTypes[Reason?],MATCH($E182,tblMoveTypes[Movement],0)),"?")="Yes",$I182=""),"Reason needed",IF(AND(IFERROR(INDEX(tblMoveTypes[Qty?],MATCH($E182,tblMoveTypes[Movement],0)),"?")="Yes",N($F182)&lt;=0),"Qty needed",IF($A182&lt;_xlfn.MINIFS(tblShipment[Arrival Date],tblShipment[Shipment ID],$C182),"Date before arrival",IF(AND($D182&lt;&gt;"",COUNTIFS(tblShipment[Shipment ID],$C182,tblShipment[Item Code],$D182)=0),"Item not in this shipment",IF(AND($H182&lt;&gt;"",COUNTIFS(tblCouriers[Courier],$H182,tblCouriers[Market],$B182)=0),"Courier not in this market","OK")))))))))))))))</f>
        <v>OK</v>
      </c>
    </row>
    <row r="183" customFormat="false" ht="15" hidden="false" customHeight="false" outlineLevel="0" collapsed="false">
      <c r="A183" s="27" t="n">
        <v>46227</v>
      </c>
      <c r="B183" s="26" t="s">
        <v>90</v>
      </c>
      <c r="C183" s="26" t="s">
        <v>148</v>
      </c>
      <c r="D183" s="26" t="s">
        <v>76</v>
      </c>
      <c r="E183" s="26" t="s">
        <v>93</v>
      </c>
      <c r="F183" s="28" t="n">
        <v>75</v>
      </c>
      <c r="G183" s="28"/>
      <c r="H183" s="26" t="s">
        <v>101</v>
      </c>
      <c r="I183" s="26"/>
      <c r="J183" s="26"/>
      <c r="K183" s="29" t="str">
        <f aca="false">IF($A183="","",IF(COUNTIFS(tblMoveTypes[Movement],$E183)=0,"Unknown movement type",IF(COUNTIF(tblShipment[Shipment ID],$C183)=0,"Unknown shipment",IF(COUNTIFS(tblShipment[Shipment ID],$C183,tblShipment[Market],$B183)=0,"Market does not match shipment",IF(AND(IFERROR(INDEX(tblMoveTypes[Item?],MATCH($E183,tblMoveTypes[Movement],0)),"?")="Yes",$D183=""),"Item needed",IF(AND(IFERROR(INDEX(tblMoveTypes[Item?],MATCH($E183,tblMoveTypes[Movement],0)),"?")="No",$D183&lt;&gt;""),"Leave Item blank",IF(AND(IFERROR(INDEX(tblMoveTypes[Courier?],MATCH($E183,tblMoveTypes[Movement],0)),"?")="Yes",$H183=""),"Courier needed",IF(AND(IFERROR(INDEX(tblMoveTypes[Courier?],MATCH($E183,tblMoveTypes[Movement],0)),"?")="No",$H183&lt;&gt;""),"Leave Courier blank",IF(AND(IFERROR(INDEX(tblMoveTypes[Orders?],MATCH($E183,tblMoveTypes[Movement],0)),"?")="Yes",$G183=""),"Orders needed",IF(AND(IFERROR(INDEX(tblMoveTypes[Orders?],MATCH($E183,tblMoveTypes[Movement],0)),"?")="No",$G183&lt;&gt;""),"Leave Orders blank",IF(AND(IFERROR(INDEX(tblMoveTypes[Reason?],MATCH($E183,tblMoveTypes[Movement],0)),"?")="Yes",$I183=""),"Reason needed",IF(AND(IFERROR(INDEX(tblMoveTypes[Qty?],MATCH($E183,tblMoveTypes[Movement],0)),"?")="Yes",N($F183)&lt;=0),"Qty needed",IF($A183&lt;_xlfn.MINIFS(tblShipment[Arrival Date],tblShipment[Shipment ID],$C183),"Date before arrival",IF(AND($D183&lt;&gt;"",COUNTIFS(tblShipment[Shipment ID],$C183,tblShipment[Item Code],$D183)=0),"Item not in this shipment",IF(AND($H183&lt;&gt;"",COUNTIFS(tblCouriers[Courier],$H183,tblCouriers[Market],$B183)=0),"Courier not in this market","OK")))))))))))))))</f>
        <v>OK</v>
      </c>
    </row>
    <row r="184" customFormat="false" ht="15" hidden="false" customHeight="false" outlineLevel="0" collapsed="false">
      <c r="A184" s="27" t="n">
        <v>46227</v>
      </c>
      <c r="B184" s="26" t="s">
        <v>90</v>
      </c>
      <c r="C184" s="26" t="s">
        <v>148</v>
      </c>
      <c r="D184" s="26" t="s">
        <v>99</v>
      </c>
      <c r="E184" s="26" t="s">
        <v>93</v>
      </c>
      <c r="F184" s="28" t="n">
        <v>48</v>
      </c>
      <c r="G184" s="28"/>
      <c r="H184" s="26" t="s">
        <v>101</v>
      </c>
      <c r="I184" s="26"/>
      <c r="J184" s="26"/>
      <c r="K184" s="29" t="str">
        <f aca="false">IF($A184="","",IF(COUNTIFS(tblMoveTypes[Movement],$E184)=0,"Unknown movement type",IF(COUNTIF(tblShipment[Shipment ID],$C184)=0,"Unknown shipment",IF(COUNTIFS(tblShipment[Shipment ID],$C184,tblShipment[Market],$B184)=0,"Market does not match shipment",IF(AND(IFERROR(INDEX(tblMoveTypes[Item?],MATCH($E184,tblMoveTypes[Movement],0)),"?")="Yes",$D184=""),"Item needed",IF(AND(IFERROR(INDEX(tblMoveTypes[Item?],MATCH($E184,tblMoveTypes[Movement],0)),"?")="No",$D184&lt;&gt;""),"Leave Item blank",IF(AND(IFERROR(INDEX(tblMoveTypes[Courier?],MATCH($E184,tblMoveTypes[Movement],0)),"?")="Yes",$H184=""),"Courier needed",IF(AND(IFERROR(INDEX(tblMoveTypes[Courier?],MATCH($E184,tblMoveTypes[Movement],0)),"?")="No",$H184&lt;&gt;""),"Leave Courier blank",IF(AND(IFERROR(INDEX(tblMoveTypes[Orders?],MATCH($E184,tblMoveTypes[Movement],0)),"?")="Yes",$G184=""),"Orders needed",IF(AND(IFERROR(INDEX(tblMoveTypes[Orders?],MATCH($E184,tblMoveTypes[Movement],0)),"?")="No",$G184&lt;&gt;""),"Leave Orders blank",IF(AND(IFERROR(INDEX(tblMoveTypes[Reason?],MATCH($E184,tblMoveTypes[Movement],0)),"?")="Yes",$I184=""),"Reason needed",IF(AND(IFERROR(INDEX(tblMoveTypes[Qty?],MATCH($E184,tblMoveTypes[Movement],0)),"?")="Yes",N($F184)&lt;=0),"Qty needed",IF($A184&lt;_xlfn.MINIFS(tblShipment[Arrival Date],tblShipment[Shipment ID],$C184),"Date before arrival",IF(AND($D184&lt;&gt;"",COUNTIFS(tblShipment[Shipment ID],$C184,tblShipment[Item Code],$D184)=0),"Item not in this shipment",IF(AND($H184&lt;&gt;"",COUNTIFS(tblCouriers[Courier],$H184,tblCouriers[Market],$B184)=0),"Courier not in this market","OK")))))))))))))))</f>
        <v>OK</v>
      </c>
    </row>
    <row r="185" customFormat="false" ht="15" hidden="false" customHeight="false" outlineLevel="0" collapsed="false">
      <c r="A185" s="27" t="n">
        <v>46227</v>
      </c>
      <c r="B185" s="26" t="s">
        <v>90</v>
      </c>
      <c r="C185" s="26" t="s">
        <v>148</v>
      </c>
      <c r="D185" s="26" t="s">
        <v>94</v>
      </c>
      <c r="E185" s="26" t="s">
        <v>93</v>
      </c>
      <c r="F185" s="28" t="n">
        <v>45</v>
      </c>
      <c r="G185" s="28"/>
      <c r="H185" s="26" t="s">
        <v>101</v>
      </c>
      <c r="I185" s="26"/>
      <c r="J185" s="26"/>
      <c r="K185" s="29" t="str">
        <f aca="false">IF($A185="","",IF(COUNTIFS(tblMoveTypes[Movement],$E185)=0,"Unknown movement type",IF(COUNTIF(tblShipment[Shipment ID],$C185)=0,"Unknown shipment",IF(COUNTIFS(tblShipment[Shipment ID],$C185,tblShipment[Market],$B185)=0,"Market does not match shipment",IF(AND(IFERROR(INDEX(tblMoveTypes[Item?],MATCH($E185,tblMoveTypes[Movement],0)),"?")="Yes",$D185=""),"Item needed",IF(AND(IFERROR(INDEX(tblMoveTypes[Item?],MATCH($E185,tblMoveTypes[Movement],0)),"?")="No",$D185&lt;&gt;""),"Leave Item blank",IF(AND(IFERROR(INDEX(tblMoveTypes[Courier?],MATCH($E185,tblMoveTypes[Movement],0)),"?")="Yes",$H185=""),"Courier needed",IF(AND(IFERROR(INDEX(tblMoveTypes[Courier?],MATCH($E185,tblMoveTypes[Movement],0)),"?")="No",$H185&lt;&gt;""),"Leave Courier blank",IF(AND(IFERROR(INDEX(tblMoveTypes[Orders?],MATCH($E185,tblMoveTypes[Movement],0)),"?")="Yes",$G185=""),"Orders needed",IF(AND(IFERROR(INDEX(tblMoveTypes[Orders?],MATCH($E185,tblMoveTypes[Movement],0)),"?")="No",$G185&lt;&gt;""),"Leave Orders blank",IF(AND(IFERROR(INDEX(tblMoveTypes[Reason?],MATCH($E185,tblMoveTypes[Movement],0)),"?")="Yes",$I185=""),"Reason needed",IF(AND(IFERROR(INDEX(tblMoveTypes[Qty?],MATCH($E185,tblMoveTypes[Movement],0)),"?")="Yes",N($F185)&lt;=0),"Qty needed",IF($A185&lt;_xlfn.MINIFS(tblShipment[Arrival Date],tblShipment[Shipment ID],$C185),"Date before arrival",IF(AND($D185&lt;&gt;"",COUNTIFS(tblShipment[Shipment ID],$C185,tblShipment[Item Code],$D185)=0),"Item not in this shipment",IF(AND($H185&lt;&gt;"",COUNTIFS(tblCouriers[Courier],$H185,tblCouriers[Market],$B185)=0),"Courier not in this market","OK")))))))))))))))</f>
        <v>OK</v>
      </c>
    </row>
    <row r="186" customFormat="false" ht="15" hidden="false" customHeight="false" outlineLevel="0" collapsed="false">
      <c r="A186" s="27" t="n">
        <v>46227</v>
      </c>
      <c r="B186" s="26" t="s">
        <v>90</v>
      </c>
      <c r="C186" s="26" t="s">
        <v>148</v>
      </c>
      <c r="D186" s="26" t="s">
        <v>83</v>
      </c>
      <c r="E186" s="26" t="s">
        <v>93</v>
      </c>
      <c r="F186" s="28" t="n">
        <v>47</v>
      </c>
      <c r="G186" s="28"/>
      <c r="H186" s="26" t="s">
        <v>101</v>
      </c>
      <c r="I186" s="26"/>
      <c r="J186" s="26"/>
      <c r="K186" s="29" t="str">
        <f aca="false">IF($A186="","",IF(COUNTIFS(tblMoveTypes[Movement],$E186)=0,"Unknown movement type",IF(COUNTIF(tblShipment[Shipment ID],$C186)=0,"Unknown shipment",IF(COUNTIFS(tblShipment[Shipment ID],$C186,tblShipment[Market],$B186)=0,"Market does not match shipment",IF(AND(IFERROR(INDEX(tblMoveTypes[Item?],MATCH($E186,tblMoveTypes[Movement],0)),"?")="Yes",$D186=""),"Item needed",IF(AND(IFERROR(INDEX(tblMoveTypes[Item?],MATCH($E186,tblMoveTypes[Movement],0)),"?")="No",$D186&lt;&gt;""),"Leave Item blank",IF(AND(IFERROR(INDEX(tblMoveTypes[Courier?],MATCH($E186,tblMoveTypes[Movement],0)),"?")="Yes",$H186=""),"Courier needed",IF(AND(IFERROR(INDEX(tblMoveTypes[Courier?],MATCH($E186,tblMoveTypes[Movement],0)),"?")="No",$H186&lt;&gt;""),"Leave Courier blank",IF(AND(IFERROR(INDEX(tblMoveTypes[Orders?],MATCH($E186,tblMoveTypes[Movement],0)),"?")="Yes",$G186=""),"Orders needed",IF(AND(IFERROR(INDEX(tblMoveTypes[Orders?],MATCH($E186,tblMoveTypes[Movement],0)),"?")="No",$G186&lt;&gt;""),"Leave Orders blank",IF(AND(IFERROR(INDEX(tblMoveTypes[Reason?],MATCH($E186,tblMoveTypes[Movement],0)),"?")="Yes",$I186=""),"Reason needed",IF(AND(IFERROR(INDEX(tblMoveTypes[Qty?],MATCH($E186,tblMoveTypes[Movement],0)),"?")="Yes",N($F186)&lt;=0),"Qty needed",IF($A186&lt;_xlfn.MINIFS(tblShipment[Arrival Date],tblShipment[Shipment ID],$C186),"Date before arrival",IF(AND($D186&lt;&gt;"",COUNTIFS(tblShipment[Shipment ID],$C186,tblShipment[Item Code],$D186)=0),"Item not in this shipment",IF(AND($H186&lt;&gt;"",COUNTIFS(tblCouriers[Courier],$H186,tblCouriers[Market],$B186)=0),"Courier not in this market","OK")))))))))))))))</f>
        <v>OK</v>
      </c>
    </row>
    <row r="187" customFormat="false" ht="15" hidden="false" customHeight="false" outlineLevel="0" collapsed="false">
      <c r="A187" s="27" t="n">
        <v>46227</v>
      </c>
      <c r="B187" s="26" t="s">
        <v>90</v>
      </c>
      <c r="C187" s="26" t="s">
        <v>148</v>
      </c>
      <c r="D187" s="26"/>
      <c r="E187" s="26" t="s">
        <v>104</v>
      </c>
      <c r="F187" s="28"/>
      <c r="G187" s="28" t="n">
        <v>50</v>
      </c>
      <c r="H187" s="26" t="s">
        <v>101</v>
      </c>
      <c r="I187" s="26"/>
      <c r="J187" s="26"/>
      <c r="K187" s="29" t="str">
        <f aca="false">IF($A187="","",IF(COUNTIFS(tblMoveTypes[Movement],$E187)=0,"Unknown movement type",IF(COUNTIF(tblShipment[Shipment ID],$C187)=0,"Unknown shipment",IF(COUNTIFS(tblShipment[Shipment ID],$C187,tblShipment[Market],$B187)=0,"Market does not match shipment",IF(AND(IFERROR(INDEX(tblMoveTypes[Item?],MATCH($E187,tblMoveTypes[Movement],0)),"?")="Yes",$D187=""),"Item needed",IF(AND(IFERROR(INDEX(tblMoveTypes[Item?],MATCH($E187,tblMoveTypes[Movement],0)),"?")="No",$D187&lt;&gt;""),"Leave Item blank",IF(AND(IFERROR(INDEX(tblMoveTypes[Courier?],MATCH($E187,tblMoveTypes[Movement],0)),"?")="Yes",$H187=""),"Courier needed",IF(AND(IFERROR(INDEX(tblMoveTypes[Courier?],MATCH($E187,tblMoveTypes[Movement],0)),"?")="No",$H187&lt;&gt;""),"Leave Courier blank",IF(AND(IFERROR(INDEX(tblMoveTypes[Orders?],MATCH($E187,tblMoveTypes[Movement],0)),"?")="Yes",$G187=""),"Orders needed",IF(AND(IFERROR(INDEX(tblMoveTypes[Orders?],MATCH($E187,tblMoveTypes[Movement],0)),"?")="No",$G187&lt;&gt;""),"Leave Orders blank",IF(AND(IFERROR(INDEX(tblMoveTypes[Reason?],MATCH($E187,tblMoveTypes[Movement],0)),"?")="Yes",$I187=""),"Reason needed",IF(AND(IFERROR(INDEX(tblMoveTypes[Qty?],MATCH($E187,tblMoveTypes[Movement],0)),"?")="Yes",N($F187)&lt;=0),"Qty needed",IF($A187&lt;_xlfn.MINIFS(tblShipment[Arrival Date],tblShipment[Shipment ID],$C187),"Date before arrival",IF(AND($D187&lt;&gt;"",COUNTIFS(tblShipment[Shipment ID],$C187,tblShipment[Item Code],$D187)=0),"Item not in this shipment",IF(AND($H187&lt;&gt;"",COUNTIFS(tblCouriers[Courier],$H187,tblCouriers[Market],$B187)=0),"Courier not in this market","OK")))))))))))))))</f>
        <v>OK</v>
      </c>
    </row>
    <row r="188" customFormat="false" ht="15" hidden="false" customHeight="false" outlineLevel="0" collapsed="false">
      <c r="A188" s="27" t="n">
        <v>46227</v>
      </c>
      <c r="B188" s="26" t="s">
        <v>78</v>
      </c>
      <c r="C188" s="26" t="s">
        <v>131</v>
      </c>
      <c r="D188" s="26"/>
      <c r="E188" s="26" t="s">
        <v>106</v>
      </c>
      <c r="F188" s="28" t="n">
        <v>5</v>
      </c>
      <c r="G188" s="28" t="n">
        <v>1</v>
      </c>
      <c r="H188" s="26" t="s">
        <v>79</v>
      </c>
      <c r="I188" s="26"/>
      <c r="J188" s="26"/>
      <c r="K188" s="29" t="str">
        <f aca="false">IF($A188="","",IF(COUNTIFS(tblMoveTypes[Movement],$E188)=0,"Unknown movement type",IF(COUNTIF(tblShipment[Shipment ID],$C188)=0,"Unknown shipment",IF(COUNTIFS(tblShipment[Shipment ID],$C188,tblShipment[Market],$B188)=0,"Market does not match shipment",IF(AND(IFERROR(INDEX(tblMoveTypes[Item?],MATCH($E188,tblMoveTypes[Movement],0)),"?")="Yes",$D188=""),"Item needed",IF(AND(IFERROR(INDEX(tblMoveTypes[Item?],MATCH($E188,tblMoveTypes[Movement],0)),"?")="No",$D188&lt;&gt;""),"Leave Item blank",IF(AND(IFERROR(INDEX(tblMoveTypes[Courier?],MATCH($E188,tblMoveTypes[Movement],0)),"?")="Yes",$H188=""),"Courier needed",IF(AND(IFERROR(INDEX(tblMoveTypes[Courier?],MATCH($E188,tblMoveTypes[Movement],0)),"?")="No",$H188&lt;&gt;""),"Leave Courier blank",IF(AND(IFERROR(INDEX(tblMoveTypes[Orders?],MATCH($E188,tblMoveTypes[Movement],0)),"?")="Yes",$G188=""),"Orders needed",IF(AND(IFERROR(INDEX(tblMoveTypes[Orders?],MATCH($E188,tblMoveTypes[Movement],0)),"?")="No",$G188&lt;&gt;""),"Leave Orders blank",IF(AND(IFERROR(INDEX(tblMoveTypes[Reason?],MATCH($E188,tblMoveTypes[Movement],0)),"?")="Yes",$I188=""),"Reason needed",IF(AND(IFERROR(INDEX(tblMoveTypes[Qty?],MATCH($E188,tblMoveTypes[Movement],0)),"?")="Yes",N($F188)&lt;=0),"Qty needed",IF($A188&lt;_xlfn.MINIFS(tblShipment[Arrival Date],tblShipment[Shipment ID],$C188),"Date before arrival",IF(AND($D188&lt;&gt;"",COUNTIFS(tblShipment[Shipment ID],$C188,tblShipment[Item Code],$D188)=0),"Item not in this shipment",IF(AND($H188&lt;&gt;"",COUNTIFS(tblCouriers[Courier],$H188,tblCouriers[Market],$B188)=0),"Courier not in this market","OK")))))))))))))))</f>
        <v>OK</v>
      </c>
    </row>
    <row r="189" customFormat="false" ht="15" hidden="false" customHeight="false" outlineLevel="0" collapsed="false">
      <c r="A189" s="27" t="n">
        <v>46227</v>
      </c>
      <c r="B189" s="26" t="s">
        <v>78</v>
      </c>
      <c r="C189" s="26" t="s">
        <v>132</v>
      </c>
      <c r="D189" s="26"/>
      <c r="E189" s="26" t="s">
        <v>108</v>
      </c>
      <c r="F189" s="28" t="n">
        <v>3</v>
      </c>
      <c r="G189" s="28" t="n">
        <v>1</v>
      </c>
      <c r="H189" s="26" t="s">
        <v>79</v>
      </c>
      <c r="I189" s="26" t="s">
        <v>105</v>
      </c>
      <c r="J189" s="26"/>
      <c r="K189" s="29" t="str">
        <f aca="false">IF($A189="","",IF(COUNTIFS(tblMoveTypes[Movement],$E189)=0,"Unknown movement type",IF(COUNTIF(tblShipment[Shipment ID],$C189)=0,"Unknown shipment",IF(COUNTIFS(tblShipment[Shipment ID],$C189,tblShipment[Market],$B189)=0,"Market does not match shipment",IF(AND(IFERROR(INDEX(tblMoveTypes[Item?],MATCH($E189,tblMoveTypes[Movement],0)),"?")="Yes",$D189=""),"Item needed",IF(AND(IFERROR(INDEX(tblMoveTypes[Item?],MATCH($E189,tblMoveTypes[Movement],0)),"?")="No",$D189&lt;&gt;""),"Leave Item blank",IF(AND(IFERROR(INDEX(tblMoveTypes[Courier?],MATCH($E189,tblMoveTypes[Movement],0)),"?")="Yes",$H189=""),"Courier needed",IF(AND(IFERROR(INDEX(tblMoveTypes[Courier?],MATCH($E189,tblMoveTypes[Movement],0)),"?")="No",$H189&lt;&gt;""),"Leave Courier blank",IF(AND(IFERROR(INDEX(tblMoveTypes[Orders?],MATCH($E189,tblMoveTypes[Movement],0)),"?")="Yes",$G189=""),"Orders needed",IF(AND(IFERROR(INDEX(tblMoveTypes[Orders?],MATCH($E189,tblMoveTypes[Movement],0)),"?")="No",$G189&lt;&gt;""),"Leave Orders blank",IF(AND(IFERROR(INDEX(tblMoveTypes[Reason?],MATCH($E189,tblMoveTypes[Movement],0)),"?")="Yes",$I189=""),"Reason needed",IF(AND(IFERROR(INDEX(tblMoveTypes[Qty?],MATCH($E189,tblMoveTypes[Movement],0)),"?")="Yes",N($F189)&lt;=0),"Qty needed",IF($A189&lt;_xlfn.MINIFS(tblShipment[Arrival Date],tblShipment[Shipment ID],$C189),"Date before arrival",IF(AND($D189&lt;&gt;"",COUNTIFS(tblShipment[Shipment ID],$C189,tblShipment[Item Code],$D189)=0),"Item not in this shipment",IF(AND($H189&lt;&gt;"",COUNTIFS(tblCouriers[Courier],$H189,tblCouriers[Market],$B189)=0),"Courier not in this market","OK")))))))))))))))</f>
        <v>OK</v>
      </c>
    </row>
    <row r="190" customFormat="false" ht="15" hidden="false" customHeight="false" outlineLevel="0" collapsed="false">
      <c r="A190" s="27" t="n">
        <v>46227</v>
      </c>
      <c r="B190" s="26" t="s">
        <v>78</v>
      </c>
      <c r="C190" s="26" t="s">
        <v>132</v>
      </c>
      <c r="D190" s="26" t="s">
        <v>83</v>
      </c>
      <c r="E190" s="26" t="s">
        <v>110</v>
      </c>
      <c r="F190" s="28" t="n">
        <v>2</v>
      </c>
      <c r="G190" s="28"/>
      <c r="H190" s="26"/>
      <c r="I190" s="26"/>
      <c r="J190" s="26"/>
      <c r="K190" s="29" t="str">
        <f aca="false">IF($A190="","",IF(COUNTIFS(tblMoveTypes[Movement],$E190)=0,"Unknown movement type",IF(COUNTIF(tblShipment[Shipment ID],$C190)=0,"Unknown shipment",IF(COUNTIFS(tblShipment[Shipment ID],$C190,tblShipment[Market],$B190)=0,"Market does not match shipment",IF(AND(IFERROR(INDEX(tblMoveTypes[Item?],MATCH($E190,tblMoveTypes[Movement],0)),"?")="Yes",$D190=""),"Item needed",IF(AND(IFERROR(INDEX(tblMoveTypes[Item?],MATCH($E190,tblMoveTypes[Movement],0)),"?")="No",$D190&lt;&gt;""),"Leave Item blank",IF(AND(IFERROR(INDEX(tblMoveTypes[Courier?],MATCH($E190,tblMoveTypes[Movement],0)),"?")="Yes",$H190=""),"Courier needed",IF(AND(IFERROR(INDEX(tblMoveTypes[Courier?],MATCH($E190,tblMoveTypes[Movement],0)),"?")="No",$H190&lt;&gt;""),"Leave Courier blank",IF(AND(IFERROR(INDEX(tblMoveTypes[Orders?],MATCH($E190,tblMoveTypes[Movement],0)),"?")="Yes",$G190=""),"Orders needed",IF(AND(IFERROR(INDEX(tblMoveTypes[Orders?],MATCH($E190,tblMoveTypes[Movement],0)),"?")="No",$G190&lt;&gt;""),"Leave Orders blank",IF(AND(IFERROR(INDEX(tblMoveTypes[Reason?],MATCH($E190,tblMoveTypes[Movement],0)),"?")="Yes",$I190=""),"Reason needed",IF(AND(IFERROR(INDEX(tblMoveTypes[Qty?],MATCH($E190,tblMoveTypes[Movement],0)),"?")="Yes",N($F190)&lt;=0),"Qty needed",IF($A190&lt;_xlfn.MINIFS(tblShipment[Arrival Date],tblShipment[Shipment ID],$C190),"Date before arrival",IF(AND($D190&lt;&gt;"",COUNTIFS(tblShipment[Shipment ID],$C190,tblShipment[Item Code],$D190)=0),"Item not in this shipment",IF(AND($H190&lt;&gt;"",COUNTIFS(tblCouriers[Courier],$H190,tblCouriers[Market],$B190)=0),"Courier not in this market","OK")))))))))))))))</f>
        <v>OK</v>
      </c>
    </row>
    <row r="191" customFormat="false" ht="15" hidden="false" customHeight="false" outlineLevel="0" collapsed="false">
      <c r="A191" s="27" t="n">
        <v>46227</v>
      </c>
      <c r="B191" s="26" t="s">
        <v>78</v>
      </c>
      <c r="C191" s="26" t="s">
        <v>132</v>
      </c>
      <c r="D191" s="26" t="s">
        <v>83</v>
      </c>
      <c r="E191" s="26" t="s">
        <v>112</v>
      </c>
      <c r="F191" s="28" t="n">
        <v>1</v>
      </c>
      <c r="G191" s="28"/>
      <c r="H191" s="26"/>
      <c r="I191" s="26" t="s">
        <v>80</v>
      </c>
      <c r="J191" s="26"/>
      <c r="K191" s="29" t="str">
        <f aca="false">IF($A191="","",IF(COUNTIFS(tblMoveTypes[Movement],$E191)=0,"Unknown movement type",IF(COUNTIF(tblShipment[Shipment ID],$C191)=0,"Unknown shipment",IF(COUNTIFS(tblShipment[Shipment ID],$C191,tblShipment[Market],$B191)=0,"Market does not match shipment",IF(AND(IFERROR(INDEX(tblMoveTypes[Item?],MATCH($E191,tblMoveTypes[Movement],0)),"?")="Yes",$D191=""),"Item needed",IF(AND(IFERROR(INDEX(tblMoveTypes[Item?],MATCH($E191,tblMoveTypes[Movement],0)),"?")="No",$D191&lt;&gt;""),"Leave Item blank",IF(AND(IFERROR(INDEX(tblMoveTypes[Courier?],MATCH($E191,tblMoveTypes[Movement],0)),"?")="Yes",$H191=""),"Courier needed",IF(AND(IFERROR(INDEX(tblMoveTypes[Courier?],MATCH($E191,tblMoveTypes[Movement],0)),"?")="No",$H191&lt;&gt;""),"Leave Courier blank",IF(AND(IFERROR(INDEX(tblMoveTypes[Orders?],MATCH($E191,tblMoveTypes[Movement],0)),"?")="Yes",$G191=""),"Orders needed",IF(AND(IFERROR(INDEX(tblMoveTypes[Orders?],MATCH($E191,tblMoveTypes[Movement],0)),"?")="No",$G191&lt;&gt;""),"Leave Orders blank",IF(AND(IFERROR(INDEX(tblMoveTypes[Reason?],MATCH($E191,tblMoveTypes[Movement],0)),"?")="Yes",$I191=""),"Reason needed",IF(AND(IFERROR(INDEX(tblMoveTypes[Qty?],MATCH($E191,tblMoveTypes[Movement],0)),"?")="Yes",N($F191)&lt;=0),"Qty needed",IF($A191&lt;_xlfn.MINIFS(tblShipment[Arrival Date],tblShipment[Shipment ID],$C191),"Date before arrival",IF(AND($D191&lt;&gt;"",COUNTIFS(tblShipment[Shipment ID],$C191,tblShipment[Item Code],$D191)=0),"Item not in this shipment",IF(AND($H191&lt;&gt;"",COUNTIFS(tblCouriers[Courier],$H191,tblCouriers[Market],$B191)=0),"Courier not in this market","OK")))))))))))))))</f>
        <v>OK</v>
      </c>
    </row>
    <row r="192" customFormat="false" ht="15" hidden="false" customHeight="false" outlineLevel="0" collapsed="false">
      <c r="A192" s="27" t="n">
        <v>46228</v>
      </c>
      <c r="B192" s="26" t="s">
        <v>70</v>
      </c>
      <c r="C192" s="26" t="s">
        <v>124</v>
      </c>
      <c r="D192" s="26"/>
      <c r="E192" s="26" t="s">
        <v>106</v>
      </c>
      <c r="F192" s="28" t="n">
        <v>4</v>
      </c>
      <c r="G192" s="28" t="n">
        <v>1</v>
      </c>
      <c r="H192" s="26" t="s">
        <v>71</v>
      </c>
      <c r="I192" s="26"/>
      <c r="J192" s="26"/>
      <c r="K192" s="29" t="str">
        <f aca="false">IF($A192="","",IF(COUNTIFS(tblMoveTypes[Movement],$E192)=0,"Unknown movement type",IF(COUNTIF(tblShipment[Shipment ID],$C192)=0,"Unknown shipment",IF(COUNTIFS(tblShipment[Shipment ID],$C192,tblShipment[Market],$B192)=0,"Market does not match shipment",IF(AND(IFERROR(INDEX(tblMoveTypes[Item?],MATCH($E192,tblMoveTypes[Movement],0)),"?")="Yes",$D192=""),"Item needed",IF(AND(IFERROR(INDEX(tblMoveTypes[Item?],MATCH($E192,tblMoveTypes[Movement],0)),"?")="No",$D192&lt;&gt;""),"Leave Item blank",IF(AND(IFERROR(INDEX(tblMoveTypes[Courier?],MATCH($E192,tblMoveTypes[Movement],0)),"?")="Yes",$H192=""),"Courier needed",IF(AND(IFERROR(INDEX(tblMoveTypes[Courier?],MATCH($E192,tblMoveTypes[Movement],0)),"?")="No",$H192&lt;&gt;""),"Leave Courier blank",IF(AND(IFERROR(INDEX(tblMoveTypes[Orders?],MATCH($E192,tblMoveTypes[Movement],0)),"?")="Yes",$G192=""),"Orders needed",IF(AND(IFERROR(INDEX(tblMoveTypes[Orders?],MATCH($E192,tblMoveTypes[Movement],0)),"?")="No",$G192&lt;&gt;""),"Leave Orders blank",IF(AND(IFERROR(INDEX(tblMoveTypes[Reason?],MATCH($E192,tblMoveTypes[Movement],0)),"?")="Yes",$I192=""),"Reason needed",IF(AND(IFERROR(INDEX(tblMoveTypes[Qty?],MATCH($E192,tblMoveTypes[Movement],0)),"?")="Yes",N($F192)&lt;=0),"Qty needed",IF($A192&lt;_xlfn.MINIFS(tblShipment[Arrival Date],tblShipment[Shipment ID],$C192),"Date before arrival",IF(AND($D192&lt;&gt;"",COUNTIFS(tblShipment[Shipment ID],$C192,tblShipment[Item Code],$D192)=0),"Item not in this shipment",IF(AND($H192&lt;&gt;"",COUNTIFS(tblCouriers[Courier],$H192,tblCouriers[Market],$B192)=0),"Courier not in this market","OK")))))))))))))))</f>
        <v>OK</v>
      </c>
    </row>
    <row r="193" customFormat="false" ht="15" hidden="false" customHeight="false" outlineLevel="0" collapsed="false">
      <c r="A193" s="27" t="n">
        <v>46228</v>
      </c>
      <c r="B193" s="26" t="s">
        <v>85</v>
      </c>
      <c r="C193" s="26" t="s">
        <v>139</v>
      </c>
      <c r="D193" s="26"/>
      <c r="E193" s="26" t="s">
        <v>106</v>
      </c>
      <c r="F193" s="28" t="n">
        <v>26</v>
      </c>
      <c r="G193" s="28" t="n">
        <v>4</v>
      </c>
      <c r="H193" s="26" t="s">
        <v>91</v>
      </c>
      <c r="I193" s="26"/>
      <c r="J193" s="26"/>
      <c r="K193" s="29" t="str">
        <f aca="false">IF($A193="","",IF(COUNTIFS(tblMoveTypes[Movement],$E193)=0,"Unknown movement type",IF(COUNTIF(tblShipment[Shipment ID],$C193)=0,"Unknown shipment",IF(COUNTIFS(tblShipment[Shipment ID],$C193,tblShipment[Market],$B193)=0,"Market does not match shipment",IF(AND(IFERROR(INDEX(tblMoveTypes[Item?],MATCH($E193,tblMoveTypes[Movement],0)),"?")="Yes",$D193=""),"Item needed",IF(AND(IFERROR(INDEX(tblMoveTypes[Item?],MATCH($E193,tblMoveTypes[Movement],0)),"?")="No",$D193&lt;&gt;""),"Leave Item blank",IF(AND(IFERROR(INDEX(tblMoveTypes[Courier?],MATCH($E193,tblMoveTypes[Movement],0)),"?")="Yes",$H193=""),"Courier needed",IF(AND(IFERROR(INDEX(tblMoveTypes[Courier?],MATCH($E193,tblMoveTypes[Movement],0)),"?")="No",$H193&lt;&gt;""),"Leave Courier blank",IF(AND(IFERROR(INDEX(tblMoveTypes[Orders?],MATCH($E193,tblMoveTypes[Movement],0)),"?")="Yes",$G193=""),"Orders needed",IF(AND(IFERROR(INDEX(tblMoveTypes[Orders?],MATCH($E193,tblMoveTypes[Movement],0)),"?")="No",$G193&lt;&gt;""),"Leave Orders blank",IF(AND(IFERROR(INDEX(tblMoveTypes[Reason?],MATCH($E193,tblMoveTypes[Movement],0)),"?")="Yes",$I193=""),"Reason needed",IF(AND(IFERROR(INDEX(tblMoveTypes[Qty?],MATCH($E193,tblMoveTypes[Movement],0)),"?")="Yes",N($F193)&lt;=0),"Qty needed",IF($A193&lt;_xlfn.MINIFS(tblShipment[Arrival Date],tblShipment[Shipment ID],$C193),"Date before arrival",IF(AND($D193&lt;&gt;"",COUNTIFS(tblShipment[Shipment ID],$C193,tblShipment[Item Code],$D193)=0),"Item not in this shipment",IF(AND($H193&lt;&gt;"",COUNTIFS(tblCouriers[Courier],$H193,tblCouriers[Market],$B193)=0),"Courier not in this market","OK")))))))))))))))</f>
        <v>OK</v>
      </c>
    </row>
    <row r="194" customFormat="false" ht="15" hidden="false" customHeight="false" outlineLevel="0" collapsed="false">
      <c r="A194" s="27" t="n">
        <v>46228</v>
      </c>
      <c r="B194" s="26" t="s">
        <v>85</v>
      </c>
      <c r="C194" s="26" t="s">
        <v>139</v>
      </c>
      <c r="D194" s="26"/>
      <c r="E194" s="26" t="s">
        <v>106</v>
      </c>
      <c r="F194" s="28" t="n">
        <v>21</v>
      </c>
      <c r="G194" s="28" t="n">
        <v>2</v>
      </c>
      <c r="H194" s="26" t="s">
        <v>96</v>
      </c>
      <c r="I194" s="26"/>
      <c r="J194" s="26"/>
      <c r="K194" s="29" t="str">
        <f aca="false">IF($A194="","",IF(COUNTIFS(tblMoveTypes[Movement],$E194)=0,"Unknown movement type",IF(COUNTIF(tblShipment[Shipment ID],$C194)=0,"Unknown shipment",IF(COUNTIFS(tblShipment[Shipment ID],$C194,tblShipment[Market],$B194)=0,"Market does not match shipment",IF(AND(IFERROR(INDEX(tblMoveTypes[Item?],MATCH($E194,tblMoveTypes[Movement],0)),"?")="Yes",$D194=""),"Item needed",IF(AND(IFERROR(INDEX(tblMoveTypes[Item?],MATCH($E194,tblMoveTypes[Movement],0)),"?")="No",$D194&lt;&gt;""),"Leave Item blank",IF(AND(IFERROR(INDEX(tblMoveTypes[Courier?],MATCH($E194,tblMoveTypes[Movement],0)),"?")="Yes",$H194=""),"Courier needed",IF(AND(IFERROR(INDEX(tblMoveTypes[Courier?],MATCH($E194,tblMoveTypes[Movement],0)),"?")="No",$H194&lt;&gt;""),"Leave Courier blank",IF(AND(IFERROR(INDEX(tblMoveTypes[Orders?],MATCH($E194,tblMoveTypes[Movement],0)),"?")="Yes",$G194=""),"Orders needed",IF(AND(IFERROR(INDEX(tblMoveTypes[Orders?],MATCH($E194,tblMoveTypes[Movement],0)),"?")="No",$G194&lt;&gt;""),"Leave Orders blank",IF(AND(IFERROR(INDEX(tblMoveTypes[Reason?],MATCH($E194,tblMoveTypes[Movement],0)),"?")="Yes",$I194=""),"Reason needed",IF(AND(IFERROR(INDEX(tblMoveTypes[Qty?],MATCH($E194,tblMoveTypes[Movement],0)),"?")="Yes",N($F194)&lt;=0),"Qty needed",IF($A194&lt;_xlfn.MINIFS(tblShipment[Arrival Date],tblShipment[Shipment ID],$C194),"Date before arrival",IF(AND($D194&lt;&gt;"",COUNTIFS(tblShipment[Shipment ID],$C194,tblShipment[Item Code],$D194)=0),"Item not in this shipment",IF(AND($H194&lt;&gt;"",COUNTIFS(tblCouriers[Courier],$H194,tblCouriers[Market],$B194)=0),"Courier not in this market","OK")))))))))))))))</f>
        <v>OK</v>
      </c>
    </row>
    <row r="195" customFormat="false" ht="15" hidden="false" customHeight="false" outlineLevel="0" collapsed="false">
      <c r="A195" s="27" t="n">
        <v>46228</v>
      </c>
      <c r="B195" s="26" t="s">
        <v>85</v>
      </c>
      <c r="C195" s="26" t="s">
        <v>139</v>
      </c>
      <c r="D195" s="26" t="s">
        <v>88</v>
      </c>
      <c r="E195" s="26" t="s">
        <v>93</v>
      </c>
      <c r="F195" s="28" t="n">
        <v>8</v>
      </c>
      <c r="G195" s="28"/>
      <c r="H195" s="26" t="s">
        <v>91</v>
      </c>
      <c r="I195" s="26"/>
      <c r="J195" s="26"/>
      <c r="K195" s="29" t="str">
        <f aca="false">IF($A195="","",IF(COUNTIFS(tblMoveTypes[Movement],$E195)=0,"Unknown movement type",IF(COUNTIF(tblShipment[Shipment ID],$C195)=0,"Unknown shipment",IF(COUNTIFS(tblShipment[Shipment ID],$C195,tblShipment[Market],$B195)=0,"Market does not match shipment",IF(AND(IFERROR(INDEX(tblMoveTypes[Item?],MATCH($E195,tblMoveTypes[Movement],0)),"?")="Yes",$D195=""),"Item needed",IF(AND(IFERROR(INDEX(tblMoveTypes[Item?],MATCH($E195,tblMoveTypes[Movement],0)),"?")="No",$D195&lt;&gt;""),"Leave Item blank",IF(AND(IFERROR(INDEX(tblMoveTypes[Courier?],MATCH($E195,tblMoveTypes[Movement],0)),"?")="Yes",$H195=""),"Courier needed",IF(AND(IFERROR(INDEX(tblMoveTypes[Courier?],MATCH($E195,tblMoveTypes[Movement],0)),"?")="No",$H195&lt;&gt;""),"Leave Courier blank",IF(AND(IFERROR(INDEX(tblMoveTypes[Orders?],MATCH($E195,tblMoveTypes[Movement],0)),"?")="Yes",$G195=""),"Orders needed",IF(AND(IFERROR(INDEX(tblMoveTypes[Orders?],MATCH($E195,tblMoveTypes[Movement],0)),"?")="No",$G195&lt;&gt;""),"Leave Orders blank",IF(AND(IFERROR(INDEX(tblMoveTypes[Reason?],MATCH($E195,tblMoveTypes[Movement],0)),"?")="Yes",$I195=""),"Reason needed",IF(AND(IFERROR(INDEX(tblMoveTypes[Qty?],MATCH($E195,tblMoveTypes[Movement],0)),"?")="Yes",N($F195)&lt;=0),"Qty needed",IF($A195&lt;_xlfn.MINIFS(tblShipment[Arrival Date],tblShipment[Shipment ID],$C195),"Date before arrival",IF(AND($D195&lt;&gt;"",COUNTIFS(tblShipment[Shipment ID],$C195,tblShipment[Item Code],$D195)=0),"Item not in this shipment",IF(AND($H195&lt;&gt;"",COUNTIFS(tblCouriers[Courier],$H195,tblCouriers[Market],$B195)=0),"Courier not in this market","OK")))))))))))))))</f>
        <v>OK</v>
      </c>
    </row>
    <row r="196" customFormat="false" ht="15" hidden="false" customHeight="false" outlineLevel="0" collapsed="false">
      <c r="A196" s="27" t="n">
        <v>46228</v>
      </c>
      <c r="B196" s="26" t="s">
        <v>85</v>
      </c>
      <c r="C196" s="26" t="s">
        <v>139</v>
      </c>
      <c r="D196" s="26"/>
      <c r="E196" s="26" t="s">
        <v>104</v>
      </c>
      <c r="F196" s="28"/>
      <c r="G196" s="28" t="n">
        <v>1</v>
      </c>
      <c r="H196" s="26" t="s">
        <v>91</v>
      </c>
      <c r="I196" s="26"/>
      <c r="J196" s="26"/>
      <c r="K196" s="29" t="str">
        <f aca="false">IF($A196="","",IF(COUNTIFS(tblMoveTypes[Movement],$E196)=0,"Unknown movement type",IF(COUNTIF(tblShipment[Shipment ID],$C196)=0,"Unknown shipment",IF(COUNTIFS(tblShipment[Shipment ID],$C196,tblShipment[Market],$B196)=0,"Market does not match shipment",IF(AND(IFERROR(INDEX(tblMoveTypes[Item?],MATCH($E196,tblMoveTypes[Movement],0)),"?")="Yes",$D196=""),"Item needed",IF(AND(IFERROR(INDEX(tblMoveTypes[Item?],MATCH($E196,tblMoveTypes[Movement],0)),"?")="No",$D196&lt;&gt;""),"Leave Item blank",IF(AND(IFERROR(INDEX(tblMoveTypes[Courier?],MATCH($E196,tblMoveTypes[Movement],0)),"?")="Yes",$H196=""),"Courier needed",IF(AND(IFERROR(INDEX(tblMoveTypes[Courier?],MATCH($E196,tblMoveTypes[Movement],0)),"?")="No",$H196&lt;&gt;""),"Leave Courier blank",IF(AND(IFERROR(INDEX(tblMoveTypes[Orders?],MATCH($E196,tblMoveTypes[Movement],0)),"?")="Yes",$G196=""),"Orders needed",IF(AND(IFERROR(INDEX(tblMoveTypes[Orders?],MATCH($E196,tblMoveTypes[Movement],0)),"?")="No",$G196&lt;&gt;""),"Leave Orders blank",IF(AND(IFERROR(INDEX(tblMoveTypes[Reason?],MATCH($E196,tblMoveTypes[Movement],0)),"?")="Yes",$I196=""),"Reason needed",IF(AND(IFERROR(INDEX(tblMoveTypes[Qty?],MATCH($E196,tblMoveTypes[Movement],0)),"?")="Yes",N($F196)&lt;=0),"Qty needed",IF($A196&lt;_xlfn.MINIFS(tblShipment[Arrival Date],tblShipment[Shipment ID],$C196),"Date before arrival",IF(AND($D196&lt;&gt;"",COUNTIFS(tblShipment[Shipment ID],$C196,tblShipment[Item Code],$D196)=0),"Item not in this shipment",IF(AND($H196&lt;&gt;"",COUNTIFS(tblCouriers[Courier],$H196,tblCouriers[Market],$B196)=0),"Courier not in this market","OK")))))))))))))))</f>
        <v>OK</v>
      </c>
    </row>
    <row r="197" customFormat="false" ht="15" hidden="false" customHeight="false" outlineLevel="0" collapsed="false">
      <c r="A197" s="27" t="n">
        <v>46228</v>
      </c>
      <c r="B197" s="26" t="s">
        <v>85</v>
      </c>
      <c r="C197" s="26" t="s">
        <v>140</v>
      </c>
      <c r="D197" s="26"/>
      <c r="E197" s="26" t="s">
        <v>106</v>
      </c>
      <c r="F197" s="28" t="n">
        <v>38</v>
      </c>
      <c r="G197" s="28" t="n">
        <v>6</v>
      </c>
      <c r="H197" s="26" t="s">
        <v>91</v>
      </c>
      <c r="I197" s="26"/>
      <c r="J197" s="26"/>
      <c r="K197" s="29" t="str">
        <f aca="false">IF($A197="","",IF(COUNTIFS(tblMoveTypes[Movement],$E197)=0,"Unknown movement type",IF(COUNTIF(tblShipment[Shipment ID],$C197)=0,"Unknown shipment",IF(COUNTIFS(tblShipment[Shipment ID],$C197,tblShipment[Market],$B197)=0,"Market does not match shipment",IF(AND(IFERROR(INDEX(tblMoveTypes[Item?],MATCH($E197,tblMoveTypes[Movement],0)),"?")="Yes",$D197=""),"Item needed",IF(AND(IFERROR(INDEX(tblMoveTypes[Item?],MATCH($E197,tblMoveTypes[Movement],0)),"?")="No",$D197&lt;&gt;""),"Leave Item blank",IF(AND(IFERROR(INDEX(tblMoveTypes[Courier?],MATCH($E197,tblMoveTypes[Movement],0)),"?")="Yes",$H197=""),"Courier needed",IF(AND(IFERROR(INDEX(tblMoveTypes[Courier?],MATCH($E197,tblMoveTypes[Movement],0)),"?")="No",$H197&lt;&gt;""),"Leave Courier blank",IF(AND(IFERROR(INDEX(tblMoveTypes[Orders?],MATCH($E197,tblMoveTypes[Movement],0)),"?")="Yes",$G197=""),"Orders needed",IF(AND(IFERROR(INDEX(tblMoveTypes[Orders?],MATCH($E197,tblMoveTypes[Movement],0)),"?")="No",$G197&lt;&gt;""),"Leave Orders blank",IF(AND(IFERROR(INDEX(tblMoveTypes[Reason?],MATCH($E197,tblMoveTypes[Movement],0)),"?")="Yes",$I197=""),"Reason needed",IF(AND(IFERROR(INDEX(tblMoveTypes[Qty?],MATCH($E197,tblMoveTypes[Movement],0)),"?")="Yes",N($F197)&lt;=0),"Qty needed",IF($A197&lt;_xlfn.MINIFS(tblShipment[Arrival Date],tblShipment[Shipment ID],$C197),"Date before arrival",IF(AND($D197&lt;&gt;"",COUNTIFS(tblShipment[Shipment ID],$C197,tblShipment[Item Code],$D197)=0),"Item not in this shipment",IF(AND($H197&lt;&gt;"",COUNTIFS(tblCouriers[Courier],$H197,tblCouriers[Market],$B197)=0),"Courier not in this market","OK")))))))))))))))</f>
        <v>OK</v>
      </c>
    </row>
    <row r="198" customFormat="false" ht="15" hidden="false" customHeight="false" outlineLevel="0" collapsed="false">
      <c r="A198" s="27" t="n">
        <v>46228</v>
      </c>
      <c r="B198" s="26" t="s">
        <v>85</v>
      </c>
      <c r="C198" s="26" t="s">
        <v>140</v>
      </c>
      <c r="D198" s="26"/>
      <c r="E198" s="26" t="s">
        <v>106</v>
      </c>
      <c r="F198" s="28" t="n">
        <v>31</v>
      </c>
      <c r="G198" s="28" t="n">
        <v>5</v>
      </c>
      <c r="H198" s="26" t="s">
        <v>96</v>
      </c>
      <c r="I198" s="26"/>
      <c r="J198" s="26"/>
      <c r="K198" s="29" t="str">
        <f aca="false">IF($A198="","",IF(COUNTIFS(tblMoveTypes[Movement],$E198)=0,"Unknown movement type",IF(COUNTIF(tblShipment[Shipment ID],$C198)=0,"Unknown shipment",IF(COUNTIFS(tblShipment[Shipment ID],$C198,tblShipment[Market],$B198)=0,"Market does not match shipment",IF(AND(IFERROR(INDEX(tblMoveTypes[Item?],MATCH($E198,tblMoveTypes[Movement],0)),"?")="Yes",$D198=""),"Item needed",IF(AND(IFERROR(INDEX(tblMoveTypes[Item?],MATCH($E198,tblMoveTypes[Movement],0)),"?")="No",$D198&lt;&gt;""),"Leave Item blank",IF(AND(IFERROR(INDEX(tblMoveTypes[Courier?],MATCH($E198,tblMoveTypes[Movement],0)),"?")="Yes",$H198=""),"Courier needed",IF(AND(IFERROR(INDEX(tblMoveTypes[Courier?],MATCH($E198,tblMoveTypes[Movement],0)),"?")="No",$H198&lt;&gt;""),"Leave Courier blank",IF(AND(IFERROR(INDEX(tblMoveTypes[Orders?],MATCH($E198,tblMoveTypes[Movement],0)),"?")="Yes",$G198=""),"Orders needed",IF(AND(IFERROR(INDEX(tblMoveTypes[Orders?],MATCH($E198,tblMoveTypes[Movement],0)),"?")="No",$G198&lt;&gt;""),"Leave Orders blank",IF(AND(IFERROR(INDEX(tblMoveTypes[Reason?],MATCH($E198,tblMoveTypes[Movement],0)),"?")="Yes",$I198=""),"Reason needed",IF(AND(IFERROR(INDEX(tblMoveTypes[Qty?],MATCH($E198,tblMoveTypes[Movement],0)),"?")="Yes",N($F198)&lt;=0),"Qty needed",IF($A198&lt;_xlfn.MINIFS(tblShipment[Arrival Date],tblShipment[Shipment ID],$C198),"Date before arrival",IF(AND($D198&lt;&gt;"",COUNTIFS(tblShipment[Shipment ID],$C198,tblShipment[Item Code],$D198)=0),"Item not in this shipment",IF(AND($H198&lt;&gt;"",COUNTIFS(tblCouriers[Courier],$H198,tblCouriers[Market],$B198)=0),"Courier not in this market","OK")))))))))))))))</f>
        <v>OK</v>
      </c>
    </row>
    <row r="199" customFormat="false" ht="15" hidden="false" customHeight="false" outlineLevel="0" collapsed="false">
      <c r="A199" s="27" t="n">
        <v>46228</v>
      </c>
      <c r="B199" s="26" t="s">
        <v>90</v>
      </c>
      <c r="C199" s="26" t="s">
        <v>147</v>
      </c>
      <c r="D199" s="26"/>
      <c r="E199" s="26" t="s">
        <v>106</v>
      </c>
      <c r="F199" s="28" t="n">
        <v>68</v>
      </c>
      <c r="G199" s="28" t="n">
        <v>10</v>
      </c>
      <c r="H199" s="26" t="s">
        <v>101</v>
      </c>
      <c r="I199" s="26"/>
      <c r="J199" s="26"/>
      <c r="K199" s="29" t="str">
        <f aca="false">IF($A199="","",IF(COUNTIFS(tblMoveTypes[Movement],$E199)=0,"Unknown movement type",IF(COUNTIF(tblShipment[Shipment ID],$C199)=0,"Unknown shipment",IF(COUNTIFS(tblShipment[Shipment ID],$C199,tblShipment[Market],$B199)=0,"Market does not match shipment",IF(AND(IFERROR(INDEX(tblMoveTypes[Item?],MATCH($E199,tblMoveTypes[Movement],0)),"?")="Yes",$D199=""),"Item needed",IF(AND(IFERROR(INDEX(tblMoveTypes[Item?],MATCH($E199,tblMoveTypes[Movement],0)),"?")="No",$D199&lt;&gt;""),"Leave Item blank",IF(AND(IFERROR(INDEX(tblMoveTypes[Courier?],MATCH($E199,tblMoveTypes[Movement],0)),"?")="Yes",$H199=""),"Courier needed",IF(AND(IFERROR(INDEX(tblMoveTypes[Courier?],MATCH($E199,tblMoveTypes[Movement],0)),"?")="No",$H199&lt;&gt;""),"Leave Courier blank",IF(AND(IFERROR(INDEX(tblMoveTypes[Orders?],MATCH($E199,tblMoveTypes[Movement],0)),"?")="Yes",$G199=""),"Orders needed",IF(AND(IFERROR(INDEX(tblMoveTypes[Orders?],MATCH($E199,tblMoveTypes[Movement],0)),"?")="No",$G199&lt;&gt;""),"Leave Orders blank",IF(AND(IFERROR(INDEX(tblMoveTypes[Reason?],MATCH($E199,tblMoveTypes[Movement],0)),"?")="Yes",$I199=""),"Reason needed",IF(AND(IFERROR(INDEX(tblMoveTypes[Qty?],MATCH($E199,tblMoveTypes[Movement],0)),"?")="Yes",N($F199)&lt;=0),"Qty needed",IF($A199&lt;_xlfn.MINIFS(tblShipment[Arrival Date],tblShipment[Shipment ID],$C199),"Date before arrival",IF(AND($D199&lt;&gt;"",COUNTIFS(tblShipment[Shipment ID],$C199,tblShipment[Item Code],$D199)=0),"Item not in this shipment",IF(AND($H199&lt;&gt;"",COUNTIFS(tblCouriers[Courier],$H199,tblCouriers[Market],$B199)=0),"Courier not in this market","OK")))))))))))))))</f>
        <v>OK</v>
      </c>
    </row>
    <row r="200" customFormat="false" ht="15" hidden="false" customHeight="false" outlineLevel="0" collapsed="false">
      <c r="A200" s="27" t="n">
        <v>46228</v>
      </c>
      <c r="B200" s="26" t="s">
        <v>90</v>
      </c>
      <c r="C200" s="26" t="s">
        <v>147</v>
      </c>
      <c r="D200" s="26" t="s">
        <v>76</v>
      </c>
      <c r="E200" s="26" t="s">
        <v>93</v>
      </c>
      <c r="F200" s="28" t="n">
        <v>5</v>
      </c>
      <c r="G200" s="28"/>
      <c r="H200" s="26" t="s">
        <v>101</v>
      </c>
      <c r="I200" s="26"/>
      <c r="J200" s="26"/>
      <c r="K200" s="29" t="str">
        <f aca="false">IF($A200="","",IF(COUNTIFS(tblMoveTypes[Movement],$E200)=0,"Unknown movement type",IF(COUNTIF(tblShipment[Shipment ID],$C200)=0,"Unknown shipment",IF(COUNTIFS(tblShipment[Shipment ID],$C200,tblShipment[Market],$B200)=0,"Market does not match shipment",IF(AND(IFERROR(INDEX(tblMoveTypes[Item?],MATCH($E200,tblMoveTypes[Movement],0)),"?")="Yes",$D200=""),"Item needed",IF(AND(IFERROR(INDEX(tblMoveTypes[Item?],MATCH($E200,tblMoveTypes[Movement],0)),"?")="No",$D200&lt;&gt;""),"Leave Item blank",IF(AND(IFERROR(INDEX(tblMoveTypes[Courier?],MATCH($E200,tblMoveTypes[Movement],0)),"?")="Yes",$H200=""),"Courier needed",IF(AND(IFERROR(INDEX(tblMoveTypes[Courier?],MATCH($E200,tblMoveTypes[Movement],0)),"?")="No",$H200&lt;&gt;""),"Leave Courier blank",IF(AND(IFERROR(INDEX(tblMoveTypes[Orders?],MATCH($E200,tblMoveTypes[Movement],0)),"?")="Yes",$G200=""),"Orders needed",IF(AND(IFERROR(INDEX(tblMoveTypes[Orders?],MATCH($E200,tblMoveTypes[Movement],0)),"?")="No",$G200&lt;&gt;""),"Leave Orders blank",IF(AND(IFERROR(INDEX(tblMoveTypes[Reason?],MATCH($E200,tblMoveTypes[Movement],0)),"?")="Yes",$I200=""),"Reason needed",IF(AND(IFERROR(INDEX(tblMoveTypes[Qty?],MATCH($E200,tblMoveTypes[Movement],0)),"?")="Yes",N($F200)&lt;=0),"Qty needed",IF($A200&lt;_xlfn.MINIFS(tblShipment[Arrival Date],tblShipment[Shipment ID],$C200),"Date before arrival",IF(AND($D200&lt;&gt;"",COUNTIFS(tblShipment[Shipment ID],$C200,tblShipment[Item Code],$D200)=0),"Item not in this shipment",IF(AND($H200&lt;&gt;"",COUNTIFS(tblCouriers[Courier],$H200,tblCouriers[Market],$B200)=0),"Courier not in this market","OK")))))))))))))))</f>
        <v>OK</v>
      </c>
    </row>
    <row r="201" customFormat="false" ht="15" hidden="false" customHeight="false" outlineLevel="0" collapsed="false">
      <c r="A201" s="27" t="n">
        <v>46228</v>
      </c>
      <c r="B201" s="26" t="s">
        <v>90</v>
      </c>
      <c r="C201" s="26" t="s">
        <v>147</v>
      </c>
      <c r="D201" s="26"/>
      <c r="E201" s="26" t="s">
        <v>104</v>
      </c>
      <c r="F201" s="28"/>
      <c r="G201" s="28" t="n">
        <v>1</v>
      </c>
      <c r="H201" s="26" t="s">
        <v>101</v>
      </c>
      <c r="I201" s="26"/>
      <c r="J201" s="26"/>
      <c r="K201" s="29" t="str">
        <f aca="false">IF($A201="","",IF(COUNTIFS(tblMoveTypes[Movement],$E201)=0,"Unknown movement type",IF(COUNTIF(tblShipment[Shipment ID],$C201)=0,"Unknown shipment",IF(COUNTIFS(tblShipment[Shipment ID],$C201,tblShipment[Market],$B201)=0,"Market does not match shipment",IF(AND(IFERROR(INDEX(tblMoveTypes[Item?],MATCH($E201,tblMoveTypes[Movement],0)),"?")="Yes",$D201=""),"Item needed",IF(AND(IFERROR(INDEX(tblMoveTypes[Item?],MATCH($E201,tblMoveTypes[Movement],0)),"?")="No",$D201&lt;&gt;""),"Leave Item blank",IF(AND(IFERROR(INDEX(tblMoveTypes[Courier?],MATCH($E201,tblMoveTypes[Movement],0)),"?")="Yes",$H201=""),"Courier needed",IF(AND(IFERROR(INDEX(tblMoveTypes[Courier?],MATCH($E201,tblMoveTypes[Movement],0)),"?")="No",$H201&lt;&gt;""),"Leave Courier blank",IF(AND(IFERROR(INDEX(tblMoveTypes[Orders?],MATCH($E201,tblMoveTypes[Movement],0)),"?")="Yes",$G201=""),"Orders needed",IF(AND(IFERROR(INDEX(tblMoveTypes[Orders?],MATCH($E201,tblMoveTypes[Movement],0)),"?")="No",$G201&lt;&gt;""),"Leave Orders blank",IF(AND(IFERROR(INDEX(tblMoveTypes[Reason?],MATCH($E201,tblMoveTypes[Movement],0)),"?")="Yes",$I201=""),"Reason needed",IF(AND(IFERROR(INDEX(tblMoveTypes[Qty?],MATCH($E201,tblMoveTypes[Movement],0)),"?")="Yes",N($F201)&lt;=0),"Qty needed",IF($A201&lt;_xlfn.MINIFS(tblShipment[Arrival Date],tblShipment[Shipment ID],$C201),"Date before arrival",IF(AND($D201&lt;&gt;"",COUNTIFS(tblShipment[Shipment ID],$C201,tblShipment[Item Code],$D201)=0),"Item not in this shipment",IF(AND($H201&lt;&gt;"",COUNTIFS(tblCouriers[Courier],$H201,tblCouriers[Market],$B201)=0),"Courier not in this market","OK")))))))))))))))</f>
        <v>OK</v>
      </c>
    </row>
    <row r="202" customFormat="false" ht="15" hidden="false" customHeight="false" outlineLevel="0" collapsed="false">
      <c r="A202" s="27" t="n">
        <v>46228</v>
      </c>
      <c r="B202" s="26" t="s">
        <v>90</v>
      </c>
      <c r="C202" s="26" t="s">
        <v>148</v>
      </c>
      <c r="D202" s="26"/>
      <c r="E202" s="26" t="s">
        <v>106</v>
      </c>
      <c r="F202" s="28" t="n">
        <v>141</v>
      </c>
      <c r="G202" s="28" t="n">
        <v>21</v>
      </c>
      <c r="H202" s="26" t="s">
        <v>101</v>
      </c>
      <c r="I202" s="26"/>
      <c r="J202" s="26"/>
      <c r="K202" s="29" t="str">
        <f aca="false">IF($A202="","",IF(COUNTIFS(tblMoveTypes[Movement],$E202)=0,"Unknown movement type",IF(COUNTIF(tblShipment[Shipment ID],$C202)=0,"Unknown shipment",IF(COUNTIFS(tblShipment[Shipment ID],$C202,tblShipment[Market],$B202)=0,"Market does not match shipment",IF(AND(IFERROR(INDEX(tblMoveTypes[Item?],MATCH($E202,tblMoveTypes[Movement],0)),"?")="Yes",$D202=""),"Item needed",IF(AND(IFERROR(INDEX(tblMoveTypes[Item?],MATCH($E202,tblMoveTypes[Movement],0)),"?")="No",$D202&lt;&gt;""),"Leave Item blank",IF(AND(IFERROR(INDEX(tblMoveTypes[Courier?],MATCH($E202,tblMoveTypes[Movement],0)),"?")="Yes",$H202=""),"Courier needed",IF(AND(IFERROR(INDEX(tblMoveTypes[Courier?],MATCH($E202,tblMoveTypes[Movement],0)),"?")="No",$H202&lt;&gt;""),"Leave Courier blank",IF(AND(IFERROR(INDEX(tblMoveTypes[Orders?],MATCH($E202,tblMoveTypes[Movement],0)),"?")="Yes",$G202=""),"Orders needed",IF(AND(IFERROR(INDEX(tblMoveTypes[Orders?],MATCH($E202,tblMoveTypes[Movement],0)),"?")="No",$G202&lt;&gt;""),"Leave Orders blank",IF(AND(IFERROR(INDEX(tblMoveTypes[Reason?],MATCH($E202,tblMoveTypes[Movement],0)),"?")="Yes",$I202=""),"Reason needed",IF(AND(IFERROR(INDEX(tblMoveTypes[Qty?],MATCH($E202,tblMoveTypes[Movement],0)),"?")="Yes",N($F202)&lt;=0),"Qty needed",IF($A202&lt;_xlfn.MINIFS(tblShipment[Arrival Date],tblShipment[Shipment ID],$C202),"Date before arrival",IF(AND($D202&lt;&gt;"",COUNTIFS(tblShipment[Shipment ID],$C202,tblShipment[Item Code],$D202)=0),"Item not in this shipment",IF(AND($H202&lt;&gt;"",COUNTIFS(tblCouriers[Courier],$H202,tblCouriers[Market],$B202)=0),"Courier not in this market","OK")))))))))))))))</f>
        <v>OK</v>
      </c>
    </row>
    <row r="203" customFormat="false" ht="15" hidden="false" customHeight="false" outlineLevel="0" collapsed="false">
      <c r="A203" s="27" t="n">
        <v>46229</v>
      </c>
      <c r="B203" s="26" t="s">
        <v>70</v>
      </c>
      <c r="C203" s="26" t="s">
        <v>125</v>
      </c>
      <c r="D203" s="26"/>
      <c r="E203" s="26" t="s">
        <v>106</v>
      </c>
      <c r="F203" s="28" t="n">
        <v>108</v>
      </c>
      <c r="G203" s="28" t="n">
        <v>16</v>
      </c>
      <c r="H203" s="26" t="s">
        <v>71</v>
      </c>
      <c r="I203" s="26"/>
      <c r="J203" s="26"/>
      <c r="K203" s="29" t="str">
        <f aca="false">IF($A203="","",IF(COUNTIFS(tblMoveTypes[Movement],$E203)=0,"Unknown movement type",IF(COUNTIF(tblShipment[Shipment ID],$C203)=0,"Unknown shipment",IF(COUNTIFS(tblShipment[Shipment ID],$C203,tblShipment[Market],$B203)=0,"Market does not match shipment",IF(AND(IFERROR(INDEX(tblMoveTypes[Item?],MATCH($E203,tblMoveTypes[Movement],0)),"?")="Yes",$D203=""),"Item needed",IF(AND(IFERROR(INDEX(tblMoveTypes[Item?],MATCH($E203,tblMoveTypes[Movement],0)),"?")="No",$D203&lt;&gt;""),"Leave Item blank",IF(AND(IFERROR(INDEX(tblMoveTypes[Courier?],MATCH($E203,tblMoveTypes[Movement],0)),"?")="Yes",$H203=""),"Courier needed",IF(AND(IFERROR(INDEX(tblMoveTypes[Courier?],MATCH($E203,tblMoveTypes[Movement],0)),"?")="No",$H203&lt;&gt;""),"Leave Courier blank",IF(AND(IFERROR(INDEX(tblMoveTypes[Orders?],MATCH($E203,tblMoveTypes[Movement],0)),"?")="Yes",$G203=""),"Orders needed",IF(AND(IFERROR(INDEX(tblMoveTypes[Orders?],MATCH($E203,tblMoveTypes[Movement],0)),"?")="No",$G203&lt;&gt;""),"Leave Orders blank",IF(AND(IFERROR(INDEX(tblMoveTypes[Reason?],MATCH($E203,tblMoveTypes[Movement],0)),"?")="Yes",$I203=""),"Reason needed",IF(AND(IFERROR(INDEX(tblMoveTypes[Qty?],MATCH($E203,tblMoveTypes[Movement],0)),"?")="Yes",N($F203)&lt;=0),"Qty needed",IF($A203&lt;_xlfn.MINIFS(tblShipment[Arrival Date],tblShipment[Shipment ID],$C203),"Date before arrival",IF(AND($D203&lt;&gt;"",COUNTIFS(tblShipment[Shipment ID],$C203,tblShipment[Item Code],$D203)=0),"Item not in this shipment",IF(AND($H203&lt;&gt;"",COUNTIFS(tblCouriers[Courier],$H203,tblCouriers[Market],$B203)=0),"Courier not in this market","OK")))))))))))))))</f>
        <v>OK</v>
      </c>
    </row>
    <row r="204" customFormat="false" ht="15" hidden="false" customHeight="false" outlineLevel="0" collapsed="false">
      <c r="A204" s="27" t="n">
        <v>46229</v>
      </c>
      <c r="B204" s="26" t="s">
        <v>85</v>
      </c>
      <c r="C204" s="26" t="s">
        <v>139</v>
      </c>
      <c r="D204" s="26"/>
      <c r="E204" s="26" t="s">
        <v>106</v>
      </c>
      <c r="F204" s="28" t="n">
        <v>8</v>
      </c>
      <c r="G204" s="28" t="n">
        <v>1</v>
      </c>
      <c r="H204" s="26" t="s">
        <v>91</v>
      </c>
      <c r="I204" s="26"/>
      <c r="J204" s="26"/>
      <c r="K204" s="29" t="str">
        <f aca="false">IF($A204="","",IF(COUNTIFS(tblMoveTypes[Movement],$E204)=0,"Unknown movement type",IF(COUNTIF(tblShipment[Shipment ID],$C204)=0,"Unknown shipment",IF(COUNTIFS(tblShipment[Shipment ID],$C204,tblShipment[Market],$B204)=0,"Market does not match shipment",IF(AND(IFERROR(INDEX(tblMoveTypes[Item?],MATCH($E204,tblMoveTypes[Movement],0)),"?")="Yes",$D204=""),"Item needed",IF(AND(IFERROR(INDEX(tblMoveTypes[Item?],MATCH($E204,tblMoveTypes[Movement],0)),"?")="No",$D204&lt;&gt;""),"Leave Item blank",IF(AND(IFERROR(INDEX(tblMoveTypes[Courier?],MATCH($E204,tblMoveTypes[Movement],0)),"?")="Yes",$H204=""),"Courier needed",IF(AND(IFERROR(INDEX(tblMoveTypes[Courier?],MATCH($E204,tblMoveTypes[Movement],0)),"?")="No",$H204&lt;&gt;""),"Leave Courier blank",IF(AND(IFERROR(INDEX(tblMoveTypes[Orders?],MATCH($E204,tblMoveTypes[Movement],0)),"?")="Yes",$G204=""),"Orders needed",IF(AND(IFERROR(INDEX(tblMoveTypes[Orders?],MATCH($E204,tblMoveTypes[Movement],0)),"?")="No",$G204&lt;&gt;""),"Leave Orders blank",IF(AND(IFERROR(INDEX(tblMoveTypes[Reason?],MATCH($E204,tblMoveTypes[Movement],0)),"?")="Yes",$I204=""),"Reason needed",IF(AND(IFERROR(INDEX(tblMoveTypes[Qty?],MATCH($E204,tblMoveTypes[Movement],0)),"?")="Yes",N($F204)&lt;=0),"Qty needed",IF($A204&lt;_xlfn.MINIFS(tblShipment[Arrival Date],tblShipment[Shipment ID],$C204),"Date before arrival",IF(AND($D204&lt;&gt;"",COUNTIFS(tblShipment[Shipment ID],$C204,tblShipment[Item Code],$D204)=0),"Item not in this shipment",IF(AND($H204&lt;&gt;"",COUNTIFS(tblCouriers[Courier],$H204,tblCouriers[Market],$B204)=0),"Courier not in this market","OK")))))))))))))))</f>
        <v>OK</v>
      </c>
    </row>
    <row r="205" customFormat="false" ht="15" hidden="false" customHeight="false" outlineLevel="0" collapsed="false">
      <c r="A205" s="27" t="n">
        <v>46229</v>
      </c>
      <c r="B205" s="26" t="s">
        <v>90</v>
      </c>
      <c r="C205" s="26" t="s">
        <v>147</v>
      </c>
      <c r="D205" s="26"/>
      <c r="E205" s="26" t="s">
        <v>106</v>
      </c>
      <c r="F205" s="28" t="n">
        <v>5</v>
      </c>
      <c r="G205" s="28" t="n">
        <v>1</v>
      </c>
      <c r="H205" s="26" t="s">
        <v>101</v>
      </c>
      <c r="I205" s="26"/>
      <c r="J205" s="26"/>
      <c r="K205" s="29" t="str">
        <f aca="false">IF($A205="","",IF(COUNTIFS(tblMoveTypes[Movement],$E205)=0,"Unknown movement type",IF(COUNTIF(tblShipment[Shipment ID],$C205)=0,"Unknown shipment",IF(COUNTIFS(tblShipment[Shipment ID],$C205,tblShipment[Market],$B205)=0,"Market does not match shipment",IF(AND(IFERROR(INDEX(tblMoveTypes[Item?],MATCH($E205,tblMoveTypes[Movement],0)),"?")="Yes",$D205=""),"Item needed",IF(AND(IFERROR(INDEX(tblMoveTypes[Item?],MATCH($E205,tblMoveTypes[Movement],0)),"?")="No",$D205&lt;&gt;""),"Leave Item blank",IF(AND(IFERROR(INDEX(tblMoveTypes[Courier?],MATCH($E205,tblMoveTypes[Movement],0)),"?")="Yes",$H205=""),"Courier needed",IF(AND(IFERROR(INDEX(tblMoveTypes[Courier?],MATCH($E205,tblMoveTypes[Movement],0)),"?")="No",$H205&lt;&gt;""),"Leave Courier blank",IF(AND(IFERROR(INDEX(tblMoveTypes[Orders?],MATCH($E205,tblMoveTypes[Movement],0)),"?")="Yes",$G205=""),"Orders needed",IF(AND(IFERROR(INDEX(tblMoveTypes[Orders?],MATCH($E205,tblMoveTypes[Movement],0)),"?")="No",$G205&lt;&gt;""),"Leave Orders blank",IF(AND(IFERROR(INDEX(tblMoveTypes[Reason?],MATCH($E205,tblMoveTypes[Movement],0)),"?")="Yes",$I205=""),"Reason needed",IF(AND(IFERROR(INDEX(tblMoveTypes[Qty?],MATCH($E205,tblMoveTypes[Movement],0)),"?")="Yes",N($F205)&lt;=0),"Qty needed",IF($A205&lt;_xlfn.MINIFS(tblShipment[Arrival Date],tblShipment[Shipment ID],$C205),"Date before arrival",IF(AND($D205&lt;&gt;"",COUNTIFS(tblShipment[Shipment ID],$C205,tblShipment[Item Code],$D205)=0),"Item not in this shipment",IF(AND($H205&lt;&gt;"",COUNTIFS(tblCouriers[Courier],$H205,tblCouriers[Market],$B205)=0),"Courier not in this market","OK")))))))))))))))</f>
        <v>OK</v>
      </c>
    </row>
    <row r="206" customFormat="false" ht="15" hidden="false" customHeight="false" outlineLevel="0" collapsed="false">
      <c r="A206" s="27" t="n">
        <v>46229</v>
      </c>
      <c r="B206" s="26" t="s">
        <v>78</v>
      </c>
      <c r="C206" s="26" t="s">
        <v>132</v>
      </c>
      <c r="D206" s="26"/>
      <c r="E206" s="26" t="s">
        <v>106</v>
      </c>
      <c r="F206" s="28" t="n">
        <v>15</v>
      </c>
      <c r="G206" s="28" t="n">
        <v>2</v>
      </c>
      <c r="H206" s="26" t="s">
        <v>79</v>
      </c>
      <c r="I206" s="26"/>
      <c r="J206" s="26"/>
      <c r="K206" s="29" t="str">
        <f aca="false">IF($A206="","",IF(COUNTIFS(tblMoveTypes[Movement],$E206)=0,"Unknown movement type",IF(COUNTIF(tblShipment[Shipment ID],$C206)=0,"Unknown shipment",IF(COUNTIFS(tblShipment[Shipment ID],$C206,tblShipment[Market],$B206)=0,"Market does not match shipment",IF(AND(IFERROR(INDEX(tblMoveTypes[Item?],MATCH($E206,tblMoveTypes[Movement],0)),"?")="Yes",$D206=""),"Item needed",IF(AND(IFERROR(INDEX(tblMoveTypes[Item?],MATCH($E206,tblMoveTypes[Movement],0)),"?")="No",$D206&lt;&gt;""),"Leave Item blank",IF(AND(IFERROR(INDEX(tblMoveTypes[Courier?],MATCH($E206,tblMoveTypes[Movement],0)),"?")="Yes",$H206=""),"Courier needed",IF(AND(IFERROR(INDEX(tblMoveTypes[Courier?],MATCH($E206,tblMoveTypes[Movement],0)),"?")="No",$H206&lt;&gt;""),"Leave Courier blank",IF(AND(IFERROR(INDEX(tblMoveTypes[Orders?],MATCH($E206,tblMoveTypes[Movement],0)),"?")="Yes",$G206=""),"Orders needed",IF(AND(IFERROR(INDEX(tblMoveTypes[Orders?],MATCH($E206,tblMoveTypes[Movement],0)),"?")="No",$G206&lt;&gt;""),"Leave Orders blank",IF(AND(IFERROR(INDEX(tblMoveTypes[Reason?],MATCH($E206,tblMoveTypes[Movement],0)),"?")="Yes",$I206=""),"Reason needed",IF(AND(IFERROR(INDEX(tblMoveTypes[Qty?],MATCH($E206,tblMoveTypes[Movement],0)),"?")="Yes",N($F206)&lt;=0),"Qty needed",IF($A206&lt;_xlfn.MINIFS(tblShipment[Arrival Date],tblShipment[Shipment ID],$C206),"Date before arrival",IF(AND($D206&lt;&gt;"",COUNTIFS(tblShipment[Shipment ID],$C206,tblShipment[Item Code],$D206)=0),"Item not in this shipment",IF(AND($H206&lt;&gt;"",COUNTIFS(tblCouriers[Courier],$H206,tblCouriers[Market],$B206)=0),"Courier not in this market","OK")))))))))))))))</f>
        <v>OK</v>
      </c>
    </row>
    <row r="207" customFormat="false" ht="15" hidden="false" customHeight="false" outlineLevel="0" collapsed="false">
      <c r="A207" s="27" t="n">
        <v>46229</v>
      </c>
      <c r="B207" s="26" t="s">
        <v>78</v>
      </c>
      <c r="C207" s="26" t="s">
        <v>132</v>
      </c>
      <c r="D207" s="26"/>
      <c r="E207" s="26" t="s">
        <v>106</v>
      </c>
      <c r="F207" s="28" t="n">
        <v>22</v>
      </c>
      <c r="G207" s="28" t="n">
        <v>3</v>
      </c>
      <c r="H207" s="26" t="s">
        <v>86</v>
      </c>
      <c r="I207" s="26"/>
      <c r="J207" s="26"/>
      <c r="K207" s="29" t="str">
        <f aca="false">IF($A207="","",IF(COUNTIFS(tblMoveTypes[Movement],$E207)=0,"Unknown movement type",IF(COUNTIF(tblShipment[Shipment ID],$C207)=0,"Unknown shipment",IF(COUNTIFS(tblShipment[Shipment ID],$C207,tblShipment[Market],$B207)=0,"Market does not match shipment",IF(AND(IFERROR(INDEX(tblMoveTypes[Item?],MATCH($E207,tblMoveTypes[Movement],0)),"?")="Yes",$D207=""),"Item needed",IF(AND(IFERROR(INDEX(tblMoveTypes[Item?],MATCH($E207,tblMoveTypes[Movement],0)),"?")="No",$D207&lt;&gt;""),"Leave Item blank",IF(AND(IFERROR(INDEX(tblMoveTypes[Courier?],MATCH($E207,tblMoveTypes[Movement],0)),"?")="Yes",$H207=""),"Courier needed",IF(AND(IFERROR(INDEX(tblMoveTypes[Courier?],MATCH($E207,tblMoveTypes[Movement],0)),"?")="No",$H207&lt;&gt;""),"Leave Courier blank",IF(AND(IFERROR(INDEX(tblMoveTypes[Orders?],MATCH($E207,tblMoveTypes[Movement],0)),"?")="Yes",$G207=""),"Orders needed",IF(AND(IFERROR(INDEX(tblMoveTypes[Orders?],MATCH($E207,tblMoveTypes[Movement],0)),"?")="No",$G207&lt;&gt;""),"Leave Orders blank",IF(AND(IFERROR(INDEX(tblMoveTypes[Reason?],MATCH($E207,tblMoveTypes[Movement],0)),"?")="Yes",$I207=""),"Reason needed",IF(AND(IFERROR(INDEX(tblMoveTypes[Qty?],MATCH($E207,tblMoveTypes[Movement],0)),"?")="Yes",N($F207)&lt;=0),"Qty needed",IF($A207&lt;_xlfn.MINIFS(tblShipment[Arrival Date],tblShipment[Shipment ID],$C207),"Date before arrival",IF(AND($D207&lt;&gt;"",COUNTIFS(tblShipment[Shipment ID],$C207,tblShipment[Item Code],$D207)=0),"Item not in this shipment",IF(AND($H207&lt;&gt;"",COUNTIFS(tblCouriers[Courier],$H207,tblCouriers[Market],$B207)=0),"Courier not in this market","OK")))))))))))))))</f>
        <v>OK</v>
      </c>
    </row>
    <row r="208" customFormat="false" ht="15" hidden="false" customHeight="false" outlineLevel="0" collapsed="false">
      <c r="A208" s="27" t="n">
        <v>46230</v>
      </c>
      <c r="B208" s="26" t="s">
        <v>70</v>
      </c>
      <c r="C208" s="26" t="s">
        <v>125</v>
      </c>
      <c r="D208" s="26" t="s">
        <v>88</v>
      </c>
      <c r="E208" s="26" t="s">
        <v>93</v>
      </c>
      <c r="F208" s="28" t="n">
        <v>13</v>
      </c>
      <c r="G208" s="28"/>
      <c r="H208" s="26" t="s">
        <v>71</v>
      </c>
      <c r="I208" s="26"/>
      <c r="J208" s="26"/>
      <c r="K208" s="29" t="str">
        <f aca="false">IF($A208="","",IF(COUNTIFS(tblMoveTypes[Movement],$E208)=0,"Unknown movement type",IF(COUNTIF(tblShipment[Shipment ID],$C208)=0,"Unknown shipment",IF(COUNTIFS(tblShipment[Shipment ID],$C208,tblShipment[Market],$B208)=0,"Market does not match shipment",IF(AND(IFERROR(INDEX(tblMoveTypes[Item?],MATCH($E208,tblMoveTypes[Movement],0)),"?")="Yes",$D208=""),"Item needed",IF(AND(IFERROR(INDEX(tblMoveTypes[Item?],MATCH($E208,tblMoveTypes[Movement],0)),"?")="No",$D208&lt;&gt;""),"Leave Item blank",IF(AND(IFERROR(INDEX(tblMoveTypes[Courier?],MATCH($E208,tblMoveTypes[Movement],0)),"?")="Yes",$H208=""),"Courier needed",IF(AND(IFERROR(INDEX(tblMoveTypes[Courier?],MATCH($E208,tblMoveTypes[Movement],0)),"?")="No",$H208&lt;&gt;""),"Leave Courier blank",IF(AND(IFERROR(INDEX(tblMoveTypes[Orders?],MATCH($E208,tblMoveTypes[Movement],0)),"?")="Yes",$G208=""),"Orders needed",IF(AND(IFERROR(INDEX(tblMoveTypes[Orders?],MATCH($E208,tblMoveTypes[Movement],0)),"?")="No",$G208&lt;&gt;""),"Leave Orders blank",IF(AND(IFERROR(INDEX(tblMoveTypes[Reason?],MATCH($E208,tblMoveTypes[Movement],0)),"?")="Yes",$I208=""),"Reason needed",IF(AND(IFERROR(INDEX(tblMoveTypes[Qty?],MATCH($E208,tblMoveTypes[Movement],0)),"?")="Yes",N($F208)&lt;=0),"Qty needed",IF($A208&lt;_xlfn.MINIFS(tblShipment[Arrival Date],tblShipment[Shipment ID],$C208),"Date before arrival",IF(AND($D208&lt;&gt;"",COUNTIFS(tblShipment[Shipment ID],$C208,tblShipment[Item Code],$D208)=0),"Item not in this shipment",IF(AND($H208&lt;&gt;"",COUNTIFS(tblCouriers[Courier],$H208,tblCouriers[Market],$B208)=0),"Courier not in this market","OK")))))))))))))))</f>
        <v>OK</v>
      </c>
    </row>
    <row r="209" customFormat="false" ht="15" hidden="false" customHeight="false" outlineLevel="0" collapsed="false">
      <c r="A209" s="27" t="n">
        <v>46230</v>
      </c>
      <c r="B209" s="26" t="s">
        <v>70</v>
      </c>
      <c r="C209" s="26" t="s">
        <v>125</v>
      </c>
      <c r="D209" s="26"/>
      <c r="E209" s="26" t="s">
        <v>104</v>
      </c>
      <c r="F209" s="28"/>
      <c r="G209" s="28" t="n">
        <v>2</v>
      </c>
      <c r="H209" s="26" t="s">
        <v>71</v>
      </c>
      <c r="I209" s="26"/>
      <c r="J209" s="26"/>
      <c r="K209" s="29" t="str">
        <f aca="false">IF($A209="","",IF(COUNTIFS(tblMoveTypes[Movement],$E209)=0,"Unknown movement type",IF(COUNTIF(tblShipment[Shipment ID],$C209)=0,"Unknown shipment",IF(COUNTIFS(tblShipment[Shipment ID],$C209,tblShipment[Market],$B209)=0,"Market does not match shipment",IF(AND(IFERROR(INDEX(tblMoveTypes[Item?],MATCH($E209,tblMoveTypes[Movement],0)),"?")="Yes",$D209=""),"Item needed",IF(AND(IFERROR(INDEX(tblMoveTypes[Item?],MATCH($E209,tblMoveTypes[Movement],0)),"?")="No",$D209&lt;&gt;""),"Leave Item blank",IF(AND(IFERROR(INDEX(tblMoveTypes[Courier?],MATCH($E209,tblMoveTypes[Movement],0)),"?")="Yes",$H209=""),"Courier needed",IF(AND(IFERROR(INDEX(tblMoveTypes[Courier?],MATCH($E209,tblMoveTypes[Movement],0)),"?")="No",$H209&lt;&gt;""),"Leave Courier blank",IF(AND(IFERROR(INDEX(tblMoveTypes[Orders?],MATCH($E209,tblMoveTypes[Movement],0)),"?")="Yes",$G209=""),"Orders needed",IF(AND(IFERROR(INDEX(tblMoveTypes[Orders?],MATCH($E209,tblMoveTypes[Movement],0)),"?")="No",$G209&lt;&gt;""),"Leave Orders blank",IF(AND(IFERROR(INDEX(tblMoveTypes[Reason?],MATCH($E209,tblMoveTypes[Movement],0)),"?")="Yes",$I209=""),"Reason needed",IF(AND(IFERROR(INDEX(tblMoveTypes[Qty?],MATCH($E209,tblMoveTypes[Movement],0)),"?")="Yes",N($F209)&lt;=0),"Qty needed",IF($A209&lt;_xlfn.MINIFS(tblShipment[Arrival Date],tblShipment[Shipment ID],$C209),"Date before arrival",IF(AND($D209&lt;&gt;"",COUNTIFS(tblShipment[Shipment ID],$C209,tblShipment[Item Code],$D209)=0),"Item not in this shipment",IF(AND($H209&lt;&gt;"",COUNTIFS(tblCouriers[Courier],$H209,tblCouriers[Market],$B209)=0),"Courier not in this market","OK")))))))))))))))</f>
        <v>OK</v>
      </c>
    </row>
    <row r="210" customFormat="false" ht="15" hidden="false" customHeight="false" outlineLevel="0" collapsed="false">
      <c r="A210" s="27" t="n">
        <v>46230</v>
      </c>
      <c r="B210" s="26" t="s">
        <v>85</v>
      </c>
      <c r="C210" s="26" t="s">
        <v>140</v>
      </c>
      <c r="D210" s="26"/>
      <c r="E210" s="26" t="s">
        <v>108</v>
      </c>
      <c r="F210" s="28" t="n">
        <v>5</v>
      </c>
      <c r="G210" s="28" t="n">
        <v>1</v>
      </c>
      <c r="H210" s="26" t="s">
        <v>96</v>
      </c>
      <c r="I210" s="26" t="s">
        <v>105</v>
      </c>
      <c r="J210" s="26"/>
      <c r="K210" s="29" t="str">
        <f aca="false">IF($A210="","",IF(COUNTIFS(tblMoveTypes[Movement],$E210)=0,"Unknown movement type",IF(COUNTIF(tblShipment[Shipment ID],$C210)=0,"Unknown shipment",IF(COUNTIFS(tblShipment[Shipment ID],$C210,tblShipment[Market],$B210)=0,"Market does not match shipment",IF(AND(IFERROR(INDEX(tblMoveTypes[Item?],MATCH($E210,tblMoveTypes[Movement],0)),"?")="Yes",$D210=""),"Item needed",IF(AND(IFERROR(INDEX(tblMoveTypes[Item?],MATCH($E210,tblMoveTypes[Movement],0)),"?")="No",$D210&lt;&gt;""),"Leave Item blank",IF(AND(IFERROR(INDEX(tblMoveTypes[Courier?],MATCH($E210,tblMoveTypes[Movement],0)),"?")="Yes",$H210=""),"Courier needed",IF(AND(IFERROR(INDEX(tblMoveTypes[Courier?],MATCH($E210,tblMoveTypes[Movement],0)),"?")="No",$H210&lt;&gt;""),"Leave Courier blank",IF(AND(IFERROR(INDEX(tblMoveTypes[Orders?],MATCH($E210,tblMoveTypes[Movement],0)),"?")="Yes",$G210=""),"Orders needed",IF(AND(IFERROR(INDEX(tblMoveTypes[Orders?],MATCH($E210,tblMoveTypes[Movement],0)),"?")="No",$G210&lt;&gt;""),"Leave Orders blank",IF(AND(IFERROR(INDEX(tblMoveTypes[Reason?],MATCH($E210,tblMoveTypes[Movement],0)),"?")="Yes",$I210=""),"Reason needed",IF(AND(IFERROR(INDEX(tblMoveTypes[Qty?],MATCH($E210,tblMoveTypes[Movement],0)),"?")="Yes",N($F210)&lt;=0),"Qty needed",IF($A210&lt;_xlfn.MINIFS(tblShipment[Arrival Date],tblShipment[Shipment ID],$C210),"Date before arrival",IF(AND($D210&lt;&gt;"",COUNTIFS(tblShipment[Shipment ID],$C210,tblShipment[Item Code],$D210)=0),"Item not in this shipment",IF(AND($H210&lt;&gt;"",COUNTIFS(tblCouriers[Courier],$H210,tblCouriers[Market],$B210)=0),"Courier not in this market","OK")))))))))))))))</f>
        <v>OK</v>
      </c>
    </row>
    <row r="211" customFormat="false" ht="15" hidden="false" customHeight="false" outlineLevel="0" collapsed="false">
      <c r="A211" s="27" t="n">
        <v>46230</v>
      </c>
      <c r="B211" s="26" t="s">
        <v>85</v>
      </c>
      <c r="C211" s="26" t="s">
        <v>140</v>
      </c>
      <c r="D211" s="26" t="s">
        <v>88</v>
      </c>
      <c r="E211" s="26" t="s">
        <v>110</v>
      </c>
      <c r="F211" s="28" t="n">
        <v>4</v>
      </c>
      <c r="G211" s="28"/>
      <c r="H211" s="26"/>
      <c r="I211" s="26"/>
      <c r="J211" s="26"/>
      <c r="K211" s="29" t="str">
        <f aca="false">IF($A211="","",IF(COUNTIFS(tblMoveTypes[Movement],$E211)=0,"Unknown movement type",IF(COUNTIF(tblShipment[Shipment ID],$C211)=0,"Unknown shipment",IF(COUNTIFS(tblShipment[Shipment ID],$C211,tblShipment[Market],$B211)=0,"Market does not match shipment",IF(AND(IFERROR(INDEX(tblMoveTypes[Item?],MATCH($E211,tblMoveTypes[Movement],0)),"?")="Yes",$D211=""),"Item needed",IF(AND(IFERROR(INDEX(tblMoveTypes[Item?],MATCH($E211,tblMoveTypes[Movement],0)),"?")="No",$D211&lt;&gt;""),"Leave Item blank",IF(AND(IFERROR(INDEX(tblMoveTypes[Courier?],MATCH($E211,tblMoveTypes[Movement],0)),"?")="Yes",$H211=""),"Courier needed",IF(AND(IFERROR(INDEX(tblMoveTypes[Courier?],MATCH($E211,tblMoveTypes[Movement],0)),"?")="No",$H211&lt;&gt;""),"Leave Courier blank",IF(AND(IFERROR(INDEX(tblMoveTypes[Orders?],MATCH($E211,tblMoveTypes[Movement],0)),"?")="Yes",$G211=""),"Orders needed",IF(AND(IFERROR(INDEX(tblMoveTypes[Orders?],MATCH($E211,tblMoveTypes[Movement],0)),"?")="No",$G211&lt;&gt;""),"Leave Orders blank",IF(AND(IFERROR(INDEX(tblMoveTypes[Reason?],MATCH($E211,tblMoveTypes[Movement],0)),"?")="Yes",$I211=""),"Reason needed",IF(AND(IFERROR(INDEX(tblMoveTypes[Qty?],MATCH($E211,tblMoveTypes[Movement],0)),"?")="Yes",N($F211)&lt;=0),"Qty needed",IF($A211&lt;_xlfn.MINIFS(tblShipment[Arrival Date],tblShipment[Shipment ID],$C211),"Date before arrival",IF(AND($D211&lt;&gt;"",COUNTIFS(tblShipment[Shipment ID],$C211,tblShipment[Item Code],$D211)=0),"Item not in this shipment",IF(AND($H211&lt;&gt;"",COUNTIFS(tblCouriers[Courier],$H211,tblCouriers[Market],$B211)=0),"Courier not in this market","OK")))))))))))))))</f>
        <v>OK</v>
      </c>
    </row>
    <row r="212" customFormat="false" ht="15" hidden="false" customHeight="false" outlineLevel="0" collapsed="false">
      <c r="A212" s="27" t="n">
        <v>46230</v>
      </c>
      <c r="B212" s="26" t="s">
        <v>85</v>
      </c>
      <c r="C212" s="26" t="s">
        <v>140</v>
      </c>
      <c r="D212" s="26" t="s">
        <v>88</v>
      </c>
      <c r="E212" s="26" t="s">
        <v>112</v>
      </c>
      <c r="F212" s="28" t="n">
        <v>1</v>
      </c>
      <c r="G212" s="28"/>
      <c r="H212" s="26"/>
      <c r="I212" s="26" t="s">
        <v>72</v>
      </c>
      <c r="J212" s="26"/>
      <c r="K212" s="29" t="str">
        <f aca="false">IF($A212="","",IF(COUNTIFS(tblMoveTypes[Movement],$E212)=0,"Unknown movement type",IF(COUNTIF(tblShipment[Shipment ID],$C212)=0,"Unknown shipment",IF(COUNTIFS(tblShipment[Shipment ID],$C212,tblShipment[Market],$B212)=0,"Market does not match shipment",IF(AND(IFERROR(INDEX(tblMoveTypes[Item?],MATCH($E212,tblMoveTypes[Movement],0)),"?")="Yes",$D212=""),"Item needed",IF(AND(IFERROR(INDEX(tblMoveTypes[Item?],MATCH($E212,tblMoveTypes[Movement],0)),"?")="No",$D212&lt;&gt;""),"Leave Item blank",IF(AND(IFERROR(INDEX(tblMoveTypes[Courier?],MATCH($E212,tblMoveTypes[Movement],0)),"?")="Yes",$H212=""),"Courier needed",IF(AND(IFERROR(INDEX(tblMoveTypes[Courier?],MATCH($E212,tblMoveTypes[Movement],0)),"?")="No",$H212&lt;&gt;""),"Leave Courier blank",IF(AND(IFERROR(INDEX(tblMoveTypes[Orders?],MATCH($E212,tblMoveTypes[Movement],0)),"?")="Yes",$G212=""),"Orders needed",IF(AND(IFERROR(INDEX(tblMoveTypes[Orders?],MATCH($E212,tblMoveTypes[Movement],0)),"?")="No",$G212&lt;&gt;""),"Leave Orders blank",IF(AND(IFERROR(INDEX(tblMoveTypes[Reason?],MATCH($E212,tblMoveTypes[Movement],0)),"?")="Yes",$I212=""),"Reason needed",IF(AND(IFERROR(INDEX(tblMoveTypes[Qty?],MATCH($E212,tblMoveTypes[Movement],0)),"?")="Yes",N($F212)&lt;=0),"Qty needed",IF($A212&lt;_xlfn.MINIFS(tblShipment[Arrival Date],tblShipment[Shipment ID],$C212),"Date before arrival",IF(AND($D212&lt;&gt;"",COUNTIFS(tblShipment[Shipment ID],$C212,tblShipment[Item Code],$D212)=0),"Item not in this shipment",IF(AND($H212&lt;&gt;"",COUNTIFS(tblCouriers[Courier],$H212,tblCouriers[Market],$B212)=0),"Courier not in this market","OK")))))))))))))))</f>
        <v>OK</v>
      </c>
    </row>
    <row r="213" customFormat="false" ht="15" hidden="false" customHeight="false" outlineLevel="0" collapsed="false">
      <c r="A213" s="27" t="n">
        <v>46230</v>
      </c>
      <c r="B213" s="26" t="s">
        <v>85</v>
      </c>
      <c r="C213" s="26" t="s">
        <v>140</v>
      </c>
      <c r="D213" s="26" t="s">
        <v>88</v>
      </c>
      <c r="E213" s="26" t="s">
        <v>93</v>
      </c>
      <c r="F213" s="28" t="n">
        <v>10</v>
      </c>
      <c r="G213" s="28"/>
      <c r="H213" s="26" t="s">
        <v>91</v>
      </c>
      <c r="I213" s="26"/>
      <c r="J213" s="26"/>
      <c r="K213" s="29" t="str">
        <f aca="false">IF($A213="","",IF(COUNTIFS(tblMoveTypes[Movement],$E213)=0,"Unknown movement type",IF(COUNTIF(tblShipment[Shipment ID],$C213)=0,"Unknown shipment",IF(COUNTIFS(tblShipment[Shipment ID],$C213,tblShipment[Market],$B213)=0,"Market does not match shipment",IF(AND(IFERROR(INDEX(tblMoveTypes[Item?],MATCH($E213,tblMoveTypes[Movement],0)),"?")="Yes",$D213=""),"Item needed",IF(AND(IFERROR(INDEX(tblMoveTypes[Item?],MATCH($E213,tblMoveTypes[Movement],0)),"?")="No",$D213&lt;&gt;""),"Leave Item blank",IF(AND(IFERROR(INDEX(tblMoveTypes[Courier?],MATCH($E213,tblMoveTypes[Movement],0)),"?")="Yes",$H213=""),"Courier needed",IF(AND(IFERROR(INDEX(tblMoveTypes[Courier?],MATCH($E213,tblMoveTypes[Movement],0)),"?")="No",$H213&lt;&gt;""),"Leave Courier blank",IF(AND(IFERROR(INDEX(tblMoveTypes[Orders?],MATCH($E213,tblMoveTypes[Movement],0)),"?")="Yes",$G213=""),"Orders needed",IF(AND(IFERROR(INDEX(tblMoveTypes[Orders?],MATCH($E213,tblMoveTypes[Movement],0)),"?")="No",$G213&lt;&gt;""),"Leave Orders blank",IF(AND(IFERROR(INDEX(tblMoveTypes[Reason?],MATCH($E213,tblMoveTypes[Movement],0)),"?")="Yes",$I213=""),"Reason needed",IF(AND(IFERROR(INDEX(tblMoveTypes[Qty?],MATCH($E213,tblMoveTypes[Movement],0)),"?")="Yes",N($F213)&lt;=0),"Qty needed",IF($A213&lt;_xlfn.MINIFS(tblShipment[Arrival Date],tblShipment[Shipment ID],$C213),"Date before arrival",IF(AND($D213&lt;&gt;"",COUNTIFS(tblShipment[Shipment ID],$C213,tblShipment[Item Code],$D213)=0),"Item not in this shipment",IF(AND($H213&lt;&gt;"",COUNTIFS(tblCouriers[Courier],$H213,tblCouriers[Market],$B213)=0),"Courier not in this market","OK")))))))))))))))</f>
        <v>OK</v>
      </c>
    </row>
    <row r="214" customFormat="false" ht="15" hidden="false" customHeight="false" outlineLevel="0" collapsed="false">
      <c r="A214" s="27" t="n">
        <v>46230</v>
      </c>
      <c r="B214" s="26" t="s">
        <v>85</v>
      </c>
      <c r="C214" s="26" t="s">
        <v>140</v>
      </c>
      <c r="D214" s="26"/>
      <c r="E214" s="26" t="s">
        <v>104</v>
      </c>
      <c r="F214" s="28"/>
      <c r="G214" s="28" t="n">
        <v>1</v>
      </c>
      <c r="H214" s="26" t="s">
        <v>91</v>
      </c>
      <c r="I214" s="26"/>
      <c r="J214" s="26"/>
      <c r="K214" s="29" t="str">
        <f aca="false">IF($A214="","",IF(COUNTIFS(tblMoveTypes[Movement],$E214)=0,"Unknown movement type",IF(COUNTIF(tblShipment[Shipment ID],$C214)=0,"Unknown shipment",IF(COUNTIFS(tblShipment[Shipment ID],$C214,tblShipment[Market],$B214)=0,"Market does not match shipment",IF(AND(IFERROR(INDEX(tblMoveTypes[Item?],MATCH($E214,tblMoveTypes[Movement],0)),"?")="Yes",$D214=""),"Item needed",IF(AND(IFERROR(INDEX(tblMoveTypes[Item?],MATCH($E214,tblMoveTypes[Movement],0)),"?")="No",$D214&lt;&gt;""),"Leave Item blank",IF(AND(IFERROR(INDEX(tblMoveTypes[Courier?],MATCH($E214,tblMoveTypes[Movement],0)),"?")="Yes",$H214=""),"Courier needed",IF(AND(IFERROR(INDEX(tblMoveTypes[Courier?],MATCH($E214,tblMoveTypes[Movement],0)),"?")="No",$H214&lt;&gt;""),"Leave Courier blank",IF(AND(IFERROR(INDEX(tblMoveTypes[Orders?],MATCH($E214,tblMoveTypes[Movement],0)),"?")="Yes",$G214=""),"Orders needed",IF(AND(IFERROR(INDEX(tblMoveTypes[Orders?],MATCH($E214,tblMoveTypes[Movement],0)),"?")="No",$G214&lt;&gt;""),"Leave Orders blank",IF(AND(IFERROR(INDEX(tblMoveTypes[Reason?],MATCH($E214,tblMoveTypes[Movement],0)),"?")="Yes",$I214=""),"Reason needed",IF(AND(IFERROR(INDEX(tblMoveTypes[Qty?],MATCH($E214,tblMoveTypes[Movement],0)),"?")="Yes",N($F214)&lt;=0),"Qty needed",IF($A214&lt;_xlfn.MINIFS(tblShipment[Arrival Date],tblShipment[Shipment ID],$C214),"Date before arrival",IF(AND($D214&lt;&gt;"",COUNTIFS(tblShipment[Shipment ID],$C214,tblShipment[Item Code],$D214)=0),"Item not in this shipment",IF(AND($H214&lt;&gt;"",COUNTIFS(tblCouriers[Courier],$H214,tblCouriers[Market],$B214)=0),"Courier not in this market","OK")))))))))))))))</f>
        <v>OK</v>
      </c>
    </row>
    <row r="215" customFormat="false" ht="15" hidden="false" customHeight="false" outlineLevel="0" collapsed="false">
      <c r="A215" s="27" t="n">
        <v>46230</v>
      </c>
      <c r="B215" s="26" t="s">
        <v>85</v>
      </c>
      <c r="C215" s="26" t="s">
        <v>141</v>
      </c>
      <c r="D215" s="26" t="s">
        <v>99</v>
      </c>
      <c r="E215" s="26" t="s">
        <v>81</v>
      </c>
      <c r="F215" s="28" t="n">
        <v>2</v>
      </c>
      <c r="G215" s="28"/>
      <c r="H215" s="26"/>
      <c r="I215" s="26"/>
      <c r="J215" s="26" t="s">
        <v>162</v>
      </c>
      <c r="K215" s="29" t="str">
        <f aca="false">IF($A215="","",IF(COUNTIFS(tblMoveTypes[Movement],$E215)=0,"Unknown movement type",IF(COUNTIF(tblShipment[Shipment ID],$C215)=0,"Unknown shipment",IF(COUNTIFS(tblShipment[Shipment ID],$C215,tblShipment[Market],$B215)=0,"Market does not match shipment",IF(AND(IFERROR(INDEX(tblMoveTypes[Item?],MATCH($E215,tblMoveTypes[Movement],0)),"?")="Yes",$D215=""),"Item needed",IF(AND(IFERROR(INDEX(tblMoveTypes[Item?],MATCH($E215,tblMoveTypes[Movement],0)),"?")="No",$D215&lt;&gt;""),"Leave Item blank",IF(AND(IFERROR(INDEX(tblMoveTypes[Courier?],MATCH($E215,tblMoveTypes[Movement],0)),"?")="Yes",$H215=""),"Courier needed",IF(AND(IFERROR(INDEX(tblMoveTypes[Courier?],MATCH($E215,tblMoveTypes[Movement],0)),"?")="No",$H215&lt;&gt;""),"Leave Courier blank",IF(AND(IFERROR(INDEX(tblMoveTypes[Orders?],MATCH($E215,tblMoveTypes[Movement],0)),"?")="Yes",$G215=""),"Orders needed",IF(AND(IFERROR(INDEX(tblMoveTypes[Orders?],MATCH($E215,tblMoveTypes[Movement],0)),"?")="No",$G215&lt;&gt;""),"Leave Orders blank",IF(AND(IFERROR(INDEX(tblMoveTypes[Reason?],MATCH($E215,tblMoveTypes[Movement],0)),"?")="Yes",$I215=""),"Reason needed",IF(AND(IFERROR(INDEX(tblMoveTypes[Qty?],MATCH($E215,tblMoveTypes[Movement],0)),"?")="Yes",N($F215)&lt;=0),"Qty needed",IF($A215&lt;_xlfn.MINIFS(tblShipment[Arrival Date],tblShipment[Shipment ID],$C215),"Date before arrival",IF(AND($D215&lt;&gt;"",COUNTIFS(tblShipment[Shipment ID],$C215,tblShipment[Item Code],$D215)=0),"Item not in this shipment",IF(AND($H215&lt;&gt;"",COUNTIFS(tblCouriers[Courier],$H215,tblCouriers[Market],$B215)=0),"Courier not in this market","OK")))))))))))))))</f>
        <v>OK</v>
      </c>
    </row>
    <row r="216" customFormat="false" ht="15" hidden="false" customHeight="false" outlineLevel="0" collapsed="false">
      <c r="A216" s="27" t="n">
        <v>46230</v>
      </c>
      <c r="B216" s="26" t="s">
        <v>85</v>
      </c>
      <c r="C216" s="26" t="s">
        <v>141</v>
      </c>
      <c r="D216" s="26" t="s">
        <v>99</v>
      </c>
      <c r="E216" s="26" t="s">
        <v>74</v>
      </c>
      <c r="F216" s="28" t="n">
        <v>118</v>
      </c>
      <c r="G216" s="28"/>
      <c r="H216" s="26"/>
      <c r="I216" s="26"/>
      <c r="J216" s="26"/>
      <c r="K216" s="29" t="str">
        <f aca="false">IF($A216="","",IF(COUNTIFS(tblMoveTypes[Movement],$E216)=0,"Unknown movement type",IF(COUNTIF(tblShipment[Shipment ID],$C216)=0,"Unknown shipment",IF(COUNTIFS(tblShipment[Shipment ID],$C216,tblShipment[Market],$B216)=0,"Market does not match shipment",IF(AND(IFERROR(INDEX(tblMoveTypes[Item?],MATCH($E216,tblMoveTypes[Movement],0)),"?")="Yes",$D216=""),"Item needed",IF(AND(IFERROR(INDEX(tblMoveTypes[Item?],MATCH($E216,tblMoveTypes[Movement],0)),"?")="No",$D216&lt;&gt;""),"Leave Item blank",IF(AND(IFERROR(INDEX(tblMoveTypes[Courier?],MATCH($E216,tblMoveTypes[Movement],0)),"?")="Yes",$H216=""),"Courier needed",IF(AND(IFERROR(INDEX(tblMoveTypes[Courier?],MATCH($E216,tblMoveTypes[Movement],0)),"?")="No",$H216&lt;&gt;""),"Leave Courier blank",IF(AND(IFERROR(INDEX(tblMoveTypes[Orders?],MATCH($E216,tblMoveTypes[Movement],0)),"?")="Yes",$G216=""),"Orders needed",IF(AND(IFERROR(INDEX(tblMoveTypes[Orders?],MATCH($E216,tblMoveTypes[Movement],0)),"?")="No",$G216&lt;&gt;""),"Leave Orders blank",IF(AND(IFERROR(INDEX(tblMoveTypes[Reason?],MATCH($E216,tblMoveTypes[Movement],0)),"?")="Yes",$I216=""),"Reason needed",IF(AND(IFERROR(INDEX(tblMoveTypes[Qty?],MATCH($E216,tblMoveTypes[Movement],0)),"?")="Yes",N($F216)&lt;=0),"Qty needed",IF($A216&lt;_xlfn.MINIFS(tblShipment[Arrival Date],tblShipment[Shipment ID],$C216),"Date before arrival",IF(AND($D216&lt;&gt;"",COUNTIFS(tblShipment[Shipment ID],$C216,tblShipment[Item Code],$D216)=0),"Item not in this shipment",IF(AND($H216&lt;&gt;"",COUNTIFS(tblCouriers[Courier],$H216,tblCouriers[Market],$B216)=0),"Courier not in this market","OK")))))))))))))))</f>
        <v>OK</v>
      </c>
    </row>
    <row r="217" customFormat="false" ht="15" hidden="false" customHeight="false" outlineLevel="0" collapsed="false">
      <c r="A217" s="27" t="n">
        <v>46230</v>
      </c>
      <c r="B217" s="26" t="s">
        <v>85</v>
      </c>
      <c r="C217" s="26" t="s">
        <v>141</v>
      </c>
      <c r="D217" s="26" t="s">
        <v>88</v>
      </c>
      <c r="E217" s="26" t="s">
        <v>74</v>
      </c>
      <c r="F217" s="28" t="n">
        <v>40</v>
      </c>
      <c r="G217" s="28"/>
      <c r="H217" s="26"/>
      <c r="I217" s="26"/>
      <c r="J217" s="26"/>
      <c r="K217" s="29" t="str">
        <f aca="false">IF($A217="","",IF(COUNTIFS(tblMoveTypes[Movement],$E217)=0,"Unknown movement type",IF(COUNTIF(tblShipment[Shipment ID],$C217)=0,"Unknown shipment",IF(COUNTIFS(tblShipment[Shipment ID],$C217,tblShipment[Market],$B217)=0,"Market does not match shipment",IF(AND(IFERROR(INDEX(tblMoveTypes[Item?],MATCH($E217,tblMoveTypes[Movement],0)),"?")="Yes",$D217=""),"Item needed",IF(AND(IFERROR(INDEX(tblMoveTypes[Item?],MATCH($E217,tblMoveTypes[Movement],0)),"?")="No",$D217&lt;&gt;""),"Leave Item blank",IF(AND(IFERROR(INDEX(tblMoveTypes[Courier?],MATCH($E217,tblMoveTypes[Movement],0)),"?")="Yes",$H217=""),"Courier needed",IF(AND(IFERROR(INDEX(tblMoveTypes[Courier?],MATCH($E217,tblMoveTypes[Movement],0)),"?")="No",$H217&lt;&gt;""),"Leave Courier blank",IF(AND(IFERROR(INDEX(tblMoveTypes[Orders?],MATCH($E217,tblMoveTypes[Movement],0)),"?")="Yes",$G217=""),"Orders needed",IF(AND(IFERROR(INDEX(tblMoveTypes[Orders?],MATCH($E217,tblMoveTypes[Movement],0)),"?")="No",$G217&lt;&gt;""),"Leave Orders blank",IF(AND(IFERROR(INDEX(tblMoveTypes[Reason?],MATCH($E217,tblMoveTypes[Movement],0)),"?")="Yes",$I217=""),"Reason needed",IF(AND(IFERROR(INDEX(tblMoveTypes[Qty?],MATCH($E217,tblMoveTypes[Movement],0)),"?")="Yes",N($F217)&lt;=0),"Qty needed",IF($A217&lt;_xlfn.MINIFS(tblShipment[Arrival Date],tblShipment[Shipment ID],$C217),"Date before arrival",IF(AND($D217&lt;&gt;"",COUNTIFS(tblShipment[Shipment ID],$C217,tblShipment[Item Code],$D217)=0),"Item not in this shipment",IF(AND($H217&lt;&gt;"",COUNTIFS(tblCouriers[Courier],$H217,tblCouriers[Market],$B217)=0),"Courier not in this market","OK")))))))))))))))</f>
        <v>OK</v>
      </c>
    </row>
    <row r="218" customFormat="false" ht="15" hidden="false" customHeight="false" outlineLevel="0" collapsed="false">
      <c r="A218" s="27" t="n">
        <v>46230</v>
      </c>
      <c r="B218" s="26" t="s">
        <v>85</v>
      </c>
      <c r="C218" s="26" t="s">
        <v>141</v>
      </c>
      <c r="D218" s="26" t="s">
        <v>76</v>
      </c>
      <c r="E218" s="26" t="s">
        <v>81</v>
      </c>
      <c r="F218" s="28" t="n">
        <v>3</v>
      </c>
      <c r="G218" s="28"/>
      <c r="H218" s="26"/>
      <c r="I218" s="26"/>
      <c r="J218" s="26" t="s">
        <v>162</v>
      </c>
      <c r="K218" s="29" t="str">
        <f aca="false">IF($A218="","",IF(COUNTIFS(tblMoveTypes[Movement],$E218)=0,"Unknown movement type",IF(COUNTIF(tblShipment[Shipment ID],$C218)=0,"Unknown shipment",IF(COUNTIFS(tblShipment[Shipment ID],$C218,tblShipment[Market],$B218)=0,"Market does not match shipment",IF(AND(IFERROR(INDEX(tblMoveTypes[Item?],MATCH($E218,tblMoveTypes[Movement],0)),"?")="Yes",$D218=""),"Item needed",IF(AND(IFERROR(INDEX(tblMoveTypes[Item?],MATCH($E218,tblMoveTypes[Movement],0)),"?")="No",$D218&lt;&gt;""),"Leave Item blank",IF(AND(IFERROR(INDEX(tblMoveTypes[Courier?],MATCH($E218,tblMoveTypes[Movement],0)),"?")="Yes",$H218=""),"Courier needed",IF(AND(IFERROR(INDEX(tblMoveTypes[Courier?],MATCH($E218,tblMoveTypes[Movement],0)),"?")="No",$H218&lt;&gt;""),"Leave Courier blank",IF(AND(IFERROR(INDEX(tblMoveTypes[Orders?],MATCH($E218,tblMoveTypes[Movement],0)),"?")="Yes",$G218=""),"Orders needed",IF(AND(IFERROR(INDEX(tblMoveTypes[Orders?],MATCH($E218,tblMoveTypes[Movement],0)),"?")="No",$G218&lt;&gt;""),"Leave Orders blank",IF(AND(IFERROR(INDEX(tblMoveTypes[Reason?],MATCH($E218,tblMoveTypes[Movement],0)),"?")="Yes",$I218=""),"Reason needed",IF(AND(IFERROR(INDEX(tblMoveTypes[Qty?],MATCH($E218,tblMoveTypes[Movement],0)),"?")="Yes",N($F218)&lt;=0),"Qty needed",IF($A218&lt;_xlfn.MINIFS(tblShipment[Arrival Date],tblShipment[Shipment ID],$C218),"Date before arrival",IF(AND($D218&lt;&gt;"",COUNTIFS(tblShipment[Shipment ID],$C218,tblShipment[Item Code],$D218)=0),"Item not in this shipment",IF(AND($H218&lt;&gt;"",COUNTIFS(tblCouriers[Courier],$H218,tblCouriers[Market],$B218)=0),"Courier not in this market","OK")))))))))))))))</f>
        <v>OK</v>
      </c>
    </row>
    <row r="219" customFormat="false" ht="15" hidden="false" customHeight="false" outlineLevel="0" collapsed="false">
      <c r="A219" s="27" t="n">
        <v>46230</v>
      </c>
      <c r="B219" s="26" t="s">
        <v>85</v>
      </c>
      <c r="C219" s="26" t="s">
        <v>141</v>
      </c>
      <c r="D219" s="26" t="s">
        <v>76</v>
      </c>
      <c r="E219" s="26" t="s">
        <v>74</v>
      </c>
      <c r="F219" s="28" t="n">
        <v>37</v>
      </c>
      <c r="G219" s="28"/>
      <c r="H219" s="26"/>
      <c r="I219" s="26"/>
      <c r="J219" s="26"/>
      <c r="K219" s="29" t="str">
        <f aca="false">IF($A219="","",IF(COUNTIFS(tblMoveTypes[Movement],$E219)=0,"Unknown movement type",IF(COUNTIF(tblShipment[Shipment ID],$C219)=0,"Unknown shipment",IF(COUNTIFS(tblShipment[Shipment ID],$C219,tblShipment[Market],$B219)=0,"Market does not match shipment",IF(AND(IFERROR(INDEX(tblMoveTypes[Item?],MATCH($E219,tblMoveTypes[Movement],0)),"?")="Yes",$D219=""),"Item needed",IF(AND(IFERROR(INDEX(tblMoveTypes[Item?],MATCH($E219,tblMoveTypes[Movement],0)),"?")="No",$D219&lt;&gt;""),"Leave Item blank",IF(AND(IFERROR(INDEX(tblMoveTypes[Courier?],MATCH($E219,tblMoveTypes[Movement],0)),"?")="Yes",$H219=""),"Courier needed",IF(AND(IFERROR(INDEX(tblMoveTypes[Courier?],MATCH($E219,tblMoveTypes[Movement],0)),"?")="No",$H219&lt;&gt;""),"Leave Courier blank",IF(AND(IFERROR(INDEX(tblMoveTypes[Orders?],MATCH($E219,tblMoveTypes[Movement],0)),"?")="Yes",$G219=""),"Orders needed",IF(AND(IFERROR(INDEX(tblMoveTypes[Orders?],MATCH($E219,tblMoveTypes[Movement],0)),"?")="No",$G219&lt;&gt;""),"Leave Orders blank",IF(AND(IFERROR(INDEX(tblMoveTypes[Reason?],MATCH($E219,tblMoveTypes[Movement],0)),"?")="Yes",$I219=""),"Reason needed",IF(AND(IFERROR(INDEX(tblMoveTypes[Qty?],MATCH($E219,tblMoveTypes[Movement],0)),"?")="Yes",N($F219)&lt;=0),"Qty needed",IF($A219&lt;_xlfn.MINIFS(tblShipment[Arrival Date],tblShipment[Shipment ID],$C219),"Date before arrival",IF(AND($D219&lt;&gt;"",COUNTIFS(tblShipment[Shipment ID],$C219,tblShipment[Item Code],$D219)=0),"Item not in this shipment",IF(AND($H219&lt;&gt;"",COUNTIFS(tblCouriers[Courier],$H219,tblCouriers[Market],$B219)=0),"Courier not in this market","OK")))))))))))))))</f>
        <v>OK</v>
      </c>
    </row>
    <row r="220" customFormat="false" ht="15" hidden="false" customHeight="false" outlineLevel="0" collapsed="false">
      <c r="A220" s="27" t="n">
        <v>46230</v>
      </c>
      <c r="B220" s="26" t="s">
        <v>85</v>
      </c>
      <c r="C220" s="26" t="s">
        <v>141</v>
      </c>
      <c r="D220" s="26"/>
      <c r="E220" s="26" t="s">
        <v>98</v>
      </c>
      <c r="F220" s="28"/>
      <c r="G220" s="28" t="n">
        <v>28</v>
      </c>
      <c r="H220" s="26"/>
      <c r="I220" s="26"/>
      <c r="J220" s="26"/>
      <c r="K220" s="29" t="str">
        <f aca="false">IF($A220="","",IF(COUNTIFS(tblMoveTypes[Movement],$E220)=0,"Unknown movement type",IF(COUNTIF(tblShipment[Shipment ID],$C220)=0,"Unknown shipment",IF(COUNTIFS(tblShipment[Shipment ID],$C220,tblShipment[Market],$B220)=0,"Market does not match shipment",IF(AND(IFERROR(INDEX(tblMoveTypes[Item?],MATCH($E220,tblMoveTypes[Movement],0)),"?")="Yes",$D220=""),"Item needed",IF(AND(IFERROR(INDEX(tblMoveTypes[Item?],MATCH($E220,tblMoveTypes[Movement],0)),"?")="No",$D220&lt;&gt;""),"Leave Item blank",IF(AND(IFERROR(INDEX(tblMoveTypes[Courier?],MATCH($E220,tblMoveTypes[Movement],0)),"?")="Yes",$H220=""),"Courier needed",IF(AND(IFERROR(INDEX(tblMoveTypes[Courier?],MATCH($E220,tblMoveTypes[Movement],0)),"?")="No",$H220&lt;&gt;""),"Leave Courier blank",IF(AND(IFERROR(INDEX(tblMoveTypes[Orders?],MATCH($E220,tblMoveTypes[Movement],0)),"?")="Yes",$G220=""),"Orders needed",IF(AND(IFERROR(INDEX(tblMoveTypes[Orders?],MATCH($E220,tblMoveTypes[Movement],0)),"?")="No",$G220&lt;&gt;""),"Leave Orders blank",IF(AND(IFERROR(INDEX(tblMoveTypes[Reason?],MATCH($E220,tblMoveTypes[Movement],0)),"?")="Yes",$I220=""),"Reason needed",IF(AND(IFERROR(INDEX(tblMoveTypes[Qty?],MATCH($E220,tblMoveTypes[Movement],0)),"?")="Yes",N($F220)&lt;=0),"Qty needed",IF($A220&lt;_xlfn.MINIFS(tblShipment[Arrival Date],tblShipment[Shipment ID],$C220),"Date before arrival",IF(AND($D220&lt;&gt;"",COUNTIFS(tblShipment[Shipment ID],$C220,tblShipment[Item Code],$D220)=0),"Item not in this shipment",IF(AND($H220&lt;&gt;"",COUNTIFS(tblCouriers[Courier],$H220,tblCouriers[Market],$B220)=0),"Courier not in this market","OK")))))))))))))))</f>
        <v>OK</v>
      </c>
    </row>
    <row r="221" customFormat="false" ht="15" hidden="false" customHeight="false" outlineLevel="0" collapsed="false">
      <c r="A221" s="27" t="n">
        <v>46230</v>
      </c>
      <c r="B221" s="26" t="s">
        <v>85</v>
      </c>
      <c r="C221" s="26" t="s">
        <v>141</v>
      </c>
      <c r="D221" s="26" t="s">
        <v>99</v>
      </c>
      <c r="E221" s="26" t="s">
        <v>73</v>
      </c>
      <c r="F221" s="28" t="n">
        <v>7</v>
      </c>
      <c r="G221" s="28"/>
      <c r="H221" s="26"/>
      <c r="I221" s="26" t="s">
        <v>87</v>
      </c>
      <c r="J221" s="26"/>
      <c r="K221" s="29" t="str">
        <f aca="false">IF($A221="","",IF(COUNTIFS(tblMoveTypes[Movement],$E221)=0,"Unknown movement type",IF(COUNTIF(tblShipment[Shipment ID],$C221)=0,"Unknown shipment",IF(COUNTIFS(tblShipment[Shipment ID],$C221,tblShipment[Market],$B221)=0,"Market does not match shipment",IF(AND(IFERROR(INDEX(tblMoveTypes[Item?],MATCH($E221,tblMoveTypes[Movement],0)),"?")="Yes",$D221=""),"Item needed",IF(AND(IFERROR(INDEX(tblMoveTypes[Item?],MATCH($E221,tblMoveTypes[Movement],0)),"?")="No",$D221&lt;&gt;""),"Leave Item blank",IF(AND(IFERROR(INDEX(tblMoveTypes[Courier?],MATCH($E221,tblMoveTypes[Movement],0)),"?")="Yes",$H221=""),"Courier needed",IF(AND(IFERROR(INDEX(tblMoveTypes[Courier?],MATCH($E221,tblMoveTypes[Movement],0)),"?")="No",$H221&lt;&gt;""),"Leave Courier blank",IF(AND(IFERROR(INDEX(tblMoveTypes[Orders?],MATCH($E221,tblMoveTypes[Movement],0)),"?")="Yes",$G221=""),"Orders needed",IF(AND(IFERROR(INDEX(tblMoveTypes[Orders?],MATCH($E221,tblMoveTypes[Movement],0)),"?")="No",$G221&lt;&gt;""),"Leave Orders blank",IF(AND(IFERROR(INDEX(tblMoveTypes[Reason?],MATCH($E221,tblMoveTypes[Movement],0)),"?")="Yes",$I221=""),"Reason needed",IF(AND(IFERROR(INDEX(tblMoveTypes[Qty?],MATCH($E221,tblMoveTypes[Movement],0)),"?")="Yes",N($F221)&lt;=0),"Qty needed",IF($A221&lt;_xlfn.MINIFS(tblShipment[Arrival Date],tblShipment[Shipment ID],$C221),"Date before arrival",IF(AND($D221&lt;&gt;"",COUNTIFS(tblShipment[Shipment ID],$C221,tblShipment[Item Code],$D221)=0),"Item not in this shipment",IF(AND($H221&lt;&gt;"",COUNTIFS(tblCouriers[Courier],$H221,tblCouriers[Market],$B221)=0),"Courier not in this market","OK")))))))))))))))</f>
        <v>OK</v>
      </c>
    </row>
    <row r="222" customFormat="false" ht="15" hidden="false" customHeight="false" outlineLevel="0" collapsed="false">
      <c r="A222" s="27" t="n">
        <v>46230</v>
      </c>
      <c r="B222" s="26" t="s">
        <v>85</v>
      </c>
      <c r="C222" s="26" t="s">
        <v>141</v>
      </c>
      <c r="D222" s="26" t="s">
        <v>88</v>
      </c>
      <c r="E222" s="26" t="s">
        <v>73</v>
      </c>
      <c r="F222" s="28" t="n">
        <v>1</v>
      </c>
      <c r="G222" s="28"/>
      <c r="H222" s="26"/>
      <c r="I222" s="26" t="s">
        <v>80</v>
      </c>
      <c r="J222" s="26"/>
      <c r="K222" s="29" t="str">
        <f aca="false">IF($A222="","",IF(COUNTIFS(tblMoveTypes[Movement],$E222)=0,"Unknown movement type",IF(COUNTIF(tblShipment[Shipment ID],$C222)=0,"Unknown shipment",IF(COUNTIFS(tblShipment[Shipment ID],$C222,tblShipment[Market],$B222)=0,"Market does not match shipment",IF(AND(IFERROR(INDEX(tblMoveTypes[Item?],MATCH($E222,tblMoveTypes[Movement],0)),"?")="Yes",$D222=""),"Item needed",IF(AND(IFERROR(INDEX(tblMoveTypes[Item?],MATCH($E222,tblMoveTypes[Movement],0)),"?")="No",$D222&lt;&gt;""),"Leave Item blank",IF(AND(IFERROR(INDEX(tblMoveTypes[Courier?],MATCH($E222,tblMoveTypes[Movement],0)),"?")="Yes",$H222=""),"Courier needed",IF(AND(IFERROR(INDEX(tblMoveTypes[Courier?],MATCH($E222,tblMoveTypes[Movement],0)),"?")="No",$H222&lt;&gt;""),"Leave Courier blank",IF(AND(IFERROR(INDEX(tblMoveTypes[Orders?],MATCH($E222,tblMoveTypes[Movement],0)),"?")="Yes",$G222=""),"Orders needed",IF(AND(IFERROR(INDEX(tblMoveTypes[Orders?],MATCH($E222,tblMoveTypes[Movement],0)),"?")="No",$G222&lt;&gt;""),"Leave Orders blank",IF(AND(IFERROR(INDEX(tblMoveTypes[Reason?],MATCH($E222,tblMoveTypes[Movement],0)),"?")="Yes",$I222=""),"Reason needed",IF(AND(IFERROR(INDEX(tblMoveTypes[Qty?],MATCH($E222,tblMoveTypes[Movement],0)),"?")="Yes",N($F222)&lt;=0),"Qty needed",IF($A222&lt;_xlfn.MINIFS(tblShipment[Arrival Date],tblShipment[Shipment ID],$C222),"Date before arrival",IF(AND($D222&lt;&gt;"",COUNTIFS(tblShipment[Shipment ID],$C222,tblShipment[Item Code],$D222)=0),"Item not in this shipment",IF(AND($H222&lt;&gt;"",COUNTIFS(tblCouriers[Courier],$H222,tblCouriers[Market],$B222)=0),"Courier not in this market","OK")))))))))))))))</f>
        <v>OK</v>
      </c>
    </row>
    <row r="223" customFormat="false" ht="15" hidden="false" customHeight="false" outlineLevel="0" collapsed="false">
      <c r="A223" s="27" t="n">
        <v>46230</v>
      </c>
      <c r="B223" s="26" t="s">
        <v>85</v>
      </c>
      <c r="C223" s="26" t="s">
        <v>141</v>
      </c>
      <c r="D223" s="26" t="s">
        <v>76</v>
      </c>
      <c r="E223" s="26" t="s">
        <v>73</v>
      </c>
      <c r="F223" s="28" t="n">
        <v>1</v>
      </c>
      <c r="G223" s="28"/>
      <c r="H223" s="26"/>
      <c r="I223" s="26" t="s">
        <v>87</v>
      </c>
      <c r="J223" s="26"/>
      <c r="K223" s="29" t="str">
        <f aca="false">IF($A223="","",IF(COUNTIFS(tblMoveTypes[Movement],$E223)=0,"Unknown movement type",IF(COUNTIF(tblShipment[Shipment ID],$C223)=0,"Unknown shipment",IF(COUNTIFS(tblShipment[Shipment ID],$C223,tblShipment[Market],$B223)=0,"Market does not match shipment",IF(AND(IFERROR(INDEX(tblMoveTypes[Item?],MATCH($E223,tblMoveTypes[Movement],0)),"?")="Yes",$D223=""),"Item needed",IF(AND(IFERROR(INDEX(tblMoveTypes[Item?],MATCH($E223,tblMoveTypes[Movement],0)),"?")="No",$D223&lt;&gt;""),"Leave Item blank",IF(AND(IFERROR(INDEX(tblMoveTypes[Courier?],MATCH($E223,tblMoveTypes[Movement],0)),"?")="Yes",$H223=""),"Courier needed",IF(AND(IFERROR(INDEX(tblMoveTypes[Courier?],MATCH($E223,tblMoveTypes[Movement],0)),"?")="No",$H223&lt;&gt;""),"Leave Courier blank",IF(AND(IFERROR(INDEX(tblMoveTypes[Orders?],MATCH($E223,tblMoveTypes[Movement],0)),"?")="Yes",$G223=""),"Orders needed",IF(AND(IFERROR(INDEX(tblMoveTypes[Orders?],MATCH($E223,tblMoveTypes[Movement],0)),"?")="No",$G223&lt;&gt;""),"Leave Orders blank",IF(AND(IFERROR(INDEX(tblMoveTypes[Reason?],MATCH($E223,tblMoveTypes[Movement],0)),"?")="Yes",$I223=""),"Reason needed",IF(AND(IFERROR(INDEX(tblMoveTypes[Qty?],MATCH($E223,tblMoveTypes[Movement],0)),"?")="Yes",N($F223)&lt;=0),"Qty needed",IF($A223&lt;_xlfn.MINIFS(tblShipment[Arrival Date],tblShipment[Shipment ID],$C223),"Date before arrival",IF(AND($D223&lt;&gt;"",COUNTIFS(tblShipment[Shipment ID],$C223,tblShipment[Item Code],$D223)=0),"Item not in this shipment",IF(AND($H223&lt;&gt;"",COUNTIFS(tblCouriers[Courier],$H223,tblCouriers[Market],$B223)=0),"Courier not in this market","OK")))))))))))))))</f>
        <v>OK</v>
      </c>
    </row>
    <row r="224" customFormat="false" ht="15" hidden="false" customHeight="false" outlineLevel="0" collapsed="false">
      <c r="A224" s="27" t="n">
        <v>46230</v>
      </c>
      <c r="B224" s="26" t="s">
        <v>85</v>
      </c>
      <c r="C224" s="26" t="s">
        <v>141</v>
      </c>
      <c r="D224" s="26" t="s">
        <v>99</v>
      </c>
      <c r="E224" s="26" t="s">
        <v>93</v>
      </c>
      <c r="F224" s="28" t="n">
        <v>67</v>
      </c>
      <c r="G224" s="28"/>
      <c r="H224" s="26" t="s">
        <v>91</v>
      </c>
      <c r="I224" s="26"/>
      <c r="J224" s="26"/>
      <c r="K224" s="29" t="str">
        <f aca="false">IF($A224="","",IF(COUNTIFS(tblMoveTypes[Movement],$E224)=0,"Unknown movement type",IF(COUNTIF(tblShipment[Shipment ID],$C224)=0,"Unknown shipment",IF(COUNTIFS(tblShipment[Shipment ID],$C224,tblShipment[Market],$B224)=0,"Market does not match shipment",IF(AND(IFERROR(INDEX(tblMoveTypes[Item?],MATCH($E224,tblMoveTypes[Movement],0)),"?")="Yes",$D224=""),"Item needed",IF(AND(IFERROR(INDEX(tblMoveTypes[Item?],MATCH($E224,tblMoveTypes[Movement],0)),"?")="No",$D224&lt;&gt;""),"Leave Item blank",IF(AND(IFERROR(INDEX(tblMoveTypes[Courier?],MATCH($E224,tblMoveTypes[Movement],0)),"?")="Yes",$H224=""),"Courier needed",IF(AND(IFERROR(INDEX(tblMoveTypes[Courier?],MATCH($E224,tblMoveTypes[Movement],0)),"?")="No",$H224&lt;&gt;""),"Leave Courier blank",IF(AND(IFERROR(INDEX(tblMoveTypes[Orders?],MATCH($E224,tblMoveTypes[Movement],0)),"?")="Yes",$G224=""),"Orders needed",IF(AND(IFERROR(INDEX(tblMoveTypes[Orders?],MATCH($E224,tblMoveTypes[Movement],0)),"?")="No",$G224&lt;&gt;""),"Leave Orders blank",IF(AND(IFERROR(INDEX(tblMoveTypes[Reason?],MATCH($E224,tblMoveTypes[Movement],0)),"?")="Yes",$I224=""),"Reason needed",IF(AND(IFERROR(INDEX(tblMoveTypes[Qty?],MATCH($E224,tblMoveTypes[Movement],0)),"?")="Yes",N($F224)&lt;=0),"Qty needed",IF($A224&lt;_xlfn.MINIFS(tblShipment[Arrival Date],tblShipment[Shipment ID],$C224),"Date before arrival",IF(AND($D224&lt;&gt;"",COUNTIFS(tblShipment[Shipment ID],$C224,tblShipment[Item Code],$D224)=0),"Item not in this shipment",IF(AND($H224&lt;&gt;"",COUNTIFS(tblCouriers[Courier],$H224,tblCouriers[Market],$B224)=0),"Courier not in this market","OK")))))))))))))))</f>
        <v>OK</v>
      </c>
    </row>
    <row r="225" customFormat="false" ht="15" hidden="false" customHeight="false" outlineLevel="0" collapsed="false">
      <c r="A225" s="27" t="n">
        <v>46230</v>
      </c>
      <c r="B225" s="26" t="s">
        <v>85</v>
      </c>
      <c r="C225" s="26" t="s">
        <v>141</v>
      </c>
      <c r="D225" s="26" t="s">
        <v>99</v>
      </c>
      <c r="E225" s="26" t="s">
        <v>93</v>
      </c>
      <c r="F225" s="28" t="n">
        <v>44</v>
      </c>
      <c r="G225" s="28"/>
      <c r="H225" s="26" t="s">
        <v>96</v>
      </c>
      <c r="I225" s="26"/>
      <c r="J225" s="26"/>
      <c r="K225" s="29" t="str">
        <f aca="false">IF($A225="","",IF(COUNTIFS(tblMoveTypes[Movement],$E225)=0,"Unknown movement type",IF(COUNTIF(tblShipment[Shipment ID],$C225)=0,"Unknown shipment",IF(COUNTIFS(tblShipment[Shipment ID],$C225,tblShipment[Market],$B225)=0,"Market does not match shipment",IF(AND(IFERROR(INDEX(tblMoveTypes[Item?],MATCH($E225,tblMoveTypes[Movement],0)),"?")="Yes",$D225=""),"Item needed",IF(AND(IFERROR(INDEX(tblMoveTypes[Item?],MATCH($E225,tblMoveTypes[Movement],0)),"?")="No",$D225&lt;&gt;""),"Leave Item blank",IF(AND(IFERROR(INDEX(tblMoveTypes[Courier?],MATCH($E225,tblMoveTypes[Movement],0)),"?")="Yes",$H225=""),"Courier needed",IF(AND(IFERROR(INDEX(tblMoveTypes[Courier?],MATCH($E225,tblMoveTypes[Movement],0)),"?")="No",$H225&lt;&gt;""),"Leave Courier blank",IF(AND(IFERROR(INDEX(tblMoveTypes[Orders?],MATCH($E225,tblMoveTypes[Movement],0)),"?")="Yes",$G225=""),"Orders needed",IF(AND(IFERROR(INDEX(tblMoveTypes[Orders?],MATCH($E225,tblMoveTypes[Movement],0)),"?")="No",$G225&lt;&gt;""),"Leave Orders blank",IF(AND(IFERROR(INDEX(tblMoveTypes[Reason?],MATCH($E225,tblMoveTypes[Movement],0)),"?")="Yes",$I225=""),"Reason needed",IF(AND(IFERROR(INDEX(tblMoveTypes[Qty?],MATCH($E225,tblMoveTypes[Movement],0)),"?")="Yes",N($F225)&lt;=0),"Qty needed",IF($A225&lt;_xlfn.MINIFS(tblShipment[Arrival Date],tblShipment[Shipment ID],$C225),"Date before arrival",IF(AND($D225&lt;&gt;"",COUNTIFS(tblShipment[Shipment ID],$C225,tblShipment[Item Code],$D225)=0),"Item not in this shipment",IF(AND($H225&lt;&gt;"",COUNTIFS(tblCouriers[Courier],$H225,tblCouriers[Market],$B225)=0),"Courier not in this market","OK")))))))))))))))</f>
        <v>OK</v>
      </c>
    </row>
    <row r="226" customFormat="false" ht="15" hidden="false" customHeight="false" outlineLevel="0" collapsed="false">
      <c r="A226" s="27" t="n">
        <v>46230</v>
      </c>
      <c r="B226" s="26" t="s">
        <v>85</v>
      </c>
      <c r="C226" s="26" t="s">
        <v>141</v>
      </c>
      <c r="D226" s="26" t="s">
        <v>88</v>
      </c>
      <c r="E226" s="26" t="s">
        <v>93</v>
      </c>
      <c r="F226" s="28" t="n">
        <v>23</v>
      </c>
      <c r="G226" s="28"/>
      <c r="H226" s="26" t="s">
        <v>91</v>
      </c>
      <c r="I226" s="26"/>
      <c r="J226" s="26"/>
      <c r="K226" s="29" t="str">
        <f aca="false">IF($A226="","",IF(COUNTIFS(tblMoveTypes[Movement],$E226)=0,"Unknown movement type",IF(COUNTIF(tblShipment[Shipment ID],$C226)=0,"Unknown shipment",IF(COUNTIFS(tblShipment[Shipment ID],$C226,tblShipment[Market],$B226)=0,"Market does not match shipment",IF(AND(IFERROR(INDEX(tblMoveTypes[Item?],MATCH($E226,tblMoveTypes[Movement],0)),"?")="Yes",$D226=""),"Item needed",IF(AND(IFERROR(INDEX(tblMoveTypes[Item?],MATCH($E226,tblMoveTypes[Movement],0)),"?")="No",$D226&lt;&gt;""),"Leave Item blank",IF(AND(IFERROR(INDEX(tblMoveTypes[Courier?],MATCH($E226,tblMoveTypes[Movement],0)),"?")="Yes",$H226=""),"Courier needed",IF(AND(IFERROR(INDEX(tblMoveTypes[Courier?],MATCH($E226,tblMoveTypes[Movement],0)),"?")="No",$H226&lt;&gt;""),"Leave Courier blank",IF(AND(IFERROR(INDEX(tblMoveTypes[Orders?],MATCH($E226,tblMoveTypes[Movement],0)),"?")="Yes",$G226=""),"Orders needed",IF(AND(IFERROR(INDEX(tblMoveTypes[Orders?],MATCH($E226,tblMoveTypes[Movement],0)),"?")="No",$G226&lt;&gt;""),"Leave Orders blank",IF(AND(IFERROR(INDEX(tblMoveTypes[Reason?],MATCH($E226,tblMoveTypes[Movement],0)),"?")="Yes",$I226=""),"Reason needed",IF(AND(IFERROR(INDEX(tblMoveTypes[Qty?],MATCH($E226,tblMoveTypes[Movement],0)),"?")="Yes",N($F226)&lt;=0),"Qty needed",IF($A226&lt;_xlfn.MINIFS(tblShipment[Arrival Date],tblShipment[Shipment ID],$C226),"Date before arrival",IF(AND($D226&lt;&gt;"",COUNTIFS(tblShipment[Shipment ID],$C226,tblShipment[Item Code],$D226)=0),"Item not in this shipment",IF(AND($H226&lt;&gt;"",COUNTIFS(tblCouriers[Courier],$H226,tblCouriers[Market],$B226)=0),"Courier not in this market","OK")))))))))))))))</f>
        <v>OK</v>
      </c>
    </row>
    <row r="227" customFormat="false" ht="15" hidden="false" customHeight="false" outlineLevel="0" collapsed="false">
      <c r="A227" s="27" t="n">
        <v>46230</v>
      </c>
      <c r="B227" s="26" t="s">
        <v>85</v>
      </c>
      <c r="C227" s="26" t="s">
        <v>141</v>
      </c>
      <c r="D227" s="26" t="s">
        <v>88</v>
      </c>
      <c r="E227" s="26" t="s">
        <v>93</v>
      </c>
      <c r="F227" s="28" t="n">
        <v>16</v>
      </c>
      <c r="G227" s="28"/>
      <c r="H227" s="26" t="s">
        <v>96</v>
      </c>
      <c r="I227" s="26"/>
      <c r="J227" s="26"/>
      <c r="K227" s="29" t="str">
        <f aca="false">IF($A227="","",IF(COUNTIFS(tblMoveTypes[Movement],$E227)=0,"Unknown movement type",IF(COUNTIF(tblShipment[Shipment ID],$C227)=0,"Unknown shipment",IF(COUNTIFS(tblShipment[Shipment ID],$C227,tblShipment[Market],$B227)=0,"Market does not match shipment",IF(AND(IFERROR(INDEX(tblMoveTypes[Item?],MATCH($E227,tblMoveTypes[Movement],0)),"?")="Yes",$D227=""),"Item needed",IF(AND(IFERROR(INDEX(tblMoveTypes[Item?],MATCH($E227,tblMoveTypes[Movement],0)),"?")="No",$D227&lt;&gt;""),"Leave Item blank",IF(AND(IFERROR(INDEX(tblMoveTypes[Courier?],MATCH($E227,tblMoveTypes[Movement],0)),"?")="Yes",$H227=""),"Courier needed",IF(AND(IFERROR(INDEX(tblMoveTypes[Courier?],MATCH($E227,tblMoveTypes[Movement],0)),"?")="No",$H227&lt;&gt;""),"Leave Courier blank",IF(AND(IFERROR(INDEX(tblMoveTypes[Orders?],MATCH($E227,tblMoveTypes[Movement],0)),"?")="Yes",$G227=""),"Orders needed",IF(AND(IFERROR(INDEX(tblMoveTypes[Orders?],MATCH($E227,tblMoveTypes[Movement],0)),"?")="No",$G227&lt;&gt;""),"Leave Orders blank",IF(AND(IFERROR(INDEX(tblMoveTypes[Reason?],MATCH($E227,tblMoveTypes[Movement],0)),"?")="Yes",$I227=""),"Reason needed",IF(AND(IFERROR(INDEX(tblMoveTypes[Qty?],MATCH($E227,tblMoveTypes[Movement],0)),"?")="Yes",N($F227)&lt;=0),"Qty needed",IF($A227&lt;_xlfn.MINIFS(tblShipment[Arrival Date],tblShipment[Shipment ID],$C227),"Date before arrival",IF(AND($D227&lt;&gt;"",COUNTIFS(tblShipment[Shipment ID],$C227,tblShipment[Item Code],$D227)=0),"Item not in this shipment",IF(AND($H227&lt;&gt;"",COUNTIFS(tblCouriers[Courier],$H227,tblCouriers[Market],$B227)=0),"Courier not in this market","OK")))))))))))))))</f>
        <v>OK</v>
      </c>
    </row>
    <row r="228" customFormat="false" ht="15" hidden="false" customHeight="false" outlineLevel="0" collapsed="false">
      <c r="A228" s="27" t="n">
        <v>46230</v>
      </c>
      <c r="B228" s="26" t="s">
        <v>85</v>
      </c>
      <c r="C228" s="26" t="s">
        <v>141</v>
      </c>
      <c r="D228" s="26" t="s">
        <v>76</v>
      </c>
      <c r="E228" s="26" t="s">
        <v>93</v>
      </c>
      <c r="F228" s="28" t="n">
        <v>22</v>
      </c>
      <c r="G228" s="28"/>
      <c r="H228" s="26" t="s">
        <v>91</v>
      </c>
      <c r="I228" s="26"/>
      <c r="J228" s="26"/>
      <c r="K228" s="29" t="str">
        <f aca="false">IF($A228="","",IF(COUNTIFS(tblMoveTypes[Movement],$E228)=0,"Unknown movement type",IF(COUNTIF(tblShipment[Shipment ID],$C228)=0,"Unknown shipment",IF(COUNTIFS(tblShipment[Shipment ID],$C228,tblShipment[Market],$B228)=0,"Market does not match shipment",IF(AND(IFERROR(INDEX(tblMoveTypes[Item?],MATCH($E228,tblMoveTypes[Movement],0)),"?")="Yes",$D228=""),"Item needed",IF(AND(IFERROR(INDEX(tblMoveTypes[Item?],MATCH($E228,tblMoveTypes[Movement],0)),"?")="No",$D228&lt;&gt;""),"Leave Item blank",IF(AND(IFERROR(INDEX(tblMoveTypes[Courier?],MATCH($E228,tblMoveTypes[Movement],0)),"?")="Yes",$H228=""),"Courier needed",IF(AND(IFERROR(INDEX(tblMoveTypes[Courier?],MATCH($E228,tblMoveTypes[Movement],0)),"?")="No",$H228&lt;&gt;""),"Leave Courier blank",IF(AND(IFERROR(INDEX(tblMoveTypes[Orders?],MATCH($E228,tblMoveTypes[Movement],0)),"?")="Yes",$G228=""),"Orders needed",IF(AND(IFERROR(INDEX(tblMoveTypes[Orders?],MATCH($E228,tblMoveTypes[Movement],0)),"?")="No",$G228&lt;&gt;""),"Leave Orders blank",IF(AND(IFERROR(INDEX(tblMoveTypes[Reason?],MATCH($E228,tblMoveTypes[Movement],0)),"?")="Yes",$I228=""),"Reason needed",IF(AND(IFERROR(INDEX(tblMoveTypes[Qty?],MATCH($E228,tblMoveTypes[Movement],0)),"?")="Yes",N($F228)&lt;=0),"Qty needed",IF($A228&lt;_xlfn.MINIFS(tblShipment[Arrival Date],tblShipment[Shipment ID],$C228),"Date before arrival",IF(AND($D228&lt;&gt;"",COUNTIFS(tblShipment[Shipment ID],$C228,tblShipment[Item Code],$D228)=0),"Item not in this shipment",IF(AND($H228&lt;&gt;"",COUNTIFS(tblCouriers[Courier],$H228,tblCouriers[Market],$B228)=0),"Courier not in this market","OK")))))))))))))))</f>
        <v>OK</v>
      </c>
    </row>
    <row r="229" customFormat="false" ht="15" hidden="false" customHeight="false" outlineLevel="0" collapsed="false">
      <c r="A229" s="27" t="n">
        <v>46230</v>
      </c>
      <c r="B229" s="26" t="s">
        <v>85</v>
      </c>
      <c r="C229" s="26" t="s">
        <v>141</v>
      </c>
      <c r="D229" s="26" t="s">
        <v>76</v>
      </c>
      <c r="E229" s="26" t="s">
        <v>93</v>
      </c>
      <c r="F229" s="28" t="n">
        <v>14</v>
      </c>
      <c r="G229" s="28"/>
      <c r="H229" s="26" t="s">
        <v>96</v>
      </c>
      <c r="I229" s="26"/>
      <c r="J229" s="26"/>
      <c r="K229" s="29" t="str">
        <f aca="false">IF($A229="","",IF(COUNTIFS(tblMoveTypes[Movement],$E229)=0,"Unknown movement type",IF(COUNTIF(tblShipment[Shipment ID],$C229)=0,"Unknown shipment",IF(COUNTIFS(tblShipment[Shipment ID],$C229,tblShipment[Market],$B229)=0,"Market does not match shipment",IF(AND(IFERROR(INDEX(tblMoveTypes[Item?],MATCH($E229,tblMoveTypes[Movement],0)),"?")="Yes",$D229=""),"Item needed",IF(AND(IFERROR(INDEX(tblMoveTypes[Item?],MATCH($E229,tblMoveTypes[Movement],0)),"?")="No",$D229&lt;&gt;""),"Leave Item blank",IF(AND(IFERROR(INDEX(tblMoveTypes[Courier?],MATCH($E229,tblMoveTypes[Movement],0)),"?")="Yes",$H229=""),"Courier needed",IF(AND(IFERROR(INDEX(tblMoveTypes[Courier?],MATCH($E229,tblMoveTypes[Movement],0)),"?")="No",$H229&lt;&gt;""),"Leave Courier blank",IF(AND(IFERROR(INDEX(tblMoveTypes[Orders?],MATCH($E229,tblMoveTypes[Movement],0)),"?")="Yes",$G229=""),"Orders needed",IF(AND(IFERROR(INDEX(tblMoveTypes[Orders?],MATCH($E229,tblMoveTypes[Movement],0)),"?")="No",$G229&lt;&gt;""),"Leave Orders blank",IF(AND(IFERROR(INDEX(tblMoveTypes[Reason?],MATCH($E229,tblMoveTypes[Movement],0)),"?")="Yes",$I229=""),"Reason needed",IF(AND(IFERROR(INDEX(tblMoveTypes[Qty?],MATCH($E229,tblMoveTypes[Movement],0)),"?")="Yes",N($F229)&lt;=0),"Qty needed",IF($A229&lt;_xlfn.MINIFS(tblShipment[Arrival Date],tblShipment[Shipment ID],$C229),"Date before arrival",IF(AND($D229&lt;&gt;"",COUNTIFS(tblShipment[Shipment ID],$C229,tblShipment[Item Code],$D229)=0),"Item not in this shipment",IF(AND($H229&lt;&gt;"",COUNTIFS(tblCouriers[Courier],$H229,tblCouriers[Market],$B229)=0),"Courier not in this market","OK")))))))))))))))</f>
        <v>OK</v>
      </c>
    </row>
    <row r="230" customFormat="false" ht="15" hidden="false" customHeight="false" outlineLevel="0" collapsed="false">
      <c r="A230" s="27" t="n">
        <v>46230</v>
      </c>
      <c r="B230" s="26" t="s">
        <v>85</v>
      </c>
      <c r="C230" s="26" t="s">
        <v>141</v>
      </c>
      <c r="D230" s="26"/>
      <c r="E230" s="26" t="s">
        <v>104</v>
      </c>
      <c r="F230" s="28"/>
      <c r="G230" s="28" t="n">
        <v>17</v>
      </c>
      <c r="H230" s="26" t="s">
        <v>91</v>
      </c>
      <c r="I230" s="26"/>
      <c r="J230" s="26"/>
      <c r="K230" s="29" t="str">
        <f aca="false">IF($A230="","",IF(COUNTIFS(tblMoveTypes[Movement],$E230)=0,"Unknown movement type",IF(COUNTIF(tblShipment[Shipment ID],$C230)=0,"Unknown shipment",IF(COUNTIFS(tblShipment[Shipment ID],$C230,tblShipment[Market],$B230)=0,"Market does not match shipment",IF(AND(IFERROR(INDEX(tblMoveTypes[Item?],MATCH($E230,tblMoveTypes[Movement],0)),"?")="Yes",$D230=""),"Item needed",IF(AND(IFERROR(INDEX(tblMoveTypes[Item?],MATCH($E230,tblMoveTypes[Movement],0)),"?")="No",$D230&lt;&gt;""),"Leave Item blank",IF(AND(IFERROR(INDEX(tblMoveTypes[Courier?],MATCH($E230,tblMoveTypes[Movement],0)),"?")="Yes",$H230=""),"Courier needed",IF(AND(IFERROR(INDEX(tblMoveTypes[Courier?],MATCH($E230,tblMoveTypes[Movement],0)),"?")="No",$H230&lt;&gt;""),"Leave Courier blank",IF(AND(IFERROR(INDEX(tblMoveTypes[Orders?],MATCH($E230,tblMoveTypes[Movement],0)),"?")="Yes",$G230=""),"Orders needed",IF(AND(IFERROR(INDEX(tblMoveTypes[Orders?],MATCH($E230,tblMoveTypes[Movement],0)),"?")="No",$G230&lt;&gt;""),"Leave Orders blank",IF(AND(IFERROR(INDEX(tblMoveTypes[Reason?],MATCH($E230,tblMoveTypes[Movement],0)),"?")="Yes",$I230=""),"Reason needed",IF(AND(IFERROR(INDEX(tblMoveTypes[Qty?],MATCH($E230,tblMoveTypes[Movement],0)),"?")="Yes",N($F230)&lt;=0),"Qty needed",IF($A230&lt;_xlfn.MINIFS(tblShipment[Arrival Date],tblShipment[Shipment ID],$C230),"Date before arrival",IF(AND($D230&lt;&gt;"",COUNTIFS(tblShipment[Shipment ID],$C230,tblShipment[Item Code],$D230)=0),"Item not in this shipment",IF(AND($H230&lt;&gt;"",COUNTIFS(tblCouriers[Courier],$H230,tblCouriers[Market],$B230)=0),"Courier not in this market","OK")))))))))))))))</f>
        <v>OK</v>
      </c>
    </row>
    <row r="231" customFormat="false" ht="15" hidden="false" customHeight="false" outlineLevel="0" collapsed="false">
      <c r="A231" s="27" t="n">
        <v>46230</v>
      </c>
      <c r="B231" s="26" t="s">
        <v>85</v>
      </c>
      <c r="C231" s="26" t="s">
        <v>141</v>
      </c>
      <c r="D231" s="26"/>
      <c r="E231" s="26" t="s">
        <v>104</v>
      </c>
      <c r="F231" s="28"/>
      <c r="G231" s="28" t="n">
        <v>11</v>
      </c>
      <c r="H231" s="26" t="s">
        <v>96</v>
      </c>
      <c r="I231" s="26"/>
      <c r="J231" s="26"/>
      <c r="K231" s="29" t="str">
        <f aca="false">IF($A231="","",IF(COUNTIFS(tblMoveTypes[Movement],$E231)=0,"Unknown movement type",IF(COUNTIF(tblShipment[Shipment ID],$C231)=0,"Unknown shipment",IF(COUNTIFS(tblShipment[Shipment ID],$C231,tblShipment[Market],$B231)=0,"Market does not match shipment",IF(AND(IFERROR(INDEX(tblMoveTypes[Item?],MATCH($E231,tblMoveTypes[Movement],0)),"?")="Yes",$D231=""),"Item needed",IF(AND(IFERROR(INDEX(tblMoveTypes[Item?],MATCH($E231,tblMoveTypes[Movement],0)),"?")="No",$D231&lt;&gt;""),"Leave Item blank",IF(AND(IFERROR(INDEX(tblMoveTypes[Courier?],MATCH($E231,tblMoveTypes[Movement],0)),"?")="Yes",$H231=""),"Courier needed",IF(AND(IFERROR(INDEX(tblMoveTypes[Courier?],MATCH($E231,tblMoveTypes[Movement],0)),"?")="No",$H231&lt;&gt;""),"Leave Courier blank",IF(AND(IFERROR(INDEX(tblMoveTypes[Orders?],MATCH($E231,tblMoveTypes[Movement],0)),"?")="Yes",$G231=""),"Orders needed",IF(AND(IFERROR(INDEX(tblMoveTypes[Orders?],MATCH($E231,tblMoveTypes[Movement],0)),"?")="No",$G231&lt;&gt;""),"Leave Orders blank",IF(AND(IFERROR(INDEX(tblMoveTypes[Reason?],MATCH($E231,tblMoveTypes[Movement],0)),"?")="Yes",$I231=""),"Reason needed",IF(AND(IFERROR(INDEX(tblMoveTypes[Qty?],MATCH($E231,tblMoveTypes[Movement],0)),"?")="Yes",N($F231)&lt;=0),"Qty needed",IF($A231&lt;_xlfn.MINIFS(tblShipment[Arrival Date],tblShipment[Shipment ID],$C231),"Date before arrival",IF(AND($D231&lt;&gt;"",COUNTIFS(tblShipment[Shipment ID],$C231,tblShipment[Item Code],$D231)=0),"Item not in this shipment",IF(AND($H231&lt;&gt;"",COUNTIFS(tblCouriers[Courier],$H231,tblCouriers[Market],$B231)=0),"Courier not in this market","OK")))))))))))))))</f>
        <v>OK</v>
      </c>
    </row>
    <row r="232" customFormat="false" ht="15" hidden="false" customHeight="false" outlineLevel="0" collapsed="false">
      <c r="A232" s="27" t="n">
        <v>46230</v>
      </c>
      <c r="B232" s="26" t="s">
        <v>85</v>
      </c>
      <c r="C232" s="26" t="s">
        <v>141</v>
      </c>
      <c r="D232" s="26"/>
      <c r="E232" s="26" t="s">
        <v>106</v>
      </c>
      <c r="F232" s="28" t="n">
        <v>32</v>
      </c>
      <c r="G232" s="28" t="n">
        <v>5</v>
      </c>
      <c r="H232" s="26" t="s">
        <v>96</v>
      </c>
      <c r="I232" s="26"/>
      <c r="J232" s="26"/>
      <c r="K232" s="29" t="str">
        <f aca="false">IF($A232="","",IF(COUNTIFS(tblMoveTypes[Movement],$E232)=0,"Unknown movement type",IF(COUNTIF(tblShipment[Shipment ID],$C232)=0,"Unknown shipment",IF(COUNTIFS(tblShipment[Shipment ID],$C232,tblShipment[Market],$B232)=0,"Market does not match shipment",IF(AND(IFERROR(INDEX(tblMoveTypes[Item?],MATCH($E232,tblMoveTypes[Movement],0)),"?")="Yes",$D232=""),"Item needed",IF(AND(IFERROR(INDEX(tblMoveTypes[Item?],MATCH($E232,tblMoveTypes[Movement],0)),"?")="No",$D232&lt;&gt;""),"Leave Item blank",IF(AND(IFERROR(INDEX(tblMoveTypes[Courier?],MATCH($E232,tblMoveTypes[Movement],0)),"?")="Yes",$H232=""),"Courier needed",IF(AND(IFERROR(INDEX(tblMoveTypes[Courier?],MATCH($E232,tblMoveTypes[Movement],0)),"?")="No",$H232&lt;&gt;""),"Leave Courier blank",IF(AND(IFERROR(INDEX(tblMoveTypes[Orders?],MATCH($E232,tblMoveTypes[Movement],0)),"?")="Yes",$G232=""),"Orders needed",IF(AND(IFERROR(INDEX(tblMoveTypes[Orders?],MATCH($E232,tblMoveTypes[Movement],0)),"?")="No",$G232&lt;&gt;""),"Leave Orders blank",IF(AND(IFERROR(INDEX(tblMoveTypes[Reason?],MATCH($E232,tblMoveTypes[Movement],0)),"?")="Yes",$I232=""),"Reason needed",IF(AND(IFERROR(INDEX(tblMoveTypes[Qty?],MATCH($E232,tblMoveTypes[Movement],0)),"?")="Yes",N($F232)&lt;=0),"Qty needed",IF($A232&lt;_xlfn.MINIFS(tblShipment[Arrival Date],tblShipment[Shipment ID],$C232),"Date before arrival",IF(AND($D232&lt;&gt;"",COUNTIFS(tblShipment[Shipment ID],$C232,tblShipment[Item Code],$D232)=0),"Item not in this shipment",IF(AND($H232&lt;&gt;"",COUNTIFS(tblCouriers[Courier],$H232,tblCouriers[Market],$B232)=0),"Courier not in this market","OK")))))))))))))))</f>
        <v>OK</v>
      </c>
    </row>
    <row r="233" customFormat="false" ht="15" hidden="false" customHeight="false" outlineLevel="0" collapsed="false">
      <c r="A233" s="27" t="n">
        <v>46230</v>
      </c>
      <c r="B233" s="26" t="s">
        <v>90</v>
      </c>
      <c r="C233" s="26" t="s">
        <v>148</v>
      </c>
      <c r="D233" s="26"/>
      <c r="E233" s="26" t="s">
        <v>108</v>
      </c>
      <c r="F233" s="28" t="n">
        <v>12</v>
      </c>
      <c r="G233" s="28" t="n">
        <v>1</v>
      </c>
      <c r="H233" s="26" t="s">
        <v>101</v>
      </c>
      <c r="I233" s="26" t="s">
        <v>107</v>
      </c>
      <c r="J233" s="26"/>
      <c r="K233" s="29" t="str">
        <f aca="false">IF($A233="","",IF(COUNTIFS(tblMoveTypes[Movement],$E233)=0,"Unknown movement type",IF(COUNTIF(tblShipment[Shipment ID],$C233)=0,"Unknown shipment",IF(COUNTIFS(tblShipment[Shipment ID],$C233,tblShipment[Market],$B233)=0,"Market does not match shipment",IF(AND(IFERROR(INDEX(tblMoveTypes[Item?],MATCH($E233,tblMoveTypes[Movement],0)),"?")="Yes",$D233=""),"Item needed",IF(AND(IFERROR(INDEX(tblMoveTypes[Item?],MATCH($E233,tblMoveTypes[Movement],0)),"?")="No",$D233&lt;&gt;""),"Leave Item blank",IF(AND(IFERROR(INDEX(tblMoveTypes[Courier?],MATCH($E233,tblMoveTypes[Movement],0)),"?")="Yes",$H233=""),"Courier needed",IF(AND(IFERROR(INDEX(tblMoveTypes[Courier?],MATCH($E233,tblMoveTypes[Movement],0)),"?")="No",$H233&lt;&gt;""),"Leave Courier blank",IF(AND(IFERROR(INDEX(tblMoveTypes[Orders?],MATCH($E233,tblMoveTypes[Movement],0)),"?")="Yes",$G233=""),"Orders needed",IF(AND(IFERROR(INDEX(tblMoveTypes[Orders?],MATCH($E233,tblMoveTypes[Movement],0)),"?")="No",$G233&lt;&gt;""),"Leave Orders blank",IF(AND(IFERROR(INDEX(tblMoveTypes[Reason?],MATCH($E233,tblMoveTypes[Movement],0)),"?")="Yes",$I233=""),"Reason needed",IF(AND(IFERROR(INDEX(tblMoveTypes[Qty?],MATCH($E233,tblMoveTypes[Movement],0)),"?")="Yes",N($F233)&lt;=0),"Qty needed",IF($A233&lt;_xlfn.MINIFS(tblShipment[Arrival Date],tblShipment[Shipment ID],$C233),"Date before arrival",IF(AND($D233&lt;&gt;"",COUNTIFS(tblShipment[Shipment ID],$C233,tblShipment[Item Code],$D233)=0),"Item not in this shipment",IF(AND($H233&lt;&gt;"",COUNTIFS(tblCouriers[Courier],$H233,tblCouriers[Market],$B233)=0),"Courier not in this market","OK")))))))))))))))</f>
        <v>OK</v>
      </c>
    </row>
    <row r="234" customFormat="false" ht="15" hidden="false" customHeight="false" outlineLevel="0" collapsed="false">
      <c r="A234" s="27" t="n">
        <v>46230</v>
      </c>
      <c r="B234" s="26" t="s">
        <v>90</v>
      </c>
      <c r="C234" s="26" t="s">
        <v>148</v>
      </c>
      <c r="D234" s="26" t="s">
        <v>67</v>
      </c>
      <c r="E234" s="26" t="s">
        <v>110</v>
      </c>
      <c r="F234" s="28" t="n">
        <v>8</v>
      </c>
      <c r="G234" s="28"/>
      <c r="H234" s="26"/>
      <c r="I234" s="26"/>
      <c r="J234" s="26"/>
      <c r="K234" s="29" t="str">
        <f aca="false">IF($A234="","",IF(COUNTIFS(tblMoveTypes[Movement],$E234)=0,"Unknown movement type",IF(COUNTIF(tblShipment[Shipment ID],$C234)=0,"Unknown shipment",IF(COUNTIFS(tblShipment[Shipment ID],$C234,tblShipment[Market],$B234)=0,"Market does not match shipment",IF(AND(IFERROR(INDEX(tblMoveTypes[Item?],MATCH($E234,tblMoveTypes[Movement],0)),"?")="Yes",$D234=""),"Item needed",IF(AND(IFERROR(INDEX(tblMoveTypes[Item?],MATCH($E234,tblMoveTypes[Movement],0)),"?")="No",$D234&lt;&gt;""),"Leave Item blank",IF(AND(IFERROR(INDEX(tblMoveTypes[Courier?],MATCH($E234,tblMoveTypes[Movement],0)),"?")="Yes",$H234=""),"Courier needed",IF(AND(IFERROR(INDEX(tblMoveTypes[Courier?],MATCH($E234,tblMoveTypes[Movement],0)),"?")="No",$H234&lt;&gt;""),"Leave Courier blank",IF(AND(IFERROR(INDEX(tblMoveTypes[Orders?],MATCH($E234,tblMoveTypes[Movement],0)),"?")="Yes",$G234=""),"Orders needed",IF(AND(IFERROR(INDEX(tblMoveTypes[Orders?],MATCH($E234,tblMoveTypes[Movement],0)),"?")="No",$G234&lt;&gt;""),"Leave Orders blank",IF(AND(IFERROR(INDEX(tblMoveTypes[Reason?],MATCH($E234,tblMoveTypes[Movement],0)),"?")="Yes",$I234=""),"Reason needed",IF(AND(IFERROR(INDEX(tblMoveTypes[Qty?],MATCH($E234,tblMoveTypes[Movement],0)),"?")="Yes",N($F234)&lt;=0),"Qty needed",IF($A234&lt;_xlfn.MINIFS(tblShipment[Arrival Date],tblShipment[Shipment ID],$C234),"Date before arrival",IF(AND($D234&lt;&gt;"",COUNTIFS(tblShipment[Shipment ID],$C234,tblShipment[Item Code],$D234)=0),"Item not in this shipment",IF(AND($H234&lt;&gt;"",COUNTIFS(tblCouriers[Courier],$H234,tblCouriers[Market],$B234)=0),"Courier not in this market","OK")))))))))))))))</f>
        <v>OK</v>
      </c>
    </row>
    <row r="235" customFormat="false" ht="15" hidden="false" customHeight="false" outlineLevel="0" collapsed="false">
      <c r="A235" s="27" t="n">
        <v>46230</v>
      </c>
      <c r="B235" s="26" t="s">
        <v>90</v>
      </c>
      <c r="C235" s="26" t="s">
        <v>148</v>
      </c>
      <c r="D235" s="26" t="s">
        <v>67</v>
      </c>
      <c r="E235" s="26" t="s">
        <v>112</v>
      </c>
      <c r="F235" s="28" t="n">
        <v>4</v>
      </c>
      <c r="G235" s="28"/>
      <c r="H235" s="26"/>
      <c r="I235" s="26" t="s">
        <v>72</v>
      </c>
      <c r="J235" s="26"/>
      <c r="K235" s="29" t="str">
        <f aca="false">IF($A235="","",IF(COUNTIFS(tblMoveTypes[Movement],$E235)=0,"Unknown movement type",IF(COUNTIF(tblShipment[Shipment ID],$C235)=0,"Unknown shipment",IF(COUNTIFS(tblShipment[Shipment ID],$C235,tblShipment[Market],$B235)=0,"Market does not match shipment",IF(AND(IFERROR(INDEX(tblMoveTypes[Item?],MATCH($E235,tblMoveTypes[Movement],0)),"?")="Yes",$D235=""),"Item needed",IF(AND(IFERROR(INDEX(tblMoveTypes[Item?],MATCH($E235,tblMoveTypes[Movement],0)),"?")="No",$D235&lt;&gt;""),"Leave Item blank",IF(AND(IFERROR(INDEX(tblMoveTypes[Courier?],MATCH($E235,tblMoveTypes[Movement],0)),"?")="Yes",$H235=""),"Courier needed",IF(AND(IFERROR(INDEX(tblMoveTypes[Courier?],MATCH($E235,tblMoveTypes[Movement],0)),"?")="No",$H235&lt;&gt;""),"Leave Courier blank",IF(AND(IFERROR(INDEX(tblMoveTypes[Orders?],MATCH($E235,tblMoveTypes[Movement],0)),"?")="Yes",$G235=""),"Orders needed",IF(AND(IFERROR(INDEX(tblMoveTypes[Orders?],MATCH($E235,tblMoveTypes[Movement],0)),"?")="No",$G235&lt;&gt;""),"Leave Orders blank",IF(AND(IFERROR(INDEX(tblMoveTypes[Reason?],MATCH($E235,tblMoveTypes[Movement],0)),"?")="Yes",$I235=""),"Reason needed",IF(AND(IFERROR(INDEX(tblMoveTypes[Qty?],MATCH($E235,tblMoveTypes[Movement],0)),"?")="Yes",N($F235)&lt;=0),"Qty needed",IF($A235&lt;_xlfn.MINIFS(tblShipment[Arrival Date],tblShipment[Shipment ID],$C235),"Date before arrival",IF(AND($D235&lt;&gt;"",COUNTIFS(tblShipment[Shipment ID],$C235,tblShipment[Item Code],$D235)=0),"Item not in this shipment",IF(AND($H235&lt;&gt;"",COUNTIFS(tblCouriers[Courier],$H235,tblCouriers[Market],$B235)=0),"Courier not in this market","OK")))))))))))))))</f>
        <v>OK</v>
      </c>
    </row>
    <row r="236" customFormat="false" ht="15" hidden="false" customHeight="false" outlineLevel="0" collapsed="false">
      <c r="A236" s="27" t="n">
        <v>46230</v>
      </c>
      <c r="B236" s="26" t="s">
        <v>78</v>
      </c>
      <c r="C236" s="26" t="s">
        <v>132</v>
      </c>
      <c r="D236" s="26"/>
      <c r="E236" s="26" t="s">
        <v>106</v>
      </c>
      <c r="F236" s="28" t="n">
        <v>18</v>
      </c>
      <c r="G236" s="28" t="n">
        <v>2</v>
      </c>
      <c r="H236" s="26" t="s">
        <v>86</v>
      </c>
      <c r="I236" s="26"/>
      <c r="J236" s="26"/>
      <c r="K236" s="29" t="str">
        <f aca="false">IF($A236="","",IF(COUNTIFS(tblMoveTypes[Movement],$E236)=0,"Unknown movement type",IF(COUNTIF(tblShipment[Shipment ID],$C236)=0,"Unknown shipment",IF(COUNTIFS(tblShipment[Shipment ID],$C236,tblShipment[Market],$B236)=0,"Market does not match shipment",IF(AND(IFERROR(INDEX(tblMoveTypes[Item?],MATCH($E236,tblMoveTypes[Movement],0)),"?")="Yes",$D236=""),"Item needed",IF(AND(IFERROR(INDEX(tblMoveTypes[Item?],MATCH($E236,tblMoveTypes[Movement],0)),"?")="No",$D236&lt;&gt;""),"Leave Item blank",IF(AND(IFERROR(INDEX(tblMoveTypes[Courier?],MATCH($E236,tblMoveTypes[Movement],0)),"?")="Yes",$H236=""),"Courier needed",IF(AND(IFERROR(INDEX(tblMoveTypes[Courier?],MATCH($E236,tblMoveTypes[Movement],0)),"?")="No",$H236&lt;&gt;""),"Leave Courier blank",IF(AND(IFERROR(INDEX(tblMoveTypes[Orders?],MATCH($E236,tblMoveTypes[Movement],0)),"?")="Yes",$G236=""),"Orders needed",IF(AND(IFERROR(INDEX(tblMoveTypes[Orders?],MATCH($E236,tblMoveTypes[Movement],0)),"?")="No",$G236&lt;&gt;""),"Leave Orders blank",IF(AND(IFERROR(INDEX(tblMoveTypes[Reason?],MATCH($E236,tblMoveTypes[Movement],0)),"?")="Yes",$I236=""),"Reason needed",IF(AND(IFERROR(INDEX(tblMoveTypes[Qty?],MATCH($E236,tblMoveTypes[Movement],0)),"?")="Yes",N($F236)&lt;=0),"Qty needed",IF($A236&lt;_xlfn.MINIFS(tblShipment[Arrival Date],tblShipment[Shipment ID],$C236),"Date before arrival",IF(AND($D236&lt;&gt;"",COUNTIFS(tblShipment[Shipment ID],$C236,tblShipment[Item Code],$D236)=0),"Item not in this shipment",IF(AND($H236&lt;&gt;"",COUNTIFS(tblCouriers[Courier],$H236,tblCouriers[Market],$B236)=0),"Courier not in this market","OK")))))))))))))))</f>
        <v>OK</v>
      </c>
    </row>
    <row r="237" customFormat="false" ht="15" hidden="false" customHeight="false" outlineLevel="0" collapsed="false">
      <c r="A237" s="27" t="n">
        <v>46230</v>
      </c>
      <c r="B237" s="26" t="s">
        <v>78</v>
      </c>
      <c r="C237" s="26" t="s">
        <v>132</v>
      </c>
      <c r="D237" s="26"/>
      <c r="E237" s="26" t="s">
        <v>108</v>
      </c>
      <c r="F237" s="28" t="n">
        <v>3</v>
      </c>
      <c r="G237" s="28" t="n">
        <v>1</v>
      </c>
      <c r="H237" s="26" t="s">
        <v>86</v>
      </c>
      <c r="I237" s="26" t="s">
        <v>102</v>
      </c>
      <c r="J237" s="26"/>
      <c r="K237" s="29" t="str">
        <f aca="false">IF($A237="","",IF(COUNTIFS(tblMoveTypes[Movement],$E237)=0,"Unknown movement type",IF(COUNTIF(tblShipment[Shipment ID],$C237)=0,"Unknown shipment",IF(COUNTIFS(tblShipment[Shipment ID],$C237,tblShipment[Market],$B237)=0,"Market does not match shipment",IF(AND(IFERROR(INDEX(tblMoveTypes[Item?],MATCH($E237,tblMoveTypes[Movement],0)),"?")="Yes",$D237=""),"Item needed",IF(AND(IFERROR(INDEX(tblMoveTypes[Item?],MATCH($E237,tblMoveTypes[Movement],0)),"?")="No",$D237&lt;&gt;""),"Leave Item blank",IF(AND(IFERROR(INDEX(tblMoveTypes[Courier?],MATCH($E237,tblMoveTypes[Movement],0)),"?")="Yes",$H237=""),"Courier needed",IF(AND(IFERROR(INDEX(tblMoveTypes[Courier?],MATCH($E237,tblMoveTypes[Movement],0)),"?")="No",$H237&lt;&gt;""),"Leave Courier blank",IF(AND(IFERROR(INDEX(tblMoveTypes[Orders?],MATCH($E237,tblMoveTypes[Movement],0)),"?")="Yes",$G237=""),"Orders needed",IF(AND(IFERROR(INDEX(tblMoveTypes[Orders?],MATCH($E237,tblMoveTypes[Movement],0)),"?")="No",$G237&lt;&gt;""),"Leave Orders blank",IF(AND(IFERROR(INDEX(tblMoveTypes[Reason?],MATCH($E237,tblMoveTypes[Movement],0)),"?")="Yes",$I237=""),"Reason needed",IF(AND(IFERROR(INDEX(tblMoveTypes[Qty?],MATCH($E237,tblMoveTypes[Movement],0)),"?")="Yes",N($F237)&lt;=0),"Qty needed",IF($A237&lt;_xlfn.MINIFS(tblShipment[Arrival Date],tblShipment[Shipment ID],$C237),"Date before arrival",IF(AND($D237&lt;&gt;"",COUNTIFS(tblShipment[Shipment ID],$C237,tblShipment[Item Code],$D237)=0),"Item not in this shipment",IF(AND($H237&lt;&gt;"",COUNTIFS(tblCouriers[Courier],$H237,tblCouriers[Market],$B237)=0),"Courier not in this market","OK")))))))))))))))</f>
        <v>OK</v>
      </c>
    </row>
    <row r="238" customFormat="false" ht="15" hidden="false" customHeight="false" outlineLevel="0" collapsed="false">
      <c r="A238" s="27" t="n">
        <v>46230</v>
      </c>
      <c r="B238" s="26" t="s">
        <v>78</v>
      </c>
      <c r="C238" s="26" t="s">
        <v>132</v>
      </c>
      <c r="D238" s="26" t="s">
        <v>76</v>
      </c>
      <c r="E238" s="26" t="s">
        <v>110</v>
      </c>
      <c r="F238" s="28" t="n">
        <v>2</v>
      </c>
      <c r="G238" s="28"/>
      <c r="H238" s="26"/>
      <c r="I238" s="26"/>
      <c r="J238" s="26"/>
      <c r="K238" s="29" t="str">
        <f aca="false">IF($A238="","",IF(COUNTIFS(tblMoveTypes[Movement],$E238)=0,"Unknown movement type",IF(COUNTIF(tblShipment[Shipment ID],$C238)=0,"Unknown shipment",IF(COUNTIFS(tblShipment[Shipment ID],$C238,tblShipment[Market],$B238)=0,"Market does not match shipment",IF(AND(IFERROR(INDEX(tblMoveTypes[Item?],MATCH($E238,tblMoveTypes[Movement],0)),"?")="Yes",$D238=""),"Item needed",IF(AND(IFERROR(INDEX(tblMoveTypes[Item?],MATCH($E238,tblMoveTypes[Movement],0)),"?")="No",$D238&lt;&gt;""),"Leave Item blank",IF(AND(IFERROR(INDEX(tblMoveTypes[Courier?],MATCH($E238,tblMoveTypes[Movement],0)),"?")="Yes",$H238=""),"Courier needed",IF(AND(IFERROR(INDEX(tblMoveTypes[Courier?],MATCH($E238,tblMoveTypes[Movement],0)),"?")="No",$H238&lt;&gt;""),"Leave Courier blank",IF(AND(IFERROR(INDEX(tblMoveTypes[Orders?],MATCH($E238,tblMoveTypes[Movement],0)),"?")="Yes",$G238=""),"Orders needed",IF(AND(IFERROR(INDEX(tblMoveTypes[Orders?],MATCH($E238,tblMoveTypes[Movement],0)),"?")="No",$G238&lt;&gt;""),"Leave Orders blank",IF(AND(IFERROR(INDEX(tblMoveTypes[Reason?],MATCH($E238,tblMoveTypes[Movement],0)),"?")="Yes",$I238=""),"Reason needed",IF(AND(IFERROR(INDEX(tblMoveTypes[Qty?],MATCH($E238,tblMoveTypes[Movement],0)),"?")="Yes",N($F238)&lt;=0),"Qty needed",IF($A238&lt;_xlfn.MINIFS(tblShipment[Arrival Date],tblShipment[Shipment ID],$C238),"Date before arrival",IF(AND($D238&lt;&gt;"",COUNTIFS(tblShipment[Shipment ID],$C238,tblShipment[Item Code],$D238)=0),"Item not in this shipment",IF(AND($H238&lt;&gt;"",COUNTIFS(tblCouriers[Courier],$H238,tblCouriers[Market],$B238)=0),"Courier not in this market","OK")))))))))))))))</f>
        <v>OK</v>
      </c>
    </row>
    <row r="239" customFormat="false" ht="15" hidden="false" customHeight="false" outlineLevel="0" collapsed="false">
      <c r="A239" s="27" t="n">
        <v>46230</v>
      </c>
      <c r="B239" s="26" t="s">
        <v>78</v>
      </c>
      <c r="C239" s="26" t="s">
        <v>132</v>
      </c>
      <c r="D239" s="26" t="s">
        <v>76</v>
      </c>
      <c r="E239" s="26" t="s">
        <v>112</v>
      </c>
      <c r="F239" s="28" t="n">
        <v>1</v>
      </c>
      <c r="G239" s="28"/>
      <c r="H239" s="26"/>
      <c r="I239" s="26" t="s">
        <v>80</v>
      </c>
      <c r="J239" s="26"/>
      <c r="K239" s="29" t="str">
        <f aca="false">IF($A239="","",IF(COUNTIFS(tblMoveTypes[Movement],$E239)=0,"Unknown movement type",IF(COUNTIF(tblShipment[Shipment ID],$C239)=0,"Unknown shipment",IF(COUNTIFS(tblShipment[Shipment ID],$C239,tblShipment[Market],$B239)=0,"Market does not match shipment",IF(AND(IFERROR(INDEX(tblMoveTypes[Item?],MATCH($E239,tblMoveTypes[Movement],0)),"?")="Yes",$D239=""),"Item needed",IF(AND(IFERROR(INDEX(tblMoveTypes[Item?],MATCH($E239,tblMoveTypes[Movement],0)),"?")="No",$D239&lt;&gt;""),"Leave Item blank",IF(AND(IFERROR(INDEX(tblMoveTypes[Courier?],MATCH($E239,tblMoveTypes[Movement],0)),"?")="Yes",$H239=""),"Courier needed",IF(AND(IFERROR(INDEX(tblMoveTypes[Courier?],MATCH($E239,tblMoveTypes[Movement],0)),"?")="No",$H239&lt;&gt;""),"Leave Courier blank",IF(AND(IFERROR(INDEX(tblMoveTypes[Orders?],MATCH($E239,tblMoveTypes[Movement],0)),"?")="Yes",$G239=""),"Orders needed",IF(AND(IFERROR(INDEX(tblMoveTypes[Orders?],MATCH($E239,tblMoveTypes[Movement],0)),"?")="No",$G239&lt;&gt;""),"Leave Orders blank",IF(AND(IFERROR(INDEX(tblMoveTypes[Reason?],MATCH($E239,tblMoveTypes[Movement],0)),"?")="Yes",$I239=""),"Reason needed",IF(AND(IFERROR(INDEX(tblMoveTypes[Qty?],MATCH($E239,tblMoveTypes[Movement],0)),"?")="Yes",N($F239)&lt;=0),"Qty needed",IF($A239&lt;_xlfn.MINIFS(tblShipment[Arrival Date],tblShipment[Shipment ID],$C239),"Date before arrival",IF(AND($D239&lt;&gt;"",COUNTIFS(tblShipment[Shipment ID],$C239,tblShipment[Item Code],$D239)=0),"Item not in this shipment",IF(AND($H239&lt;&gt;"",COUNTIFS(tblCouriers[Courier],$H239,tblCouriers[Market],$B239)=0),"Courier not in this market","OK")))))))))))))))</f>
        <v>OK</v>
      </c>
    </row>
    <row r="240" customFormat="false" ht="15" hidden="false" customHeight="false" outlineLevel="0" collapsed="false">
      <c r="A240" s="27" t="n">
        <v>46230</v>
      </c>
      <c r="B240" s="26" t="s">
        <v>78</v>
      </c>
      <c r="C240" s="26" t="s">
        <v>132</v>
      </c>
      <c r="D240" s="26" t="s">
        <v>83</v>
      </c>
      <c r="E240" s="26" t="s">
        <v>93</v>
      </c>
      <c r="F240" s="28" t="n">
        <v>2</v>
      </c>
      <c r="G240" s="28"/>
      <c r="H240" s="26" t="s">
        <v>79</v>
      </c>
      <c r="I240" s="26"/>
      <c r="J240" s="26"/>
      <c r="K240" s="29" t="str">
        <f aca="false">IF($A240="","",IF(COUNTIFS(tblMoveTypes[Movement],$E240)=0,"Unknown movement type",IF(COUNTIF(tblShipment[Shipment ID],$C240)=0,"Unknown shipment",IF(COUNTIFS(tblShipment[Shipment ID],$C240,tblShipment[Market],$B240)=0,"Market does not match shipment",IF(AND(IFERROR(INDEX(tblMoveTypes[Item?],MATCH($E240,tblMoveTypes[Movement],0)),"?")="Yes",$D240=""),"Item needed",IF(AND(IFERROR(INDEX(tblMoveTypes[Item?],MATCH($E240,tblMoveTypes[Movement],0)),"?")="No",$D240&lt;&gt;""),"Leave Item blank",IF(AND(IFERROR(INDEX(tblMoveTypes[Courier?],MATCH($E240,tblMoveTypes[Movement],0)),"?")="Yes",$H240=""),"Courier needed",IF(AND(IFERROR(INDEX(tblMoveTypes[Courier?],MATCH($E240,tblMoveTypes[Movement],0)),"?")="No",$H240&lt;&gt;""),"Leave Courier blank",IF(AND(IFERROR(INDEX(tblMoveTypes[Orders?],MATCH($E240,tblMoveTypes[Movement],0)),"?")="Yes",$G240=""),"Orders needed",IF(AND(IFERROR(INDEX(tblMoveTypes[Orders?],MATCH($E240,tblMoveTypes[Movement],0)),"?")="No",$G240&lt;&gt;""),"Leave Orders blank",IF(AND(IFERROR(INDEX(tblMoveTypes[Reason?],MATCH($E240,tblMoveTypes[Movement],0)),"?")="Yes",$I240=""),"Reason needed",IF(AND(IFERROR(INDEX(tblMoveTypes[Qty?],MATCH($E240,tblMoveTypes[Movement],0)),"?")="Yes",N($F240)&lt;=0),"Qty needed",IF($A240&lt;_xlfn.MINIFS(tblShipment[Arrival Date],tblShipment[Shipment ID],$C240),"Date before arrival",IF(AND($D240&lt;&gt;"",COUNTIFS(tblShipment[Shipment ID],$C240,tblShipment[Item Code],$D240)=0),"Item not in this shipment",IF(AND($H240&lt;&gt;"",COUNTIFS(tblCouriers[Courier],$H240,tblCouriers[Market],$B240)=0),"Courier not in this market","OK")))))))))))))))</f>
        <v>OK</v>
      </c>
    </row>
    <row r="241" customFormat="false" ht="15" hidden="false" customHeight="false" outlineLevel="0" collapsed="false">
      <c r="A241" s="27" t="n">
        <v>46230</v>
      </c>
      <c r="B241" s="26" t="s">
        <v>78</v>
      </c>
      <c r="C241" s="26" t="s">
        <v>132</v>
      </c>
      <c r="D241" s="26"/>
      <c r="E241" s="26" t="s">
        <v>104</v>
      </c>
      <c r="F241" s="28"/>
      <c r="G241" s="28" t="n">
        <v>1</v>
      </c>
      <c r="H241" s="26" t="s">
        <v>79</v>
      </c>
      <c r="I241" s="26"/>
      <c r="J241" s="26"/>
      <c r="K241" s="29" t="str">
        <f aca="false">IF($A241="","",IF(COUNTIFS(tblMoveTypes[Movement],$E241)=0,"Unknown movement type",IF(COUNTIF(tblShipment[Shipment ID],$C241)=0,"Unknown shipment",IF(COUNTIFS(tblShipment[Shipment ID],$C241,tblShipment[Market],$B241)=0,"Market does not match shipment",IF(AND(IFERROR(INDEX(tblMoveTypes[Item?],MATCH($E241,tblMoveTypes[Movement],0)),"?")="Yes",$D241=""),"Item needed",IF(AND(IFERROR(INDEX(tblMoveTypes[Item?],MATCH($E241,tblMoveTypes[Movement],0)),"?")="No",$D241&lt;&gt;""),"Leave Item blank",IF(AND(IFERROR(INDEX(tblMoveTypes[Courier?],MATCH($E241,tblMoveTypes[Movement],0)),"?")="Yes",$H241=""),"Courier needed",IF(AND(IFERROR(INDEX(tblMoveTypes[Courier?],MATCH($E241,tblMoveTypes[Movement],0)),"?")="No",$H241&lt;&gt;""),"Leave Courier blank",IF(AND(IFERROR(INDEX(tblMoveTypes[Orders?],MATCH($E241,tblMoveTypes[Movement],0)),"?")="Yes",$G241=""),"Orders needed",IF(AND(IFERROR(INDEX(tblMoveTypes[Orders?],MATCH($E241,tblMoveTypes[Movement],0)),"?")="No",$G241&lt;&gt;""),"Leave Orders blank",IF(AND(IFERROR(INDEX(tblMoveTypes[Reason?],MATCH($E241,tblMoveTypes[Movement],0)),"?")="Yes",$I241=""),"Reason needed",IF(AND(IFERROR(INDEX(tblMoveTypes[Qty?],MATCH($E241,tblMoveTypes[Movement],0)),"?")="Yes",N($F241)&lt;=0),"Qty needed",IF($A241&lt;_xlfn.MINIFS(tblShipment[Arrival Date],tblShipment[Shipment ID],$C241),"Date before arrival",IF(AND($D241&lt;&gt;"",COUNTIFS(tblShipment[Shipment ID],$C241,tblShipment[Item Code],$D241)=0),"Item not in this shipment",IF(AND($H241&lt;&gt;"",COUNTIFS(tblCouriers[Courier],$H241,tblCouriers[Market],$B241)=0),"Courier not in this market","OK")))))))))))))))</f>
        <v>OK</v>
      </c>
    </row>
    <row r="242" customFormat="false" ht="15" hidden="false" customHeight="false" outlineLevel="0" collapsed="false">
      <c r="A242" s="27" t="n">
        <v>46230</v>
      </c>
      <c r="B242" s="26" t="s">
        <v>78</v>
      </c>
      <c r="C242" s="26" t="s">
        <v>132</v>
      </c>
      <c r="D242" s="26" t="s">
        <v>76</v>
      </c>
      <c r="E242" s="26" t="s">
        <v>93</v>
      </c>
      <c r="F242" s="28" t="n">
        <v>2</v>
      </c>
      <c r="G242" s="28"/>
      <c r="H242" s="26" t="s">
        <v>79</v>
      </c>
      <c r="I242" s="26"/>
      <c r="J242" s="26"/>
      <c r="K242" s="29" t="str">
        <f aca="false">IF($A242="","",IF(COUNTIFS(tblMoveTypes[Movement],$E242)=0,"Unknown movement type",IF(COUNTIF(tblShipment[Shipment ID],$C242)=0,"Unknown shipment",IF(COUNTIFS(tblShipment[Shipment ID],$C242,tblShipment[Market],$B242)=0,"Market does not match shipment",IF(AND(IFERROR(INDEX(tblMoveTypes[Item?],MATCH($E242,tblMoveTypes[Movement],0)),"?")="Yes",$D242=""),"Item needed",IF(AND(IFERROR(INDEX(tblMoveTypes[Item?],MATCH($E242,tblMoveTypes[Movement],0)),"?")="No",$D242&lt;&gt;""),"Leave Item blank",IF(AND(IFERROR(INDEX(tblMoveTypes[Courier?],MATCH($E242,tblMoveTypes[Movement],0)),"?")="Yes",$H242=""),"Courier needed",IF(AND(IFERROR(INDEX(tblMoveTypes[Courier?],MATCH($E242,tblMoveTypes[Movement],0)),"?")="No",$H242&lt;&gt;""),"Leave Courier blank",IF(AND(IFERROR(INDEX(tblMoveTypes[Orders?],MATCH($E242,tblMoveTypes[Movement],0)),"?")="Yes",$G242=""),"Orders needed",IF(AND(IFERROR(INDEX(tblMoveTypes[Orders?],MATCH($E242,tblMoveTypes[Movement],0)),"?")="No",$G242&lt;&gt;""),"Leave Orders blank",IF(AND(IFERROR(INDEX(tblMoveTypes[Reason?],MATCH($E242,tblMoveTypes[Movement],0)),"?")="Yes",$I242=""),"Reason needed",IF(AND(IFERROR(INDEX(tblMoveTypes[Qty?],MATCH($E242,tblMoveTypes[Movement],0)),"?")="Yes",N($F242)&lt;=0),"Qty needed",IF($A242&lt;_xlfn.MINIFS(tblShipment[Arrival Date],tblShipment[Shipment ID],$C242),"Date before arrival",IF(AND($D242&lt;&gt;"",COUNTIFS(tblShipment[Shipment ID],$C242,tblShipment[Item Code],$D242)=0),"Item not in this shipment",IF(AND($H242&lt;&gt;"",COUNTIFS(tblCouriers[Courier],$H242,tblCouriers[Market],$B242)=0),"Courier not in this market","OK")))))))))))))))</f>
        <v>OK</v>
      </c>
    </row>
    <row r="243" customFormat="false" ht="15" hidden="false" customHeight="false" outlineLevel="0" collapsed="false">
      <c r="A243" s="27" t="n">
        <v>46230</v>
      </c>
      <c r="B243" s="26" t="s">
        <v>78</v>
      </c>
      <c r="C243" s="26" t="s">
        <v>132</v>
      </c>
      <c r="D243" s="26"/>
      <c r="E243" s="26" t="s">
        <v>104</v>
      </c>
      <c r="F243" s="28"/>
      <c r="G243" s="28" t="n">
        <v>1</v>
      </c>
      <c r="H243" s="26" t="s">
        <v>79</v>
      </c>
      <c r="I243" s="26"/>
      <c r="J243" s="26"/>
      <c r="K243" s="29" t="str">
        <f aca="false">IF($A243="","",IF(COUNTIFS(tblMoveTypes[Movement],$E243)=0,"Unknown movement type",IF(COUNTIF(tblShipment[Shipment ID],$C243)=0,"Unknown shipment",IF(COUNTIFS(tblShipment[Shipment ID],$C243,tblShipment[Market],$B243)=0,"Market does not match shipment",IF(AND(IFERROR(INDEX(tblMoveTypes[Item?],MATCH($E243,tblMoveTypes[Movement],0)),"?")="Yes",$D243=""),"Item needed",IF(AND(IFERROR(INDEX(tblMoveTypes[Item?],MATCH($E243,tblMoveTypes[Movement],0)),"?")="No",$D243&lt;&gt;""),"Leave Item blank",IF(AND(IFERROR(INDEX(tblMoveTypes[Courier?],MATCH($E243,tblMoveTypes[Movement],0)),"?")="Yes",$H243=""),"Courier needed",IF(AND(IFERROR(INDEX(tblMoveTypes[Courier?],MATCH($E243,tblMoveTypes[Movement],0)),"?")="No",$H243&lt;&gt;""),"Leave Courier blank",IF(AND(IFERROR(INDEX(tblMoveTypes[Orders?],MATCH($E243,tblMoveTypes[Movement],0)),"?")="Yes",$G243=""),"Orders needed",IF(AND(IFERROR(INDEX(tblMoveTypes[Orders?],MATCH($E243,tblMoveTypes[Movement],0)),"?")="No",$G243&lt;&gt;""),"Leave Orders blank",IF(AND(IFERROR(INDEX(tblMoveTypes[Reason?],MATCH($E243,tblMoveTypes[Movement],0)),"?")="Yes",$I243=""),"Reason needed",IF(AND(IFERROR(INDEX(tblMoveTypes[Qty?],MATCH($E243,tblMoveTypes[Movement],0)),"?")="Yes",N($F243)&lt;=0),"Qty needed",IF($A243&lt;_xlfn.MINIFS(tblShipment[Arrival Date],tblShipment[Shipment ID],$C243),"Date before arrival",IF(AND($D243&lt;&gt;"",COUNTIFS(tblShipment[Shipment ID],$C243,tblShipment[Item Code],$D243)=0),"Item not in this shipment",IF(AND($H243&lt;&gt;"",COUNTIFS(tblCouriers[Courier],$H243,tblCouriers[Market],$B243)=0),"Courier not in this market","OK")))))))))))))))</f>
        <v>OK</v>
      </c>
    </row>
    <row r="244" customFormat="false" ht="15" hidden="false" customHeight="false" outlineLevel="0" collapsed="false">
      <c r="A244" s="27" t="n">
        <v>46230</v>
      </c>
      <c r="B244" s="26" t="s">
        <v>78</v>
      </c>
      <c r="C244" s="26" t="s">
        <v>133</v>
      </c>
      <c r="D244" s="26" t="s">
        <v>94</v>
      </c>
      <c r="E244" s="26" t="s">
        <v>74</v>
      </c>
      <c r="F244" s="28" t="n">
        <v>60</v>
      </c>
      <c r="G244" s="28"/>
      <c r="H244" s="26"/>
      <c r="I244" s="26"/>
      <c r="J244" s="26"/>
      <c r="K244" s="29" t="str">
        <f aca="false">IF($A244="","",IF(COUNTIFS(tblMoveTypes[Movement],$E244)=0,"Unknown movement type",IF(COUNTIF(tblShipment[Shipment ID],$C244)=0,"Unknown shipment",IF(COUNTIFS(tblShipment[Shipment ID],$C244,tblShipment[Market],$B244)=0,"Market does not match shipment",IF(AND(IFERROR(INDEX(tblMoveTypes[Item?],MATCH($E244,tblMoveTypes[Movement],0)),"?")="Yes",$D244=""),"Item needed",IF(AND(IFERROR(INDEX(tblMoveTypes[Item?],MATCH($E244,tblMoveTypes[Movement],0)),"?")="No",$D244&lt;&gt;""),"Leave Item blank",IF(AND(IFERROR(INDEX(tblMoveTypes[Courier?],MATCH($E244,tblMoveTypes[Movement],0)),"?")="Yes",$H244=""),"Courier needed",IF(AND(IFERROR(INDEX(tblMoveTypes[Courier?],MATCH($E244,tblMoveTypes[Movement],0)),"?")="No",$H244&lt;&gt;""),"Leave Courier blank",IF(AND(IFERROR(INDEX(tblMoveTypes[Orders?],MATCH($E244,tblMoveTypes[Movement],0)),"?")="Yes",$G244=""),"Orders needed",IF(AND(IFERROR(INDEX(tblMoveTypes[Orders?],MATCH($E244,tblMoveTypes[Movement],0)),"?")="No",$G244&lt;&gt;""),"Leave Orders blank",IF(AND(IFERROR(INDEX(tblMoveTypes[Reason?],MATCH($E244,tblMoveTypes[Movement],0)),"?")="Yes",$I244=""),"Reason needed",IF(AND(IFERROR(INDEX(tblMoveTypes[Qty?],MATCH($E244,tblMoveTypes[Movement],0)),"?")="Yes",N($F244)&lt;=0),"Qty needed",IF($A244&lt;_xlfn.MINIFS(tblShipment[Arrival Date],tblShipment[Shipment ID],$C244),"Date before arrival",IF(AND($D244&lt;&gt;"",COUNTIFS(tblShipment[Shipment ID],$C244,tblShipment[Item Code],$D244)=0),"Item not in this shipment",IF(AND($H244&lt;&gt;"",COUNTIFS(tblCouriers[Courier],$H244,tblCouriers[Market],$B244)=0),"Courier not in this market","OK")))))))))))))))</f>
        <v>OK</v>
      </c>
    </row>
    <row r="245" customFormat="false" ht="15" hidden="false" customHeight="false" outlineLevel="0" collapsed="false">
      <c r="A245" s="27" t="n">
        <v>46230</v>
      </c>
      <c r="B245" s="26" t="s">
        <v>78</v>
      </c>
      <c r="C245" s="26" t="s">
        <v>133</v>
      </c>
      <c r="D245" s="26" t="s">
        <v>67</v>
      </c>
      <c r="E245" s="26" t="s">
        <v>81</v>
      </c>
      <c r="F245" s="28" t="n">
        <v>2</v>
      </c>
      <c r="G245" s="28"/>
      <c r="H245" s="26"/>
      <c r="I245" s="26"/>
      <c r="J245" s="26" t="s">
        <v>162</v>
      </c>
      <c r="K245" s="29" t="str">
        <f aca="false">IF($A245="","",IF(COUNTIFS(tblMoveTypes[Movement],$E245)=0,"Unknown movement type",IF(COUNTIF(tblShipment[Shipment ID],$C245)=0,"Unknown shipment",IF(COUNTIFS(tblShipment[Shipment ID],$C245,tblShipment[Market],$B245)=0,"Market does not match shipment",IF(AND(IFERROR(INDEX(tblMoveTypes[Item?],MATCH($E245,tblMoveTypes[Movement],0)),"?")="Yes",$D245=""),"Item needed",IF(AND(IFERROR(INDEX(tblMoveTypes[Item?],MATCH($E245,tblMoveTypes[Movement],0)),"?")="No",$D245&lt;&gt;""),"Leave Item blank",IF(AND(IFERROR(INDEX(tblMoveTypes[Courier?],MATCH($E245,tblMoveTypes[Movement],0)),"?")="Yes",$H245=""),"Courier needed",IF(AND(IFERROR(INDEX(tblMoveTypes[Courier?],MATCH($E245,tblMoveTypes[Movement],0)),"?")="No",$H245&lt;&gt;""),"Leave Courier blank",IF(AND(IFERROR(INDEX(tblMoveTypes[Orders?],MATCH($E245,tblMoveTypes[Movement],0)),"?")="Yes",$G245=""),"Orders needed",IF(AND(IFERROR(INDEX(tblMoveTypes[Orders?],MATCH($E245,tblMoveTypes[Movement],0)),"?")="No",$G245&lt;&gt;""),"Leave Orders blank",IF(AND(IFERROR(INDEX(tblMoveTypes[Reason?],MATCH($E245,tblMoveTypes[Movement],0)),"?")="Yes",$I245=""),"Reason needed",IF(AND(IFERROR(INDEX(tblMoveTypes[Qty?],MATCH($E245,tblMoveTypes[Movement],0)),"?")="Yes",N($F245)&lt;=0),"Qty needed",IF($A245&lt;_xlfn.MINIFS(tblShipment[Arrival Date],tblShipment[Shipment ID],$C245),"Date before arrival",IF(AND($D245&lt;&gt;"",COUNTIFS(tblShipment[Shipment ID],$C245,tblShipment[Item Code],$D245)=0),"Item not in this shipment",IF(AND($H245&lt;&gt;"",COUNTIFS(tblCouriers[Courier],$H245,tblCouriers[Market],$B245)=0),"Courier not in this market","OK")))))))))))))))</f>
        <v>OK</v>
      </c>
    </row>
    <row r="246" customFormat="false" ht="15" hidden="false" customHeight="false" outlineLevel="0" collapsed="false">
      <c r="A246" s="27" t="n">
        <v>46230</v>
      </c>
      <c r="B246" s="26" t="s">
        <v>78</v>
      </c>
      <c r="C246" s="26" t="s">
        <v>133</v>
      </c>
      <c r="D246" s="26" t="s">
        <v>67</v>
      </c>
      <c r="E246" s="26" t="s">
        <v>74</v>
      </c>
      <c r="F246" s="28" t="n">
        <v>98</v>
      </c>
      <c r="G246" s="28"/>
      <c r="H246" s="26"/>
      <c r="I246" s="26"/>
      <c r="J246" s="26"/>
      <c r="K246" s="29" t="str">
        <f aca="false">IF($A246="","",IF(COUNTIFS(tblMoveTypes[Movement],$E246)=0,"Unknown movement type",IF(COUNTIF(tblShipment[Shipment ID],$C246)=0,"Unknown shipment",IF(COUNTIFS(tblShipment[Shipment ID],$C246,tblShipment[Market],$B246)=0,"Market does not match shipment",IF(AND(IFERROR(INDEX(tblMoveTypes[Item?],MATCH($E246,tblMoveTypes[Movement],0)),"?")="Yes",$D246=""),"Item needed",IF(AND(IFERROR(INDEX(tblMoveTypes[Item?],MATCH($E246,tblMoveTypes[Movement],0)),"?")="No",$D246&lt;&gt;""),"Leave Item blank",IF(AND(IFERROR(INDEX(tblMoveTypes[Courier?],MATCH($E246,tblMoveTypes[Movement],0)),"?")="Yes",$H246=""),"Courier needed",IF(AND(IFERROR(INDEX(tblMoveTypes[Courier?],MATCH($E246,tblMoveTypes[Movement],0)),"?")="No",$H246&lt;&gt;""),"Leave Courier blank",IF(AND(IFERROR(INDEX(tblMoveTypes[Orders?],MATCH($E246,tblMoveTypes[Movement],0)),"?")="Yes",$G246=""),"Orders needed",IF(AND(IFERROR(INDEX(tblMoveTypes[Orders?],MATCH($E246,tblMoveTypes[Movement],0)),"?")="No",$G246&lt;&gt;""),"Leave Orders blank",IF(AND(IFERROR(INDEX(tblMoveTypes[Reason?],MATCH($E246,tblMoveTypes[Movement],0)),"?")="Yes",$I246=""),"Reason needed",IF(AND(IFERROR(INDEX(tblMoveTypes[Qty?],MATCH($E246,tblMoveTypes[Movement],0)),"?")="Yes",N($F246)&lt;=0),"Qty needed",IF($A246&lt;_xlfn.MINIFS(tblShipment[Arrival Date],tblShipment[Shipment ID],$C246),"Date before arrival",IF(AND($D246&lt;&gt;"",COUNTIFS(tblShipment[Shipment ID],$C246,tblShipment[Item Code],$D246)=0),"Item not in this shipment",IF(AND($H246&lt;&gt;"",COUNTIFS(tblCouriers[Courier],$H246,tblCouriers[Market],$B246)=0),"Courier not in this market","OK")))))))))))))))</f>
        <v>OK</v>
      </c>
    </row>
    <row r="247" customFormat="false" ht="15" hidden="false" customHeight="false" outlineLevel="0" collapsed="false">
      <c r="A247" s="27" t="n">
        <v>46230</v>
      </c>
      <c r="B247" s="26" t="s">
        <v>78</v>
      </c>
      <c r="C247" s="26" t="s">
        <v>133</v>
      </c>
      <c r="D247" s="26" t="s">
        <v>99</v>
      </c>
      <c r="E247" s="26" t="s">
        <v>74</v>
      </c>
      <c r="F247" s="28" t="n">
        <v>100</v>
      </c>
      <c r="G247" s="28"/>
      <c r="H247" s="26"/>
      <c r="I247" s="26"/>
      <c r="J247" s="26"/>
      <c r="K247" s="29" t="str">
        <f aca="false">IF($A247="","",IF(COUNTIFS(tblMoveTypes[Movement],$E247)=0,"Unknown movement type",IF(COUNTIF(tblShipment[Shipment ID],$C247)=0,"Unknown shipment",IF(COUNTIFS(tblShipment[Shipment ID],$C247,tblShipment[Market],$B247)=0,"Market does not match shipment",IF(AND(IFERROR(INDEX(tblMoveTypes[Item?],MATCH($E247,tblMoveTypes[Movement],0)),"?")="Yes",$D247=""),"Item needed",IF(AND(IFERROR(INDEX(tblMoveTypes[Item?],MATCH($E247,tblMoveTypes[Movement],0)),"?")="No",$D247&lt;&gt;""),"Leave Item blank",IF(AND(IFERROR(INDEX(tblMoveTypes[Courier?],MATCH($E247,tblMoveTypes[Movement],0)),"?")="Yes",$H247=""),"Courier needed",IF(AND(IFERROR(INDEX(tblMoveTypes[Courier?],MATCH($E247,tblMoveTypes[Movement],0)),"?")="No",$H247&lt;&gt;""),"Leave Courier blank",IF(AND(IFERROR(INDEX(tblMoveTypes[Orders?],MATCH($E247,tblMoveTypes[Movement],0)),"?")="Yes",$G247=""),"Orders needed",IF(AND(IFERROR(INDEX(tblMoveTypes[Orders?],MATCH($E247,tblMoveTypes[Movement],0)),"?")="No",$G247&lt;&gt;""),"Leave Orders blank",IF(AND(IFERROR(INDEX(tblMoveTypes[Reason?],MATCH($E247,tblMoveTypes[Movement],0)),"?")="Yes",$I247=""),"Reason needed",IF(AND(IFERROR(INDEX(tblMoveTypes[Qty?],MATCH($E247,tblMoveTypes[Movement],0)),"?")="Yes",N($F247)&lt;=0),"Qty needed",IF($A247&lt;_xlfn.MINIFS(tblShipment[Arrival Date],tblShipment[Shipment ID],$C247),"Date before arrival",IF(AND($D247&lt;&gt;"",COUNTIFS(tblShipment[Shipment ID],$C247,tblShipment[Item Code],$D247)=0),"Item not in this shipment",IF(AND($H247&lt;&gt;"",COUNTIFS(tblCouriers[Courier],$H247,tblCouriers[Market],$B247)=0),"Courier not in this market","OK")))))))))))))))</f>
        <v>OK</v>
      </c>
    </row>
    <row r="248" customFormat="false" ht="15" hidden="false" customHeight="false" outlineLevel="0" collapsed="false">
      <c r="A248" s="27" t="n">
        <v>46230</v>
      </c>
      <c r="B248" s="26" t="s">
        <v>78</v>
      </c>
      <c r="C248" s="26" t="s">
        <v>133</v>
      </c>
      <c r="D248" s="26" t="s">
        <v>76</v>
      </c>
      <c r="E248" s="26" t="s">
        <v>81</v>
      </c>
      <c r="F248" s="28" t="n">
        <v>3</v>
      </c>
      <c r="G248" s="28"/>
      <c r="H248" s="26"/>
      <c r="I248" s="26"/>
      <c r="J248" s="26" t="s">
        <v>162</v>
      </c>
      <c r="K248" s="29" t="str">
        <f aca="false">IF($A248="","",IF(COUNTIFS(tblMoveTypes[Movement],$E248)=0,"Unknown movement type",IF(COUNTIF(tblShipment[Shipment ID],$C248)=0,"Unknown shipment",IF(COUNTIFS(tblShipment[Shipment ID],$C248,tblShipment[Market],$B248)=0,"Market does not match shipment",IF(AND(IFERROR(INDEX(tblMoveTypes[Item?],MATCH($E248,tblMoveTypes[Movement],0)),"?")="Yes",$D248=""),"Item needed",IF(AND(IFERROR(INDEX(tblMoveTypes[Item?],MATCH($E248,tblMoveTypes[Movement],0)),"?")="No",$D248&lt;&gt;""),"Leave Item blank",IF(AND(IFERROR(INDEX(tblMoveTypes[Courier?],MATCH($E248,tblMoveTypes[Movement],0)),"?")="Yes",$H248=""),"Courier needed",IF(AND(IFERROR(INDEX(tblMoveTypes[Courier?],MATCH($E248,tblMoveTypes[Movement],0)),"?")="No",$H248&lt;&gt;""),"Leave Courier blank",IF(AND(IFERROR(INDEX(tblMoveTypes[Orders?],MATCH($E248,tblMoveTypes[Movement],0)),"?")="Yes",$G248=""),"Orders needed",IF(AND(IFERROR(INDEX(tblMoveTypes[Orders?],MATCH($E248,tblMoveTypes[Movement],0)),"?")="No",$G248&lt;&gt;""),"Leave Orders blank",IF(AND(IFERROR(INDEX(tblMoveTypes[Reason?],MATCH($E248,tblMoveTypes[Movement],0)),"?")="Yes",$I248=""),"Reason needed",IF(AND(IFERROR(INDEX(tblMoveTypes[Qty?],MATCH($E248,tblMoveTypes[Movement],0)),"?")="Yes",N($F248)&lt;=0),"Qty needed",IF($A248&lt;_xlfn.MINIFS(tblShipment[Arrival Date],tblShipment[Shipment ID],$C248),"Date before arrival",IF(AND($D248&lt;&gt;"",COUNTIFS(tblShipment[Shipment ID],$C248,tblShipment[Item Code],$D248)=0),"Item not in this shipment",IF(AND($H248&lt;&gt;"",COUNTIFS(tblCouriers[Courier],$H248,tblCouriers[Market],$B248)=0),"Courier not in this market","OK")))))))))))))))</f>
        <v>OK</v>
      </c>
    </row>
    <row r="249" customFormat="false" ht="15" hidden="false" customHeight="false" outlineLevel="0" collapsed="false">
      <c r="A249" s="27" t="n">
        <v>46230</v>
      </c>
      <c r="B249" s="26" t="s">
        <v>78</v>
      </c>
      <c r="C249" s="26" t="s">
        <v>133</v>
      </c>
      <c r="D249" s="26" t="s">
        <v>76</v>
      </c>
      <c r="E249" s="26" t="s">
        <v>74</v>
      </c>
      <c r="F249" s="28" t="n">
        <v>97</v>
      </c>
      <c r="G249" s="28"/>
      <c r="H249" s="26"/>
      <c r="I249" s="26"/>
      <c r="J249" s="26"/>
      <c r="K249" s="29" t="str">
        <f aca="false">IF($A249="","",IF(COUNTIFS(tblMoveTypes[Movement],$E249)=0,"Unknown movement type",IF(COUNTIF(tblShipment[Shipment ID],$C249)=0,"Unknown shipment",IF(COUNTIFS(tblShipment[Shipment ID],$C249,tblShipment[Market],$B249)=0,"Market does not match shipment",IF(AND(IFERROR(INDEX(tblMoveTypes[Item?],MATCH($E249,tblMoveTypes[Movement],0)),"?")="Yes",$D249=""),"Item needed",IF(AND(IFERROR(INDEX(tblMoveTypes[Item?],MATCH($E249,tblMoveTypes[Movement],0)),"?")="No",$D249&lt;&gt;""),"Leave Item blank",IF(AND(IFERROR(INDEX(tblMoveTypes[Courier?],MATCH($E249,tblMoveTypes[Movement],0)),"?")="Yes",$H249=""),"Courier needed",IF(AND(IFERROR(INDEX(tblMoveTypes[Courier?],MATCH($E249,tblMoveTypes[Movement],0)),"?")="No",$H249&lt;&gt;""),"Leave Courier blank",IF(AND(IFERROR(INDEX(tblMoveTypes[Orders?],MATCH($E249,tblMoveTypes[Movement],0)),"?")="Yes",$G249=""),"Orders needed",IF(AND(IFERROR(INDEX(tblMoveTypes[Orders?],MATCH($E249,tblMoveTypes[Movement],0)),"?")="No",$G249&lt;&gt;""),"Leave Orders blank",IF(AND(IFERROR(INDEX(tblMoveTypes[Reason?],MATCH($E249,tblMoveTypes[Movement],0)),"?")="Yes",$I249=""),"Reason needed",IF(AND(IFERROR(INDEX(tblMoveTypes[Qty?],MATCH($E249,tblMoveTypes[Movement],0)),"?")="Yes",N($F249)&lt;=0),"Qty needed",IF($A249&lt;_xlfn.MINIFS(tblShipment[Arrival Date],tblShipment[Shipment ID],$C249),"Date before arrival",IF(AND($D249&lt;&gt;"",COUNTIFS(tblShipment[Shipment ID],$C249,tblShipment[Item Code],$D249)=0),"Item not in this shipment",IF(AND($H249&lt;&gt;"",COUNTIFS(tblCouriers[Courier],$H249,tblCouriers[Market],$B249)=0),"Courier not in this market","OK")))))))))))))))</f>
        <v>OK</v>
      </c>
    </row>
    <row r="250" customFormat="false" ht="15" hidden="false" customHeight="false" outlineLevel="0" collapsed="false">
      <c r="A250" s="27" t="n">
        <v>46230</v>
      </c>
      <c r="B250" s="26" t="s">
        <v>78</v>
      </c>
      <c r="C250" s="26" t="s">
        <v>133</v>
      </c>
      <c r="D250" s="26"/>
      <c r="E250" s="26" t="s">
        <v>98</v>
      </c>
      <c r="F250" s="28"/>
      <c r="G250" s="28" t="n">
        <v>51</v>
      </c>
      <c r="H250" s="26"/>
      <c r="I250" s="26"/>
      <c r="J250" s="26"/>
      <c r="K250" s="29" t="str">
        <f aca="false">IF($A250="","",IF(COUNTIFS(tblMoveTypes[Movement],$E250)=0,"Unknown movement type",IF(COUNTIF(tblShipment[Shipment ID],$C250)=0,"Unknown shipment",IF(COUNTIFS(tblShipment[Shipment ID],$C250,tblShipment[Market],$B250)=0,"Market does not match shipment",IF(AND(IFERROR(INDEX(tblMoveTypes[Item?],MATCH($E250,tblMoveTypes[Movement],0)),"?")="Yes",$D250=""),"Item needed",IF(AND(IFERROR(INDEX(tblMoveTypes[Item?],MATCH($E250,tblMoveTypes[Movement],0)),"?")="No",$D250&lt;&gt;""),"Leave Item blank",IF(AND(IFERROR(INDEX(tblMoveTypes[Courier?],MATCH($E250,tblMoveTypes[Movement],0)),"?")="Yes",$H250=""),"Courier needed",IF(AND(IFERROR(INDEX(tblMoveTypes[Courier?],MATCH($E250,tblMoveTypes[Movement],0)),"?")="No",$H250&lt;&gt;""),"Leave Courier blank",IF(AND(IFERROR(INDEX(tblMoveTypes[Orders?],MATCH($E250,tblMoveTypes[Movement],0)),"?")="Yes",$G250=""),"Orders needed",IF(AND(IFERROR(INDEX(tblMoveTypes[Orders?],MATCH($E250,tblMoveTypes[Movement],0)),"?")="No",$G250&lt;&gt;""),"Leave Orders blank",IF(AND(IFERROR(INDEX(tblMoveTypes[Reason?],MATCH($E250,tblMoveTypes[Movement],0)),"?")="Yes",$I250=""),"Reason needed",IF(AND(IFERROR(INDEX(tblMoveTypes[Qty?],MATCH($E250,tblMoveTypes[Movement],0)),"?")="Yes",N($F250)&lt;=0),"Qty needed",IF($A250&lt;_xlfn.MINIFS(tblShipment[Arrival Date],tblShipment[Shipment ID],$C250),"Date before arrival",IF(AND($D250&lt;&gt;"",COUNTIFS(tblShipment[Shipment ID],$C250,tblShipment[Item Code],$D250)=0),"Item not in this shipment",IF(AND($H250&lt;&gt;"",COUNTIFS(tblCouriers[Courier],$H250,tblCouriers[Market],$B250)=0),"Courier not in this market","OK")))))))))))))))</f>
        <v>OK</v>
      </c>
    </row>
    <row r="251" customFormat="false" ht="15" hidden="false" customHeight="false" outlineLevel="0" collapsed="false">
      <c r="A251" s="27" t="n">
        <v>46230</v>
      </c>
      <c r="B251" s="26" t="s">
        <v>78</v>
      </c>
      <c r="C251" s="26" t="s">
        <v>133</v>
      </c>
      <c r="D251" s="26" t="s">
        <v>94</v>
      </c>
      <c r="E251" s="26" t="s">
        <v>73</v>
      </c>
      <c r="F251" s="28" t="n">
        <v>4</v>
      </c>
      <c r="G251" s="28"/>
      <c r="H251" s="26"/>
      <c r="I251" s="26" t="s">
        <v>80</v>
      </c>
      <c r="J251" s="26"/>
      <c r="K251" s="29" t="str">
        <f aca="false">IF($A251="","",IF(COUNTIFS(tblMoveTypes[Movement],$E251)=0,"Unknown movement type",IF(COUNTIF(tblShipment[Shipment ID],$C251)=0,"Unknown shipment",IF(COUNTIFS(tblShipment[Shipment ID],$C251,tblShipment[Market],$B251)=0,"Market does not match shipment",IF(AND(IFERROR(INDEX(tblMoveTypes[Item?],MATCH($E251,tblMoveTypes[Movement],0)),"?")="Yes",$D251=""),"Item needed",IF(AND(IFERROR(INDEX(tblMoveTypes[Item?],MATCH($E251,tblMoveTypes[Movement],0)),"?")="No",$D251&lt;&gt;""),"Leave Item blank",IF(AND(IFERROR(INDEX(tblMoveTypes[Courier?],MATCH($E251,tblMoveTypes[Movement],0)),"?")="Yes",$H251=""),"Courier needed",IF(AND(IFERROR(INDEX(tblMoveTypes[Courier?],MATCH($E251,tblMoveTypes[Movement],0)),"?")="No",$H251&lt;&gt;""),"Leave Courier blank",IF(AND(IFERROR(INDEX(tblMoveTypes[Orders?],MATCH($E251,tblMoveTypes[Movement],0)),"?")="Yes",$G251=""),"Orders needed",IF(AND(IFERROR(INDEX(tblMoveTypes[Orders?],MATCH($E251,tblMoveTypes[Movement],0)),"?")="No",$G251&lt;&gt;""),"Leave Orders blank",IF(AND(IFERROR(INDEX(tblMoveTypes[Reason?],MATCH($E251,tblMoveTypes[Movement],0)),"?")="Yes",$I251=""),"Reason needed",IF(AND(IFERROR(INDEX(tblMoveTypes[Qty?],MATCH($E251,tblMoveTypes[Movement],0)),"?")="Yes",N($F251)&lt;=0),"Qty needed",IF($A251&lt;_xlfn.MINIFS(tblShipment[Arrival Date],tblShipment[Shipment ID],$C251),"Date before arrival",IF(AND($D251&lt;&gt;"",COUNTIFS(tblShipment[Shipment ID],$C251,tblShipment[Item Code],$D251)=0),"Item not in this shipment",IF(AND($H251&lt;&gt;"",COUNTIFS(tblCouriers[Courier],$H251,tblCouriers[Market],$B251)=0),"Courier not in this market","OK")))))))))))))))</f>
        <v>OK</v>
      </c>
    </row>
    <row r="252" customFormat="false" ht="15" hidden="false" customHeight="false" outlineLevel="0" collapsed="false">
      <c r="A252" s="27" t="n">
        <v>46230</v>
      </c>
      <c r="B252" s="26" t="s">
        <v>78</v>
      </c>
      <c r="C252" s="26" t="s">
        <v>133</v>
      </c>
      <c r="D252" s="26" t="s">
        <v>67</v>
      </c>
      <c r="E252" s="26" t="s">
        <v>73</v>
      </c>
      <c r="F252" s="28" t="n">
        <v>6</v>
      </c>
      <c r="G252" s="28"/>
      <c r="H252" s="26"/>
      <c r="I252" s="26" t="s">
        <v>72</v>
      </c>
      <c r="J252" s="26"/>
      <c r="K252" s="29" t="str">
        <f aca="false">IF($A252="","",IF(COUNTIFS(tblMoveTypes[Movement],$E252)=0,"Unknown movement type",IF(COUNTIF(tblShipment[Shipment ID],$C252)=0,"Unknown shipment",IF(COUNTIFS(tblShipment[Shipment ID],$C252,tblShipment[Market],$B252)=0,"Market does not match shipment",IF(AND(IFERROR(INDEX(tblMoveTypes[Item?],MATCH($E252,tblMoveTypes[Movement],0)),"?")="Yes",$D252=""),"Item needed",IF(AND(IFERROR(INDEX(tblMoveTypes[Item?],MATCH($E252,tblMoveTypes[Movement],0)),"?")="No",$D252&lt;&gt;""),"Leave Item blank",IF(AND(IFERROR(INDEX(tblMoveTypes[Courier?],MATCH($E252,tblMoveTypes[Movement],0)),"?")="Yes",$H252=""),"Courier needed",IF(AND(IFERROR(INDEX(tblMoveTypes[Courier?],MATCH($E252,tblMoveTypes[Movement],0)),"?")="No",$H252&lt;&gt;""),"Leave Courier blank",IF(AND(IFERROR(INDEX(tblMoveTypes[Orders?],MATCH($E252,tblMoveTypes[Movement],0)),"?")="Yes",$G252=""),"Orders needed",IF(AND(IFERROR(INDEX(tblMoveTypes[Orders?],MATCH($E252,tblMoveTypes[Movement],0)),"?")="No",$G252&lt;&gt;""),"Leave Orders blank",IF(AND(IFERROR(INDEX(tblMoveTypes[Reason?],MATCH($E252,tblMoveTypes[Movement],0)),"?")="Yes",$I252=""),"Reason needed",IF(AND(IFERROR(INDEX(tblMoveTypes[Qty?],MATCH($E252,tblMoveTypes[Movement],0)),"?")="Yes",N($F252)&lt;=0),"Qty needed",IF($A252&lt;_xlfn.MINIFS(tblShipment[Arrival Date],tblShipment[Shipment ID],$C252),"Date before arrival",IF(AND($D252&lt;&gt;"",COUNTIFS(tblShipment[Shipment ID],$C252,tblShipment[Item Code],$D252)=0),"Item not in this shipment",IF(AND($H252&lt;&gt;"",COUNTIFS(tblCouriers[Courier],$H252,tblCouriers[Market],$B252)=0),"Courier not in this market","OK")))))))))))))))</f>
        <v>OK</v>
      </c>
    </row>
    <row r="253" customFormat="false" ht="15" hidden="false" customHeight="false" outlineLevel="0" collapsed="false">
      <c r="A253" s="27" t="n">
        <v>46230</v>
      </c>
      <c r="B253" s="26" t="s">
        <v>78</v>
      </c>
      <c r="C253" s="26" t="s">
        <v>133</v>
      </c>
      <c r="D253" s="26" t="s">
        <v>99</v>
      </c>
      <c r="E253" s="26" t="s">
        <v>73</v>
      </c>
      <c r="F253" s="28" t="n">
        <v>7</v>
      </c>
      <c r="G253" s="28"/>
      <c r="H253" s="26"/>
      <c r="I253" s="26" t="s">
        <v>80</v>
      </c>
      <c r="J253" s="26"/>
      <c r="K253" s="29" t="str">
        <f aca="false">IF($A253="","",IF(COUNTIFS(tblMoveTypes[Movement],$E253)=0,"Unknown movement type",IF(COUNTIF(tblShipment[Shipment ID],$C253)=0,"Unknown shipment",IF(COUNTIFS(tblShipment[Shipment ID],$C253,tblShipment[Market],$B253)=0,"Market does not match shipment",IF(AND(IFERROR(INDEX(tblMoveTypes[Item?],MATCH($E253,tblMoveTypes[Movement],0)),"?")="Yes",$D253=""),"Item needed",IF(AND(IFERROR(INDEX(tblMoveTypes[Item?],MATCH($E253,tblMoveTypes[Movement],0)),"?")="No",$D253&lt;&gt;""),"Leave Item blank",IF(AND(IFERROR(INDEX(tblMoveTypes[Courier?],MATCH($E253,tblMoveTypes[Movement],0)),"?")="Yes",$H253=""),"Courier needed",IF(AND(IFERROR(INDEX(tblMoveTypes[Courier?],MATCH($E253,tblMoveTypes[Movement],0)),"?")="No",$H253&lt;&gt;""),"Leave Courier blank",IF(AND(IFERROR(INDEX(tblMoveTypes[Orders?],MATCH($E253,tblMoveTypes[Movement],0)),"?")="Yes",$G253=""),"Orders needed",IF(AND(IFERROR(INDEX(tblMoveTypes[Orders?],MATCH($E253,tblMoveTypes[Movement],0)),"?")="No",$G253&lt;&gt;""),"Leave Orders blank",IF(AND(IFERROR(INDEX(tblMoveTypes[Reason?],MATCH($E253,tblMoveTypes[Movement],0)),"?")="Yes",$I253=""),"Reason needed",IF(AND(IFERROR(INDEX(tblMoveTypes[Qty?],MATCH($E253,tblMoveTypes[Movement],0)),"?")="Yes",N($F253)&lt;=0),"Qty needed",IF($A253&lt;_xlfn.MINIFS(tblShipment[Arrival Date],tblShipment[Shipment ID],$C253),"Date before arrival",IF(AND($D253&lt;&gt;"",COUNTIFS(tblShipment[Shipment ID],$C253,tblShipment[Item Code],$D253)=0),"Item not in this shipment",IF(AND($H253&lt;&gt;"",COUNTIFS(tblCouriers[Courier],$H253,tblCouriers[Market],$B253)=0),"Courier not in this market","OK")))))))))))))))</f>
        <v>OK</v>
      </c>
    </row>
    <row r="254" customFormat="false" ht="15" hidden="false" customHeight="false" outlineLevel="0" collapsed="false">
      <c r="A254" s="27" t="n">
        <v>46230</v>
      </c>
      <c r="B254" s="26" t="s">
        <v>78</v>
      </c>
      <c r="C254" s="26" t="s">
        <v>133</v>
      </c>
      <c r="D254" s="26" t="s">
        <v>76</v>
      </c>
      <c r="E254" s="26" t="s">
        <v>73</v>
      </c>
      <c r="F254" s="28" t="n">
        <v>6</v>
      </c>
      <c r="G254" s="28"/>
      <c r="H254" s="26"/>
      <c r="I254" s="26" t="s">
        <v>80</v>
      </c>
      <c r="J254" s="26"/>
      <c r="K254" s="29" t="str">
        <f aca="false">IF($A254="","",IF(COUNTIFS(tblMoveTypes[Movement],$E254)=0,"Unknown movement type",IF(COUNTIF(tblShipment[Shipment ID],$C254)=0,"Unknown shipment",IF(COUNTIFS(tblShipment[Shipment ID],$C254,tblShipment[Market],$B254)=0,"Market does not match shipment",IF(AND(IFERROR(INDEX(tblMoveTypes[Item?],MATCH($E254,tblMoveTypes[Movement],0)),"?")="Yes",$D254=""),"Item needed",IF(AND(IFERROR(INDEX(tblMoveTypes[Item?],MATCH($E254,tblMoveTypes[Movement],0)),"?")="No",$D254&lt;&gt;""),"Leave Item blank",IF(AND(IFERROR(INDEX(tblMoveTypes[Courier?],MATCH($E254,tblMoveTypes[Movement],0)),"?")="Yes",$H254=""),"Courier needed",IF(AND(IFERROR(INDEX(tblMoveTypes[Courier?],MATCH($E254,tblMoveTypes[Movement],0)),"?")="No",$H254&lt;&gt;""),"Leave Courier blank",IF(AND(IFERROR(INDEX(tblMoveTypes[Orders?],MATCH($E254,tblMoveTypes[Movement],0)),"?")="Yes",$G254=""),"Orders needed",IF(AND(IFERROR(INDEX(tblMoveTypes[Orders?],MATCH($E254,tblMoveTypes[Movement],0)),"?")="No",$G254&lt;&gt;""),"Leave Orders blank",IF(AND(IFERROR(INDEX(tblMoveTypes[Reason?],MATCH($E254,tblMoveTypes[Movement],0)),"?")="Yes",$I254=""),"Reason needed",IF(AND(IFERROR(INDEX(tblMoveTypes[Qty?],MATCH($E254,tblMoveTypes[Movement],0)),"?")="Yes",N($F254)&lt;=0),"Qty needed",IF($A254&lt;_xlfn.MINIFS(tblShipment[Arrival Date],tblShipment[Shipment ID],$C254),"Date before arrival",IF(AND($D254&lt;&gt;"",COUNTIFS(tblShipment[Shipment ID],$C254,tblShipment[Item Code],$D254)=0),"Item not in this shipment",IF(AND($H254&lt;&gt;"",COUNTIFS(tblCouriers[Courier],$H254,tblCouriers[Market],$B254)=0),"Courier not in this market","OK")))))))))))))))</f>
        <v>OK</v>
      </c>
    </row>
    <row r="255" customFormat="false" ht="15" hidden="false" customHeight="false" outlineLevel="0" collapsed="false">
      <c r="A255" s="27" t="n">
        <v>46230</v>
      </c>
      <c r="B255" s="26" t="s">
        <v>78</v>
      </c>
      <c r="C255" s="26" t="s">
        <v>133</v>
      </c>
      <c r="D255" s="26" t="s">
        <v>94</v>
      </c>
      <c r="E255" s="26" t="s">
        <v>93</v>
      </c>
      <c r="F255" s="28" t="n">
        <v>34</v>
      </c>
      <c r="G255" s="28"/>
      <c r="H255" s="26" t="s">
        <v>79</v>
      </c>
      <c r="I255" s="26"/>
      <c r="J255" s="26"/>
      <c r="K255" s="29" t="str">
        <f aca="false">IF($A255="","",IF(COUNTIFS(tblMoveTypes[Movement],$E255)=0,"Unknown movement type",IF(COUNTIF(tblShipment[Shipment ID],$C255)=0,"Unknown shipment",IF(COUNTIFS(tblShipment[Shipment ID],$C255,tblShipment[Market],$B255)=0,"Market does not match shipment",IF(AND(IFERROR(INDEX(tblMoveTypes[Item?],MATCH($E255,tblMoveTypes[Movement],0)),"?")="Yes",$D255=""),"Item needed",IF(AND(IFERROR(INDEX(tblMoveTypes[Item?],MATCH($E255,tblMoveTypes[Movement],0)),"?")="No",$D255&lt;&gt;""),"Leave Item blank",IF(AND(IFERROR(INDEX(tblMoveTypes[Courier?],MATCH($E255,tblMoveTypes[Movement],0)),"?")="Yes",$H255=""),"Courier needed",IF(AND(IFERROR(INDEX(tblMoveTypes[Courier?],MATCH($E255,tblMoveTypes[Movement],0)),"?")="No",$H255&lt;&gt;""),"Leave Courier blank",IF(AND(IFERROR(INDEX(tblMoveTypes[Orders?],MATCH($E255,tblMoveTypes[Movement],0)),"?")="Yes",$G255=""),"Orders needed",IF(AND(IFERROR(INDEX(tblMoveTypes[Orders?],MATCH($E255,tblMoveTypes[Movement],0)),"?")="No",$G255&lt;&gt;""),"Leave Orders blank",IF(AND(IFERROR(INDEX(tblMoveTypes[Reason?],MATCH($E255,tblMoveTypes[Movement],0)),"?")="Yes",$I255=""),"Reason needed",IF(AND(IFERROR(INDEX(tblMoveTypes[Qty?],MATCH($E255,tblMoveTypes[Movement],0)),"?")="Yes",N($F255)&lt;=0),"Qty needed",IF($A255&lt;_xlfn.MINIFS(tblShipment[Arrival Date],tblShipment[Shipment ID],$C255),"Date before arrival",IF(AND($D255&lt;&gt;"",COUNTIFS(tblShipment[Shipment ID],$C255,tblShipment[Item Code],$D255)=0),"Item not in this shipment",IF(AND($H255&lt;&gt;"",COUNTIFS(tblCouriers[Courier],$H255,tblCouriers[Market],$B255)=0),"Courier not in this market","OK")))))))))))))))</f>
        <v>OK</v>
      </c>
    </row>
    <row r="256" customFormat="false" ht="15" hidden="false" customHeight="false" outlineLevel="0" collapsed="false">
      <c r="A256" s="27" t="n">
        <v>46230</v>
      </c>
      <c r="B256" s="26" t="s">
        <v>78</v>
      </c>
      <c r="C256" s="26" t="s">
        <v>133</v>
      </c>
      <c r="D256" s="26" t="s">
        <v>94</v>
      </c>
      <c r="E256" s="26" t="s">
        <v>93</v>
      </c>
      <c r="F256" s="28" t="n">
        <v>22</v>
      </c>
      <c r="G256" s="28"/>
      <c r="H256" s="26" t="s">
        <v>86</v>
      </c>
      <c r="I256" s="26"/>
      <c r="J256" s="26"/>
      <c r="K256" s="29" t="str">
        <f aca="false">IF($A256="","",IF(COUNTIFS(tblMoveTypes[Movement],$E256)=0,"Unknown movement type",IF(COUNTIF(tblShipment[Shipment ID],$C256)=0,"Unknown shipment",IF(COUNTIFS(tblShipment[Shipment ID],$C256,tblShipment[Market],$B256)=0,"Market does not match shipment",IF(AND(IFERROR(INDEX(tblMoveTypes[Item?],MATCH($E256,tblMoveTypes[Movement],0)),"?")="Yes",$D256=""),"Item needed",IF(AND(IFERROR(INDEX(tblMoveTypes[Item?],MATCH($E256,tblMoveTypes[Movement],0)),"?")="No",$D256&lt;&gt;""),"Leave Item blank",IF(AND(IFERROR(INDEX(tblMoveTypes[Courier?],MATCH($E256,tblMoveTypes[Movement],0)),"?")="Yes",$H256=""),"Courier needed",IF(AND(IFERROR(INDEX(tblMoveTypes[Courier?],MATCH($E256,tblMoveTypes[Movement],0)),"?")="No",$H256&lt;&gt;""),"Leave Courier blank",IF(AND(IFERROR(INDEX(tblMoveTypes[Orders?],MATCH($E256,tblMoveTypes[Movement],0)),"?")="Yes",$G256=""),"Orders needed",IF(AND(IFERROR(INDEX(tblMoveTypes[Orders?],MATCH($E256,tblMoveTypes[Movement],0)),"?")="No",$G256&lt;&gt;""),"Leave Orders blank",IF(AND(IFERROR(INDEX(tblMoveTypes[Reason?],MATCH($E256,tblMoveTypes[Movement],0)),"?")="Yes",$I256=""),"Reason needed",IF(AND(IFERROR(INDEX(tblMoveTypes[Qty?],MATCH($E256,tblMoveTypes[Movement],0)),"?")="Yes",N($F256)&lt;=0),"Qty needed",IF($A256&lt;_xlfn.MINIFS(tblShipment[Arrival Date],tblShipment[Shipment ID],$C256),"Date before arrival",IF(AND($D256&lt;&gt;"",COUNTIFS(tblShipment[Shipment ID],$C256,tblShipment[Item Code],$D256)=0),"Item not in this shipment",IF(AND($H256&lt;&gt;"",COUNTIFS(tblCouriers[Courier],$H256,tblCouriers[Market],$B256)=0),"Courier not in this market","OK")))))))))))))))</f>
        <v>OK</v>
      </c>
    </row>
    <row r="257" customFormat="false" ht="15" hidden="false" customHeight="false" outlineLevel="0" collapsed="false">
      <c r="A257" s="27" t="n">
        <v>46230</v>
      </c>
      <c r="B257" s="26" t="s">
        <v>78</v>
      </c>
      <c r="C257" s="26" t="s">
        <v>133</v>
      </c>
      <c r="D257" s="26" t="s">
        <v>67</v>
      </c>
      <c r="E257" s="26" t="s">
        <v>93</v>
      </c>
      <c r="F257" s="28" t="n">
        <v>55</v>
      </c>
      <c r="G257" s="28"/>
      <c r="H257" s="26" t="s">
        <v>79</v>
      </c>
      <c r="I257" s="26"/>
      <c r="J257" s="26"/>
      <c r="K257" s="29" t="str">
        <f aca="false">IF($A257="","",IF(COUNTIFS(tblMoveTypes[Movement],$E257)=0,"Unknown movement type",IF(COUNTIF(tblShipment[Shipment ID],$C257)=0,"Unknown shipment",IF(COUNTIFS(tblShipment[Shipment ID],$C257,tblShipment[Market],$B257)=0,"Market does not match shipment",IF(AND(IFERROR(INDEX(tblMoveTypes[Item?],MATCH($E257,tblMoveTypes[Movement],0)),"?")="Yes",$D257=""),"Item needed",IF(AND(IFERROR(INDEX(tblMoveTypes[Item?],MATCH($E257,tblMoveTypes[Movement],0)),"?")="No",$D257&lt;&gt;""),"Leave Item blank",IF(AND(IFERROR(INDEX(tblMoveTypes[Courier?],MATCH($E257,tblMoveTypes[Movement],0)),"?")="Yes",$H257=""),"Courier needed",IF(AND(IFERROR(INDEX(tblMoveTypes[Courier?],MATCH($E257,tblMoveTypes[Movement],0)),"?")="No",$H257&lt;&gt;""),"Leave Courier blank",IF(AND(IFERROR(INDEX(tblMoveTypes[Orders?],MATCH($E257,tblMoveTypes[Movement],0)),"?")="Yes",$G257=""),"Orders needed",IF(AND(IFERROR(INDEX(tblMoveTypes[Orders?],MATCH($E257,tblMoveTypes[Movement],0)),"?")="No",$G257&lt;&gt;""),"Leave Orders blank",IF(AND(IFERROR(INDEX(tblMoveTypes[Reason?],MATCH($E257,tblMoveTypes[Movement],0)),"?")="Yes",$I257=""),"Reason needed",IF(AND(IFERROR(INDEX(tblMoveTypes[Qty?],MATCH($E257,tblMoveTypes[Movement],0)),"?")="Yes",N($F257)&lt;=0),"Qty needed",IF($A257&lt;_xlfn.MINIFS(tblShipment[Arrival Date],tblShipment[Shipment ID],$C257),"Date before arrival",IF(AND($D257&lt;&gt;"",COUNTIFS(tblShipment[Shipment ID],$C257,tblShipment[Item Code],$D257)=0),"Item not in this shipment",IF(AND($H257&lt;&gt;"",COUNTIFS(tblCouriers[Courier],$H257,tblCouriers[Market],$B257)=0),"Courier not in this market","OK")))))))))))))))</f>
        <v>OK</v>
      </c>
    </row>
    <row r="258" customFormat="false" ht="15" hidden="false" customHeight="false" outlineLevel="0" collapsed="false">
      <c r="A258" s="27" t="n">
        <v>46230</v>
      </c>
      <c r="B258" s="26" t="s">
        <v>78</v>
      </c>
      <c r="C258" s="26" t="s">
        <v>133</v>
      </c>
      <c r="D258" s="26" t="s">
        <v>67</v>
      </c>
      <c r="E258" s="26" t="s">
        <v>93</v>
      </c>
      <c r="F258" s="28" t="n">
        <v>37</v>
      </c>
      <c r="G258" s="28"/>
      <c r="H258" s="26" t="s">
        <v>86</v>
      </c>
      <c r="I258" s="26"/>
      <c r="J258" s="26"/>
      <c r="K258" s="29" t="str">
        <f aca="false">IF($A258="","",IF(COUNTIFS(tblMoveTypes[Movement],$E258)=0,"Unknown movement type",IF(COUNTIF(tblShipment[Shipment ID],$C258)=0,"Unknown shipment",IF(COUNTIFS(tblShipment[Shipment ID],$C258,tblShipment[Market],$B258)=0,"Market does not match shipment",IF(AND(IFERROR(INDEX(tblMoveTypes[Item?],MATCH($E258,tblMoveTypes[Movement],0)),"?")="Yes",$D258=""),"Item needed",IF(AND(IFERROR(INDEX(tblMoveTypes[Item?],MATCH($E258,tblMoveTypes[Movement],0)),"?")="No",$D258&lt;&gt;""),"Leave Item blank",IF(AND(IFERROR(INDEX(tblMoveTypes[Courier?],MATCH($E258,tblMoveTypes[Movement],0)),"?")="Yes",$H258=""),"Courier needed",IF(AND(IFERROR(INDEX(tblMoveTypes[Courier?],MATCH($E258,tblMoveTypes[Movement],0)),"?")="No",$H258&lt;&gt;""),"Leave Courier blank",IF(AND(IFERROR(INDEX(tblMoveTypes[Orders?],MATCH($E258,tblMoveTypes[Movement],0)),"?")="Yes",$G258=""),"Orders needed",IF(AND(IFERROR(INDEX(tblMoveTypes[Orders?],MATCH($E258,tblMoveTypes[Movement],0)),"?")="No",$G258&lt;&gt;""),"Leave Orders blank",IF(AND(IFERROR(INDEX(tblMoveTypes[Reason?],MATCH($E258,tblMoveTypes[Movement],0)),"?")="Yes",$I258=""),"Reason needed",IF(AND(IFERROR(INDEX(tblMoveTypes[Qty?],MATCH($E258,tblMoveTypes[Movement],0)),"?")="Yes",N($F258)&lt;=0),"Qty needed",IF($A258&lt;_xlfn.MINIFS(tblShipment[Arrival Date],tblShipment[Shipment ID],$C258),"Date before arrival",IF(AND($D258&lt;&gt;"",COUNTIFS(tblShipment[Shipment ID],$C258,tblShipment[Item Code],$D258)=0),"Item not in this shipment",IF(AND($H258&lt;&gt;"",COUNTIFS(tblCouriers[Courier],$H258,tblCouriers[Market],$B258)=0),"Courier not in this market","OK")))))))))))))))</f>
        <v>OK</v>
      </c>
    </row>
    <row r="259" customFormat="false" ht="15" hidden="false" customHeight="false" outlineLevel="0" collapsed="false">
      <c r="A259" s="27" t="n">
        <v>46230</v>
      </c>
      <c r="B259" s="26" t="s">
        <v>78</v>
      </c>
      <c r="C259" s="26" t="s">
        <v>133</v>
      </c>
      <c r="D259" s="26" t="s">
        <v>99</v>
      </c>
      <c r="E259" s="26" t="s">
        <v>93</v>
      </c>
      <c r="F259" s="28" t="n">
        <v>56</v>
      </c>
      <c r="G259" s="28"/>
      <c r="H259" s="26" t="s">
        <v>79</v>
      </c>
      <c r="I259" s="26"/>
      <c r="J259" s="26"/>
      <c r="K259" s="29" t="str">
        <f aca="false">IF($A259="","",IF(COUNTIFS(tblMoveTypes[Movement],$E259)=0,"Unknown movement type",IF(COUNTIF(tblShipment[Shipment ID],$C259)=0,"Unknown shipment",IF(COUNTIFS(tblShipment[Shipment ID],$C259,tblShipment[Market],$B259)=0,"Market does not match shipment",IF(AND(IFERROR(INDEX(tblMoveTypes[Item?],MATCH($E259,tblMoveTypes[Movement],0)),"?")="Yes",$D259=""),"Item needed",IF(AND(IFERROR(INDEX(tblMoveTypes[Item?],MATCH($E259,tblMoveTypes[Movement],0)),"?")="No",$D259&lt;&gt;""),"Leave Item blank",IF(AND(IFERROR(INDEX(tblMoveTypes[Courier?],MATCH($E259,tblMoveTypes[Movement],0)),"?")="Yes",$H259=""),"Courier needed",IF(AND(IFERROR(INDEX(tblMoveTypes[Courier?],MATCH($E259,tblMoveTypes[Movement],0)),"?")="No",$H259&lt;&gt;""),"Leave Courier blank",IF(AND(IFERROR(INDEX(tblMoveTypes[Orders?],MATCH($E259,tblMoveTypes[Movement],0)),"?")="Yes",$G259=""),"Orders needed",IF(AND(IFERROR(INDEX(tblMoveTypes[Orders?],MATCH($E259,tblMoveTypes[Movement],0)),"?")="No",$G259&lt;&gt;""),"Leave Orders blank",IF(AND(IFERROR(INDEX(tblMoveTypes[Reason?],MATCH($E259,tblMoveTypes[Movement],0)),"?")="Yes",$I259=""),"Reason needed",IF(AND(IFERROR(INDEX(tblMoveTypes[Qty?],MATCH($E259,tblMoveTypes[Movement],0)),"?")="Yes",N($F259)&lt;=0),"Qty needed",IF($A259&lt;_xlfn.MINIFS(tblShipment[Arrival Date],tblShipment[Shipment ID],$C259),"Date before arrival",IF(AND($D259&lt;&gt;"",COUNTIFS(tblShipment[Shipment ID],$C259,tblShipment[Item Code],$D259)=0),"Item not in this shipment",IF(AND($H259&lt;&gt;"",COUNTIFS(tblCouriers[Courier],$H259,tblCouriers[Market],$B259)=0),"Courier not in this market","OK")))))))))))))))</f>
        <v>OK</v>
      </c>
    </row>
    <row r="260" customFormat="false" ht="15" hidden="false" customHeight="false" outlineLevel="0" collapsed="false">
      <c r="A260" s="27" t="n">
        <v>46230</v>
      </c>
      <c r="B260" s="26" t="s">
        <v>78</v>
      </c>
      <c r="C260" s="26" t="s">
        <v>133</v>
      </c>
      <c r="D260" s="26" t="s">
        <v>99</v>
      </c>
      <c r="E260" s="26" t="s">
        <v>93</v>
      </c>
      <c r="F260" s="28" t="n">
        <v>37</v>
      </c>
      <c r="G260" s="28"/>
      <c r="H260" s="26" t="s">
        <v>86</v>
      </c>
      <c r="I260" s="26"/>
      <c r="J260" s="26"/>
      <c r="K260" s="29" t="str">
        <f aca="false">IF($A260="","",IF(COUNTIFS(tblMoveTypes[Movement],$E260)=0,"Unknown movement type",IF(COUNTIF(tblShipment[Shipment ID],$C260)=0,"Unknown shipment",IF(COUNTIFS(tblShipment[Shipment ID],$C260,tblShipment[Market],$B260)=0,"Market does not match shipment",IF(AND(IFERROR(INDEX(tblMoveTypes[Item?],MATCH($E260,tblMoveTypes[Movement],0)),"?")="Yes",$D260=""),"Item needed",IF(AND(IFERROR(INDEX(tblMoveTypes[Item?],MATCH($E260,tblMoveTypes[Movement],0)),"?")="No",$D260&lt;&gt;""),"Leave Item blank",IF(AND(IFERROR(INDEX(tblMoveTypes[Courier?],MATCH($E260,tblMoveTypes[Movement],0)),"?")="Yes",$H260=""),"Courier needed",IF(AND(IFERROR(INDEX(tblMoveTypes[Courier?],MATCH($E260,tblMoveTypes[Movement],0)),"?")="No",$H260&lt;&gt;""),"Leave Courier blank",IF(AND(IFERROR(INDEX(tblMoveTypes[Orders?],MATCH($E260,tblMoveTypes[Movement],0)),"?")="Yes",$G260=""),"Orders needed",IF(AND(IFERROR(INDEX(tblMoveTypes[Orders?],MATCH($E260,tblMoveTypes[Movement],0)),"?")="No",$G260&lt;&gt;""),"Leave Orders blank",IF(AND(IFERROR(INDEX(tblMoveTypes[Reason?],MATCH($E260,tblMoveTypes[Movement],0)),"?")="Yes",$I260=""),"Reason needed",IF(AND(IFERROR(INDEX(tblMoveTypes[Qty?],MATCH($E260,tblMoveTypes[Movement],0)),"?")="Yes",N($F260)&lt;=0),"Qty needed",IF($A260&lt;_xlfn.MINIFS(tblShipment[Arrival Date],tblShipment[Shipment ID],$C260),"Date before arrival",IF(AND($D260&lt;&gt;"",COUNTIFS(tblShipment[Shipment ID],$C260,tblShipment[Item Code],$D260)=0),"Item not in this shipment",IF(AND($H260&lt;&gt;"",COUNTIFS(tblCouriers[Courier],$H260,tblCouriers[Market],$B260)=0),"Courier not in this market","OK")))))))))))))))</f>
        <v>OK</v>
      </c>
    </row>
    <row r="261" customFormat="false" ht="15" hidden="false" customHeight="false" outlineLevel="0" collapsed="false">
      <c r="A261" s="27" t="n">
        <v>46230</v>
      </c>
      <c r="B261" s="26" t="s">
        <v>78</v>
      </c>
      <c r="C261" s="26" t="s">
        <v>133</v>
      </c>
      <c r="D261" s="26" t="s">
        <v>76</v>
      </c>
      <c r="E261" s="26" t="s">
        <v>93</v>
      </c>
      <c r="F261" s="28" t="n">
        <v>55</v>
      </c>
      <c r="G261" s="28"/>
      <c r="H261" s="26" t="s">
        <v>79</v>
      </c>
      <c r="I261" s="26"/>
      <c r="J261" s="26"/>
      <c r="K261" s="29" t="str">
        <f aca="false">IF($A261="","",IF(COUNTIFS(tblMoveTypes[Movement],$E261)=0,"Unknown movement type",IF(COUNTIF(tblShipment[Shipment ID],$C261)=0,"Unknown shipment",IF(COUNTIFS(tblShipment[Shipment ID],$C261,tblShipment[Market],$B261)=0,"Market does not match shipment",IF(AND(IFERROR(INDEX(tblMoveTypes[Item?],MATCH($E261,tblMoveTypes[Movement],0)),"?")="Yes",$D261=""),"Item needed",IF(AND(IFERROR(INDEX(tblMoveTypes[Item?],MATCH($E261,tblMoveTypes[Movement],0)),"?")="No",$D261&lt;&gt;""),"Leave Item blank",IF(AND(IFERROR(INDEX(tblMoveTypes[Courier?],MATCH($E261,tblMoveTypes[Movement],0)),"?")="Yes",$H261=""),"Courier needed",IF(AND(IFERROR(INDEX(tblMoveTypes[Courier?],MATCH($E261,tblMoveTypes[Movement],0)),"?")="No",$H261&lt;&gt;""),"Leave Courier blank",IF(AND(IFERROR(INDEX(tblMoveTypes[Orders?],MATCH($E261,tblMoveTypes[Movement],0)),"?")="Yes",$G261=""),"Orders needed",IF(AND(IFERROR(INDEX(tblMoveTypes[Orders?],MATCH($E261,tblMoveTypes[Movement],0)),"?")="No",$G261&lt;&gt;""),"Leave Orders blank",IF(AND(IFERROR(INDEX(tblMoveTypes[Reason?],MATCH($E261,tblMoveTypes[Movement],0)),"?")="Yes",$I261=""),"Reason needed",IF(AND(IFERROR(INDEX(tblMoveTypes[Qty?],MATCH($E261,tblMoveTypes[Movement],0)),"?")="Yes",N($F261)&lt;=0),"Qty needed",IF($A261&lt;_xlfn.MINIFS(tblShipment[Arrival Date],tblShipment[Shipment ID],$C261),"Date before arrival",IF(AND($D261&lt;&gt;"",COUNTIFS(tblShipment[Shipment ID],$C261,tblShipment[Item Code],$D261)=0),"Item not in this shipment",IF(AND($H261&lt;&gt;"",COUNTIFS(tblCouriers[Courier],$H261,tblCouriers[Market],$B261)=0),"Courier not in this market","OK")))))))))))))))</f>
        <v>OK</v>
      </c>
    </row>
    <row r="262" customFormat="false" ht="15" hidden="false" customHeight="false" outlineLevel="0" collapsed="false">
      <c r="A262" s="27" t="n">
        <v>46230</v>
      </c>
      <c r="B262" s="26" t="s">
        <v>78</v>
      </c>
      <c r="C262" s="26" t="s">
        <v>133</v>
      </c>
      <c r="D262" s="26" t="s">
        <v>76</v>
      </c>
      <c r="E262" s="26" t="s">
        <v>93</v>
      </c>
      <c r="F262" s="28" t="n">
        <v>36</v>
      </c>
      <c r="G262" s="28"/>
      <c r="H262" s="26" t="s">
        <v>86</v>
      </c>
      <c r="I262" s="26"/>
      <c r="J262" s="26"/>
      <c r="K262" s="29" t="str">
        <f aca="false">IF($A262="","",IF(COUNTIFS(tblMoveTypes[Movement],$E262)=0,"Unknown movement type",IF(COUNTIF(tblShipment[Shipment ID],$C262)=0,"Unknown shipment",IF(COUNTIFS(tblShipment[Shipment ID],$C262,tblShipment[Market],$B262)=0,"Market does not match shipment",IF(AND(IFERROR(INDEX(tblMoveTypes[Item?],MATCH($E262,tblMoveTypes[Movement],0)),"?")="Yes",$D262=""),"Item needed",IF(AND(IFERROR(INDEX(tblMoveTypes[Item?],MATCH($E262,tblMoveTypes[Movement],0)),"?")="No",$D262&lt;&gt;""),"Leave Item blank",IF(AND(IFERROR(INDEX(tblMoveTypes[Courier?],MATCH($E262,tblMoveTypes[Movement],0)),"?")="Yes",$H262=""),"Courier needed",IF(AND(IFERROR(INDEX(tblMoveTypes[Courier?],MATCH($E262,tblMoveTypes[Movement],0)),"?")="No",$H262&lt;&gt;""),"Leave Courier blank",IF(AND(IFERROR(INDEX(tblMoveTypes[Orders?],MATCH($E262,tblMoveTypes[Movement],0)),"?")="Yes",$G262=""),"Orders needed",IF(AND(IFERROR(INDEX(tblMoveTypes[Orders?],MATCH($E262,tblMoveTypes[Movement],0)),"?")="No",$G262&lt;&gt;""),"Leave Orders blank",IF(AND(IFERROR(INDEX(tblMoveTypes[Reason?],MATCH($E262,tblMoveTypes[Movement],0)),"?")="Yes",$I262=""),"Reason needed",IF(AND(IFERROR(INDEX(tblMoveTypes[Qty?],MATCH($E262,tblMoveTypes[Movement],0)),"?")="Yes",N($F262)&lt;=0),"Qty needed",IF($A262&lt;_xlfn.MINIFS(tblShipment[Arrival Date],tblShipment[Shipment ID],$C262),"Date before arrival",IF(AND($D262&lt;&gt;"",COUNTIFS(tblShipment[Shipment ID],$C262,tblShipment[Item Code],$D262)=0),"Item not in this shipment",IF(AND($H262&lt;&gt;"",COUNTIFS(tblCouriers[Courier],$H262,tblCouriers[Market],$B262)=0),"Courier not in this market","OK")))))))))))))))</f>
        <v>OK</v>
      </c>
    </row>
    <row r="263" customFormat="false" ht="15" hidden="false" customHeight="false" outlineLevel="0" collapsed="false">
      <c r="A263" s="27" t="n">
        <v>46230</v>
      </c>
      <c r="B263" s="26" t="s">
        <v>78</v>
      </c>
      <c r="C263" s="26" t="s">
        <v>133</v>
      </c>
      <c r="D263" s="26"/>
      <c r="E263" s="26" t="s">
        <v>104</v>
      </c>
      <c r="F263" s="28"/>
      <c r="G263" s="28" t="n">
        <v>31</v>
      </c>
      <c r="H263" s="26" t="s">
        <v>79</v>
      </c>
      <c r="I263" s="26"/>
      <c r="J263" s="26"/>
      <c r="K263" s="29" t="str">
        <f aca="false">IF($A263="","",IF(COUNTIFS(tblMoveTypes[Movement],$E263)=0,"Unknown movement type",IF(COUNTIF(tblShipment[Shipment ID],$C263)=0,"Unknown shipment",IF(COUNTIFS(tblShipment[Shipment ID],$C263,tblShipment[Market],$B263)=0,"Market does not match shipment",IF(AND(IFERROR(INDEX(tblMoveTypes[Item?],MATCH($E263,tblMoveTypes[Movement],0)),"?")="Yes",$D263=""),"Item needed",IF(AND(IFERROR(INDEX(tblMoveTypes[Item?],MATCH($E263,tblMoveTypes[Movement],0)),"?")="No",$D263&lt;&gt;""),"Leave Item blank",IF(AND(IFERROR(INDEX(tblMoveTypes[Courier?],MATCH($E263,tblMoveTypes[Movement],0)),"?")="Yes",$H263=""),"Courier needed",IF(AND(IFERROR(INDEX(tblMoveTypes[Courier?],MATCH($E263,tblMoveTypes[Movement],0)),"?")="No",$H263&lt;&gt;""),"Leave Courier blank",IF(AND(IFERROR(INDEX(tblMoveTypes[Orders?],MATCH($E263,tblMoveTypes[Movement],0)),"?")="Yes",$G263=""),"Orders needed",IF(AND(IFERROR(INDEX(tblMoveTypes[Orders?],MATCH($E263,tblMoveTypes[Movement],0)),"?")="No",$G263&lt;&gt;""),"Leave Orders blank",IF(AND(IFERROR(INDEX(tblMoveTypes[Reason?],MATCH($E263,tblMoveTypes[Movement],0)),"?")="Yes",$I263=""),"Reason needed",IF(AND(IFERROR(INDEX(tblMoveTypes[Qty?],MATCH($E263,tblMoveTypes[Movement],0)),"?")="Yes",N($F263)&lt;=0),"Qty needed",IF($A263&lt;_xlfn.MINIFS(tblShipment[Arrival Date],tblShipment[Shipment ID],$C263),"Date before arrival",IF(AND($D263&lt;&gt;"",COUNTIFS(tblShipment[Shipment ID],$C263,tblShipment[Item Code],$D263)=0),"Item not in this shipment",IF(AND($H263&lt;&gt;"",COUNTIFS(tblCouriers[Courier],$H263,tblCouriers[Market],$B263)=0),"Courier not in this market","OK")))))))))))))))</f>
        <v>OK</v>
      </c>
    </row>
    <row r="264" customFormat="false" ht="15" hidden="false" customHeight="false" outlineLevel="0" collapsed="false">
      <c r="A264" s="27" t="n">
        <v>46230</v>
      </c>
      <c r="B264" s="26" t="s">
        <v>78</v>
      </c>
      <c r="C264" s="26" t="s">
        <v>133</v>
      </c>
      <c r="D264" s="26"/>
      <c r="E264" s="26" t="s">
        <v>104</v>
      </c>
      <c r="F264" s="28"/>
      <c r="G264" s="28" t="n">
        <v>20</v>
      </c>
      <c r="H264" s="26" t="s">
        <v>86</v>
      </c>
      <c r="I264" s="26"/>
      <c r="J264" s="26"/>
      <c r="K264" s="29" t="str">
        <f aca="false">IF($A264="","",IF(COUNTIFS(tblMoveTypes[Movement],$E264)=0,"Unknown movement type",IF(COUNTIF(tblShipment[Shipment ID],$C264)=0,"Unknown shipment",IF(COUNTIFS(tblShipment[Shipment ID],$C264,tblShipment[Market],$B264)=0,"Market does not match shipment",IF(AND(IFERROR(INDEX(tblMoveTypes[Item?],MATCH($E264,tblMoveTypes[Movement],0)),"?")="Yes",$D264=""),"Item needed",IF(AND(IFERROR(INDEX(tblMoveTypes[Item?],MATCH($E264,tblMoveTypes[Movement],0)),"?")="No",$D264&lt;&gt;""),"Leave Item blank",IF(AND(IFERROR(INDEX(tblMoveTypes[Courier?],MATCH($E264,tblMoveTypes[Movement],0)),"?")="Yes",$H264=""),"Courier needed",IF(AND(IFERROR(INDEX(tblMoveTypes[Courier?],MATCH($E264,tblMoveTypes[Movement],0)),"?")="No",$H264&lt;&gt;""),"Leave Courier blank",IF(AND(IFERROR(INDEX(tblMoveTypes[Orders?],MATCH($E264,tblMoveTypes[Movement],0)),"?")="Yes",$G264=""),"Orders needed",IF(AND(IFERROR(INDEX(tblMoveTypes[Orders?],MATCH($E264,tblMoveTypes[Movement],0)),"?")="No",$G264&lt;&gt;""),"Leave Orders blank",IF(AND(IFERROR(INDEX(tblMoveTypes[Reason?],MATCH($E264,tblMoveTypes[Movement],0)),"?")="Yes",$I264=""),"Reason needed",IF(AND(IFERROR(INDEX(tblMoveTypes[Qty?],MATCH($E264,tblMoveTypes[Movement],0)),"?")="Yes",N($F264)&lt;=0),"Qty needed",IF($A264&lt;_xlfn.MINIFS(tblShipment[Arrival Date],tblShipment[Shipment ID],$C264),"Date before arrival",IF(AND($D264&lt;&gt;"",COUNTIFS(tblShipment[Shipment ID],$C264,tblShipment[Item Code],$D264)=0),"Item not in this shipment",IF(AND($H264&lt;&gt;"",COUNTIFS(tblCouriers[Courier],$H264,tblCouriers[Market],$B264)=0),"Courier not in this market","OK")))))))))))))))</f>
        <v>OK</v>
      </c>
    </row>
    <row r="265" customFormat="false" ht="15" hidden="false" customHeight="false" outlineLevel="0" collapsed="false">
      <c r="A265" s="27" t="n">
        <v>46231</v>
      </c>
      <c r="B265" s="26" t="s">
        <v>70</v>
      </c>
      <c r="C265" s="26" t="s">
        <v>125</v>
      </c>
      <c r="D265" s="26"/>
      <c r="E265" s="26" t="s">
        <v>106</v>
      </c>
      <c r="F265" s="28" t="n">
        <v>98</v>
      </c>
      <c r="G265" s="28" t="n">
        <v>15</v>
      </c>
      <c r="H265" s="26" t="s">
        <v>71</v>
      </c>
      <c r="I265" s="26"/>
      <c r="J265" s="26"/>
      <c r="K265" s="29" t="str">
        <f aca="false">IF($A265="","",IF(COUNTIFS(tblMoveTypes[Movement],$E265)=0,"Unknown movement type",IF(COUNTIF(tblShipment[Shipment ID],$C265)=0,"Unknown shipment",IF(COUNTIFS(tblShipment[Shipment ID],$C265,tblShipment[Market],$B265)=0,"Market does not match shipment",IF(AND(IFERROR(INDEX(tblMoveTypes[Item?],MATCH($E265,tblMoveTypes[Movement],0)),"?")="Yes",$D265=""),"Item needed",IF(AND(IFERROR(INDEX(tblMoveTypes[Item?],MATCH($E265,tblMoveTypes[Movement],0)),"?")="No",$D265&lt;&gt;""),"Leave Item blank",IF(AND(IFERROR(INDEX(tblMoveTypes[Courier?],MATCH($E265,tblMoveTypes[Movement],0)),"?")="Yes",$H265=""),"Courier needed",IF(AND(IFERROR(INDEX(tblMoveTypes[Courier?],MATCH($E265,tblMoveTypes[Movement],0)),"?")="No",$H265&lt;&gt;""),"Leave Courier blank",IF(AND(IFERROR(INDEX(tblMoveTypes[Orders?],MATCH($E265,tblMoveTypes[Movement],0)),"?")="Yes",$G265=""),"Orders needed",IF(AND(IFERROR(INDEX(tblMoveTypes[Orders?],MATCH($E265,tblMoveTypes[Movement],0)),"?")="No",$G265&lt;&gt;""),"Leave Orders blank",IF(AND(IFERROR(INDEX(tblMoveTypes[Reason?],MATCH($E265,tblMoveTypes[Movement],0)),"?")="Yes",$I265=""),"Reason needed",IF(AND(IFERROR(INDEX(tblMoveTypes[Qty?],MATCH($E265,tblMoveTypes[Movement],0)),"?")="Yes",N($F265)&lt;=0),"Qty needed",IF($A265&lt;_xlfn.MINIFS(tblShipment[Arrival Date],tblShipment[Shipment ID],$C265),"Date before arrival",IF(AND($D265&lt;&gt;"",COUNTIFS(tblShipment[Shipment ID],$C265,tblShipment[Item Code],$D265)=0),"Item not in this shipment",IF(AND($H265&lt;&gt;"",COUNTIFS(tblCouriers[Courier],$H265,tblCouriers[Market],$B265)=0),"Courier not in this market","OK")))))))))))))))</f>
        <v>OK</v>
      </c>
    </row>
    <row r="266" customFormat="false" ht="15" hidden="false" customHeight="false" outlineLevel="0" collapsed="false">
      <c r="A266" s="27" t="n">
        <v>46231</v>
      </c>
      <c r="B266" s="26" t="s">
        <v>70</v>
      </c>
      <c r="C266" s="26" t="s">
        <v>125</v>
      </c>
      <c r="D266" s="26"/>
      <c r="E266" s="26" t="s">
        <v>108</v>
      </c>
      <c r="F266" s="28" t="n">
        <v>19</v>
      </c>
      <c r="G266" s="28" t="n">
        <v>1</v>
      </c>
      <c r="H266" s="26" t="s">
        <v>71</v>
      </c>
      <c r="I266" s="26" t="s">
        <v>105</v>
      </c>
      <c r="J266" s="26"/>
      <c r="K266" s="29" t="str">
        <f aca="false">IF($A266="","",IF(COUNTIFS(tblMoveTypes[Movement],$E266)=0,"Unknown movement type",IF(COUNTIF(tblShipment[Shipment ID],$C266)=0,"Unknown shipment",IF(COUNTIFS(tblShipment[Shipment ID],$C266,tblShipment[Market],$B266)=0,"Market does not match shipment",IF(AND(IFERROR(INDEX(tblMoveTypes[Item?],MATCH($E266,tblMoveTypes[Movement],0)),"?")="Yes",$D266=""),"Item needed",IF(AND(IFERROR(INDEX(tblMoveTypes[Item?],MATCH($E266,tblMoveTypes[Movement],0)),"?")="No",$D266&lt;&gt;""),"Leave Item blank",IF(AND(IFERROR(INDEX(tblMoveTypes[Courier?],MATCH($E266,tblMoveTypes[Movement],0)),"?")="Yes",$H266=""),"Courier needed",IF(AND(IFERROR(INDEX(tblMoveTypes[Courier?],MATCH($E266,tblMoveTypes[Movement],0)),"?")="No",$H266&lt;&gt;""),"Leave Courier blank",IF(AND(IFERROR(INDEX(tblMoveTypes[Orders?],MATCH($E266,tblMoveTypes[Movement],0)),"?")="Yes",$G266=""),"Orders needed",IF(AND(IFERROR(INDEX(tblMoveTypes[Orders?],MATCH($E266,tblMoveTypes[Movement],0)),"?")="No",$G266&lt;&gt;""),"Leave Orders blank",IF(AND(IFERROR(INDEX(tblMoveTypes[Reason?],MATCH($E266,tblMoveTypes[Movement],0)),"?")="Yes",$I266=""),"Reason needed",IF(AND(IFERROR(INDEX(tblMoveTypes[Qty?],MATCH($E266,tblMoveTypes[Movement],0)),"?")="Yes",N($F266)&lt;=0),"Qty needed",IF($A266&lt;_xlfn.MINIFS(tblShipment[Arrival Date],tblShipment[Shipment ID],$C266),"Date before arrival",IF(AND($D266&lt;&gt;"",COUNTIFS(tblShipment[Shipment ID],$C266,tblShipment[Item Code],$D266)=0),"Item not in this shipment",IF(AND($H266&lt;&gt;"",COUNTIFS(tblCouriers[Courier],$H266,tblCouriers[Market],$B266)=0),"Courier not in this market","OK")))))))))))))))</f>
        <v>OK</v>
      </c>
    </row>
    <row r="267" customFormat="false" ht="15" hidden="false" customHeight="false" outlineLevel="0" collapsed="false">
      <c r="A267" s="27" t="n">
        <v>46231</v>
      </c>
      <c r="B267" s="26" t="s">
        <v>70</v>
      </c>
      <c r="C267" s="26" t="s">
        <v>125</v>
      </c>
      <c r="D267" s="26" t="s">
        <v>88</v>
      </c>
      <c r="E267" s="26" t="s">
        <v>110</v>
      </c>
      <c r="F267" s="28" t="n">
        <v>13</v>
      </c>
      <c r="G267" s="28"/>
      <c r="H267" s="26"/>
      <c r="I267" s="26"/>
      <c r="J267" s="26"/>
      <c r="K267" s="29" t="str">
        <f aca="false">IF($A267="","",IF(COUNTIFS(tblMoveTypes[Movement],$E267)=0,"Unknown movement type",IF(COUNTIF(tblShipment[Shipment ID],$C267)=0,"Unknown shipment",IF(COUNTIFS(tblShipment[Shipment ID],$C267,tblShipment[Market],$B267)=0,"Market does not match shipment",IF(AND(IFERROR(INDEX(tblMoveTypes[Item?],MATCH($E267,tblMoveTypes[Movement],0)),"?")="Yes",$D267=""),"Item needed",IF(AND(IFERROR(INDEX(tblMoveTypes[Item?],MATCH($E267,tblMoveTypes[Movement],0)),"?")="No",$D267&lt;&gt;""),"Leave Item blank",IF(AND(IFERROR(INDEX(tblMoveTypes[Courier?],MATCH($E267,tblMoveTypes[Movement],0)),"?")="Yes",$H267=""),"Courier needed",IF(AND(IFERROR(INDEX(tblMoveTypes[Courier?],MATCH($E267,tblMoveTypes[Movement],0)),"?")="No",$H267&lt;&gt;""),"Leave Courier blank",IF(AND(IFERROR(INDEX(tblMoveTypes[Orders?],MATCH($E267,tblMoveTypes[Movement],0)),"?")="Yes",$G267=""),"Orders needed",IF(AND(IFERROR(INDEX(tblMoveTypes[Orders?],MATCH($E267,tblMoveTypes[Movement],0)),"?")="No",$G267&lt;&gt;""),"Leave Orders blank",IF(AND(IFERROR(INDEX(tblMoveTypes[Reason?],MATCH($E267,tblMoveTypes[Movement],0)),"?")="Yes",$I267=""),"Reason needed",IF(AND(IFERROR(INDEX(tblMoveTypes[Qty?],MATCH($E267,tblMoveTypes[Movement],0)),"?")="Yes",N($F267)&lt;=0),"Qty needed",IF($A267&lt;_xlfn.MINIFS(tblShipment[Arrival Date],tblShipment[Shipment ID],$C267),"Date before arrival",IF(AND($D267&lt;&gt;"",COUNTIFS(tblShipment[Shipment ID],$C267,tblShipment[Item Code],$D267)=0),"Item not in this shipment",IF(AND($H267&lt;&gt;"",COUNTIFS(tblCouriers[Courier],$H267,tblCouriers[Market],$B267)=0),"Courier not in this market","OK")))))))))))))))</f>
        <v>OK</v>
      </c>
    </row>
    <row r="268" customFormat="false" ht="15" hidden="false" customHeight="false" outlineLevel="0" collapsed="false">
      <c r="A268" s="27" t="n">
        <v>46231</v>
      </c>
      <c r="B268" s="26" t="s">
        <v>70</v>
      </c>
      <c r="C268" s="26" t="s">
        <v>125</v>
      </c>
      <c r="D268" s="26" t="s">
        <v>88</v>
      </c>
      <c r="E268" s="26" t="s">
        <v>112</v>
      </c>
      <c r="F268" s="28" t="n">
        <v>6</v>
      </c>
      <c r="G268" s="28"/>
      <c r="H268" s="26"/>
      <c r="I268" s="26" t="s">
        <v>72</v>
      </c>
      <c r="J268" s="26"/>
      <c r="K268" s="29" t="str">
        <f aca="false">IF($A268="","",IF(COUNTIFS(tblMoveTypes[Movement],$E268)=0,"Unknown movement type",IF(COUNTIF(tblShipment[Shipment ID],$C268)=0,"Unknown shipment",IF(COUNTIFS(tblShipment[Shipment ID],$C268,tblShipment[Market],$B268)=0,"Market does not match shipment",IF(AND(IFERROR(INDEX(tblMoveTypes[Item?],MATCH($E268,tblMoveTypes[Movement],0)),"?")="Yes",$D268=""),"Item needed",IF(AND(IFERROR(INDEX(tblMoveTypes[Item?],MATCH($E268,tblMoveTypes[Movement],0)),"?")="No",$D268&lt;&gt;""),"Leave Item blank",IF(AND(IFERROR(INDEX(tblMoveTypes[Courier?],MATCH($E268,tblMoveTypes[Movement],0)),"?")="Yes",$H268=""),"Courier needed",IF(AND(IFERROR(INDEX(tblMoveTypes[Courier?],MATCH($E268,tblMoveTypes[Movement],0)),"?")="No",$H268&lt;&gt;""),"Leave Courier blank",IF(AND(IFERROR(INDEX(tblMoveTypes[Orders?],MATCH($E268,tblMoveTypes[Movement],0)),"?")="Yes",$G268=""),"Orders needed",IF(AND(IFERROR(INDEX(tblMoveTypes[Orders?],MATCH($E268,tblMoveTypes[Movement],0)),"?")="No",$G268&lt;&gt;""),"Leave Orders blank",IF(AND(IFERROR(INDEX(tblMoveTypes[Reason?],MATCH($E268,tblMoveTypes[Movement],0)),"?")="Yes",$I268=""),"Reason needed",IF(AND(IFERROR(INDEX(tblMoveTypes[Qty?],MATCH($E268,tblMoveTypes[Movement],0)),"?")="Yes",N($F268)&lt;=0),"Qty needed",IF($A268&lt;_xlfn.MINIFS(tblShipment[Arrival Date],tblShipment[Shipment ID],$C268),"Date before arrival",IF(AND($D268&lt;&gt;"",COUNTIFS(tblShipment[Shipment ID],$C268,tblShipment[Item Code],$D268)=0),"Item not in this shipment",IF(AND($H268&lt;&gt;"",COUNTIFS(tblCouriers[Courier],$H268,tblCouriers[Market],$B268)=0),"Courier not in this market","OK")))))))))))))))</f>
        <v>OK</v>
      </c>
    </row>
    <row r="269" customFormat="false" ht="15" hidden="false" customHeight="false" outlineLevel="0" collapsed="false">
      <c r="A269" s="27" t="n">
        <v>46231</v>
      </c>
      <c r="B269" s="26" t="s">
        <v>70</v>
      </c>
      <c r="C269" s="26" t="s">
        <v>125</v>
      </c>
      <c r="D269" s="26"/>
      <c r="E269" s="26" t="s">
        <v>106</v>
      </c>
      <c r="F269" s="28" t="n">
        <v>13</v>
      </c>
      <c r="G269" s="28" t="n">
        <v>2</v>
      </c>
      <c r="H269" s="26" t="s">
        <v>71</v>
      </c>
      <c r="I269" s="26"/>
      <c r="J269" s="26"/>
      <c r="K269" s="29" t="str">
        <f aca="false">IF($A269="","",IF(COUNTIFS(tblMoveTypes[Movement],$E269)=0,"Unknown movement type",IF(COUNTIF(tblShipment[Shipment ID],$C269)=0,"Unknown shipment",IF(COUNTIFS(tblShipment[Shipment ID],$C269,tblShipment[Market],$B269)=0,"Market does not match shipment",IF(AND(IFERROR(INDEX(tblMoveTypes[Item?],MATCH($E269,tblMoveTypes[Movement],0)),"?")="Yes",$D269=""),"Item needed",IF(AND(IFERROR(INDEX(tblMoveTypes[Item?],MATCH($E269,tblMoveTypes[Movement],0)),"?")="No",$D269&lt;&gt;""),"Leave Item blank",IF(AND(IFERROR(INDEX(tblMoveTypes[Courier?],MATCH($E269,tblMoveTypes[Movement],0)),"?")="Yes",$H269=""),"Courier needed",IF(AND(IFERROR(INDEX(tblMoveTypes[Courier?],MATCH($E269,tblMoveTypes[Movement],0)),"?")="No",$H269&lt;&gt;""),"Leave Courier blank",IF(AND(IFERROR(INDEX(tblMoveTypes[Orders?],MATCH($E269,tblMoveTypes[Movement],0)),"?")="Yes",$G269=""),"Orders needed",IF(AND(IFERROR(INDEX(tblMoveTypes[Orders?],MATCH($E269,tblMoveTypes[Movement],0)),"?")="No",$G269&lt;&gt;""),"Leave Orders blank",IF(AND(IFERROR(INDEX(tblMoveTypes[Reason?],MATCH($E269,tblMoveTypes[Movement],0)),"?")="Yes",$I269=""),"Reason needed",IF(AND(IFERROR(INDEX(tblMoveTypes[Qty?],MATCH($E269,tblMoveTypes[Movement],0)),"?")="Yes",N($F269)&lt;=0),"Qty needed",IF($A269&lt;_xlfn.MINIFS(tblShipment[Arrival Date],tblShipment[Shipment ID],$C269),"Date before arrival",IF(AND($D269&lt;&gt;"",COUNTIFS(tblShipment[Shipment ID],$C269,tblShipment[Item Code],$D269)=0),"Item not in this shipment",IF(AND($H269&lt;&gt;"",COUNTIFS(tblCouriers[Courier],$H269,tblCouriers[Market],$B269)=0),"Courier not in this market","OK")))))))))))))))</f>
        <v>OK</v>
      </c>
    </row>
    <row r="270" customFormat="false" ht="15" hidden="false" customHeight="false" outlineLevel="0" collapsed="false">
      <c r="A270" s="27" t="n">
        <v>46231</v>
      </c>
      <c r="B270" s="26" t="s">
        <v>85</v>
      </c>
      <c r="C270" s="26" t="s">
        <v>140</v>
      </c>
      <c r="D270" s="26"/>
      <c r="E270" s="26" t="s">
        <v>108</v>
      </c>
      <c r="F270" s="28" t="n">
        <v>8</v>
      </c>
      <c r="G270" s="28" t="n">
        <v>1</v>
      </c>
      <c r="H270" s="26" t="s">
        <v>91</v>
      </c>
      <c r="I270" s="26" t="s">
        <v>102</v>
      </c>
      <c r="J270" s="26"/>
      <c r="K270" s="29" t="str">
        <f aca="false">IF($A270="","",IF(COUNTIFS(tblMoveTypes[Movement],$E270)=0,"Unknown movement type",IF(COUNTIF(tblShipment[Shipment ID],$C270)=0,"Unknown shipment",IF(COUNTIFS(tblShipment[Shipment ID],$C270,tblShipment[Market],$B270)=0,"Market does not match shipment",IF(AND(IFERROR(INDEX(tblMoveTypes[Item?],MATCH($E270,tblMoveTypes[Movement],0)),"?")="Yes",$D270=""),"Item needed",IF(AND(IFERROR(INDEX(tblMoveTypes[Item?],MATCH($E270,tblMoveTypes[Movement],0)),"?")="No",$D270&lt;&gt;""),"Leave Item blank",IF(AND(IFERROR(INDEX(tblMoveTypes[Courier?],MATCH($E270,tblMoveTypes[Movement],0)),"?")="Yes",$H270=""),"Courier needed",IF(AND(IFERROR(INDEX(tblMoveTypes[Courier?],MATCH($E270,tblMoveTypes[Movement],0)),"?")="No",$H270&lt;&gt;""),"Leave Courier blank",IF(AND(IFERROR(INDEX(tblMoveTypes[Orders?],MATCH($E270,tblMoveTypes[Movement],0)),"?")="Yes",$G270=""),"Orders needed",IF(AND(IFERROR(INDEX(tblMoveTypes[Orders?],MATCH($E270,tblMoveTypes[Movement],0)),"?")="No",$G270&lt;&gt;""),"Leave Orders blank",IF(AND(IFERROR(INDEX(tblMoveTypes[Reason?],MATCH($E270,tblMoveTypes[Movement],0)),"?")="Yes",$I270=""),"Reason needed",IF(AND(IFERROR(INDEX(tblMoveTypes[Qty?],MATCH($E270,tblMoveTypes[Movement],0)),"?")="Yes",N($F270)&lt;=0),"Qty needed",IF($A270&lt;_xlfn.MINIFS(tblShipment[Arrival Date],tblShipment[Shipment ID],$C270),"Date before arrival",IF(AND($D270&lt;&gt;"",COUNTIFS(tblShipment[Shipment ID],$C270,tblShipment[Item Code],$D270)=0),"Item not in this shipment",IF(AND($H270&lt;&gt;"",COUNTIFS(tblCouriers[Courier],$H270,tblCouriers[Market],$B270)=0),"Courier not in this market","OK")))))))))))))))</f>
        <v>OK</v>
      </c>
    </row>
    <row r="271" customFormat="false" ht="15" hidden="false" customHeight="false" outlineLevel="0" collapsed="false">
      <c r="A271" s="27" t="n">
        <v>46231</v>
      </c>
      <c r="B271" s="26" t="s">
        <v>85</v>
      </c>
      <c r="C271" s="26" t="s">
        <v>140</v>
      </c>
      <c r="D271" s="26" t="s">
        <v>88</v>
      </c>
      <c r="E271" s="26" t="s">
        <v>110</v>
      </c>
      <c r="F271" s="28" t="n">
        <v>6</v>
      </c>
      <c r="G271" s="28"/>
      <c r="H271" s="26"/>
      <c r="I271" s="26"/>
      <c r="J271" s="26"/>
      <c r="K271" s="29" t="str">
        <f aca="false">IF($A271="","",IF(COUNTIFS(tblMoveTypes[Movement],$E271)=0,"Unknown movement type",IF(COUNTIF(tblShipment[Shipment ID],$C271)=0,"Unknown shipment",IF(COUNTIFS(tblShipment[Shipment ID],$C271,tblShipment[Market],$B271)=0,"Market does not match shipment",IF(AND(IFERROR(INDEX(tblMoveTypes[Item?],MATCH($E271,tblMoveTypes[Movement],0)),"?")="Yes",$D271=""),"Item needed",IF(AND(IFERROR(INDEX(tblMoveTypes[Item?],MATCH($E271,tblMoveTypes[Movement],0)),"?")="No",$D271&lt;&gt;""),"Leave Item blank",IF(AND(IFERROR(INDEX(tblMoveTypes[Courier?],MATCH($E271,tblMoveTypes[Movement],0)),"?")="Yes",$H271=""),"Courier needed",IF(AND(IFERROR(INDEX(tblMoveTypes[Courier?],MATCH($E271,tblMoveTypes[Movement],0)),"?")="No",$H271&lt;&gt;""),"Leave Courier blank",IF(AND(IFERROR(INDEX(tblMoveTypes[Orders?],MATCH($E271,tblMoveTypes[Movement],0)),"?")="Yes",$G271=""),"Orders needed",IF(AND(IFERROR(INDEX(tblMoveTypes[Orders?],MATCH($E271,tblMoveTypes[Movement],0)),"?")="No",$G271&lt;&gt;""),"Leave Orders blank",IF(AND(IFERROR(INDEX(tblMoveTypes[Reason?],MATCH($E271,tblMoveTypes[Movement],0)),"?")="Yes",$I271=""),"Reason needed",IF(AND(IFERROR(INDEX(tblMoveTypes[Qty?],MATCH($E271,tblMoveTypes[Movement],0)),"?")="Yes",N($F271)&lt;=0),"Qty needed",IF($A271&lt;_xlfn.MINIFS(tblShipment[Arrival Date],tblShipment[Shipment ID],$C271),"Date before arrival",IF(AND($D271&lt;&gt;"",COUNTIFS(tblShipment[Shipment ID],$C271,tblShipment[Item Code],$D271)=0),"Item not in this shipment",IF(AND($H271&lt;&gt;"",COUNTIFS(tblCouriers[Courier],$H271,tblCouriers[Market],$B271)=0),"Courier not in this market","OK")))))))))))))))</f>
        <v>OK</v>
      </c>
    </row>
    <row r="272" customFormat="false" ht="15" hidden="false" customHeight="false" outlineLevel="0" collapsed="false">
      <c r="A272" s="27" t="n">
        <v>46231</v>
      </c>
      <c r="B272" s="26" t="s">
        <v>85</v>
      </c>
      <c r="C272" s="26" t="s">
        <v>140</v>
      </c>
      <c r="D272" s="26" t="s">
        <v>88</v>
      </c>
      <c r="E272" s="26" t="s">
        <v>112</v>
      </c>
      <c r="F272" s="28" t="n">
        <v>2</v>
      </c>
      <c r="G272" s="28"/>
      <c r="H272" s="26"/>
      <c r="I272" s="26" t="s">
        <v>72</v>
      </c>
      <c r="J272" s="26"/>
      <c r="K272" s="29" t="str">
        <f aca="false">IF($A272="","",IF(COUNTIFS(tblMoveTypes[Movement],$E272)=0,"Unknown movement type",IF(COUNTIF(tblShipment[Shipment ID],$C272)=0,"Unknown shipment",IF(COUNTIFS(tblShipment[Shipment ID],$C272,tblShipment[Market],$B272)=0,"Market does not match shipment",IF(AND(IFERROR(INDEX(tblMoveTypes[Item?],MATCH($E272,tblMoveTypes[Movement],0)),"?")="Yes",$D272=""),"Item needed",IF(AND(IFERROR(INDEX(tblMoveTypes[Item?],MATCH($E272,tblMoveTypes[Movement],0)),"?")="No",$D272&lt;&gt;""),"Leave Item blank",IF(AND(IFERROR(INDEX(tblMoveTypes[Courier?],MATCH($E272,tblMoveTypes[Movement],0)),"?")="Yes",$H272=""),"Courier needed",IF(AND(IFERROR(INDEX(tblMoveTypes[Courier?],MATCH($E272,tblMoveTypes[Movement],0)),"?")="No",$H272&lt;&gt;""),"Leave Courier blank",IF(AND(IFERROR(INDEX(tblMoveTypes[Orders?],MATCH($E272,tblMoveTypes[Movement],0)),"?")="Yes",$G272=""),"Orders needed",IF(AND(IFERROR(INDEX(tblMoveTypes[Orders?],MATCH($E272,tblMoveTypes[Movement],0)),"?")="No",$G272&lt;&gt;""),"Leave Orders blank",IF(AND(IFERROR(INDEX(tblMoveTypes[Reason?],MATCH($E272,tblMoveTypes[Movement],0)),"?")="Yes",$I272=""),"Reason needed",IF(AND(IFERROR(INDEX(tblMoveTypes[Qty?],MATCH($E272,tblMoveTypes[Movement],0)),"?")="Yes",N($F272)&lt;=0),"Qty needed",IF($A272&lt;_xlfn.MINIFS(tblShipment[Arrival Date],tblShipment[Shipment ID],$C272),"Date before arrival",IF(AND($D272&lt;&gt;"",COUNTIFS(tblShipment[Shipment ID],$C272,tblShipment[Item Code],$D272)=0),"Item not in this shipment",IF(AND($H272&lt;&gt;"",COUNTIFS(tblCouriers[Courier],$H272,tblCouriers[Market],$B272)=0),"Courier not in this market","OK")))))))))))))))</f>
        <v>OK</v>
      </c>
    </row>
    <row r="273" customFormat="false" ht="15" hidden="false" customHeight="false" outlineLevel="0" collapsed="false">
      <c r="A273" s="27" t="n">
        <v>46231</v>
      </c>
      <c r="B273" s="26" t="s">
        <v>85</v>
      </c>
      <c r="C273" s="26" t="s">
        <v>140</v>
      </c>
      <c r="D273" s="26"/>
      <c r="E273" s="26" t="s">
        <v>106</v>
      </c>
      <c r="F273" s="28" t="n">
        <v>17</v>
      </c>
      <c r="G273" s="28" t="n">
        <v>2</v>
      </c>
      <c r="H273" s="26" t="s">
        <v>96</v>
      </c>
      <c r="I273" s="26"/>
      <c r="J273" s="26"/>
      <c r="K273" s="29" t="str">
        <f aca="false">IF($A273="","",IF(COUNTIFS(tblMoveTypes[Movement],$E273)=0,"Unknown movement type",IF(COUNTIF(tblShipment[Shipment ID],$C273)=0,"Unknown shipment",IF(COUNTIFS(tblShipment[Shipment ID],$C273,tblShipment[Market],$B273)=0,"Market does not match shipment",IF(AND(IFERROR(INDEX(tblMoveTypes[Item?],MATCH($E273,tblMoveTypes[Movement],0)),"?")="Yes",$D273=""),"Item needed",IF(AND(IFERROR(INDEX(tblMoveTypes[Item?],MATCH($E273,tblMoveTypes[Movement],0)),"?")="No",$D273&lt;&gt;""),"Leave Item blank",IF(AND(IFERROR(INDEX(tblMoveTypes[Courier?],MATCH($E273,tblMoveTypes[Movement],0)),"?")="Yes",$H273=""),"Courier needed",IF(AND(IFERROR(INDEX(tblMoveTypes[Courier?],MATCH($E273,tblMoveTypes[Movement],0)),"?")="No",$H273&lt;&gt;""),"Leave Courier blank",IF(AND(IFERROR(INDEX(tblMoveTypes[Orders?],MATCH($E273,tblMoveTypes[Movement],0)),"?")="Yes",$G273=""),"Orders needed",IF(AND(IFERROR(INDEX(tblMoveTypes[Orders?],MATCH($E273,tblMoveTypes[Movement],0)),"?")="No",$G273&lt;&gt;""),"Leave Orders blank",IF(AND(IFERROR(INDEX(tblMoveTypes[Reason?],MATCH($E273,tblMoveTypes[Movement],0)),"?")="Yes",$I273=""),"Reason needed",IF(AND(IFERROR(INDEX(tblMoveTypes[Qty?],MATCH($E273,tblMoveTypes[Movement],0)),"?")="Yes",N($F273)&lt;=0),"Qty needed",IF($A273&lt;_xlfn.MINIFS(tblShipment[Arrival Date],tblShipment[Shipment ID],$C273),"Date before arrival",IF(AND($D273&lt;&gt;"",COUNTIFS(tblShipment[Shipment ID],$C273,tblShipment[Item Code],$D273)=0),"Item not in this shipment",IF(AND($H273&lt;&gt;"",COUNTIFS(tblCouriers[Courier],$H273,tblCouriers[Market],$B273)=0),"Courier not in this market","OK")))))))))))))))</f>
        <v>OK</v>
      </c>
    </row>
    <row r="274" customFormat="false" ht="15" hidden="false" customHeight="false" outlineLevel="0" collapsed="false">
      <c r="A274" s="27" t="n">
        <v>46231</v>
      </c>
      <c r="B274" s="26" t="s">
        <v>85</v>
      </c>
      <c r="C274" s="26" t="s">
        <v>140</v>
      </c>
      <c r="D274" s="26"/>
      <c r="E274" s="26" t="s">
        <v>106</v>
      </c>
      <c r="F274" s="28" t="n">
        <v>10</v>
      </c>
      <c r="G274" s="28" t="n">
        <v>1</v>
      </c>
      <c r="H274" s="26" t="s">
        <v>91</v>
      </c>
      <c r="I274" s="26"/>
      <c r="J274" s="26"/>
      <c r="K274" s="29" t="str">
        <f aca="false">IF($A274="","",IF(COUNTIFS(tblMoveTypes[Movement],$E274)=0,"Unknown movement type",IF(COUNTIF(tblShipment[Shipment ID],$C274)=0,"Unknown shipment",IF(COUNTIFS(tblShipment[Shipment ID],$C274,tblShipment[Market],$B274)=0,"Market does not match shipment",IF(AND(IFERROR(INDEX(tblMoveTypes[Item?],MATCH($E274,tblMoveTypes[Movement],0)),"?")="Yes",$D274=""),"Item needed",IF(AND(IFERROR(INDEX(tblMoveTypes[Item?],MATCH($E274,tblMoveTypes[Movement],0)),"?")="No",$D274&lt;&gt;""),"Leave Item blank",IF(AND(IFERROR(INDEX(tblMoveTypes[Courier?],MATCH($E274,tblMoveTypes[Movement],0)),"?")="Yes",$H274=""),"Courier needed",IF(AND(IFERROR(INDEX(tblMoveTypes[Courier?],MATCH($E274,tblMoveTypes[Movement],0)),"?")="No",$H274&lt;&gt;""),"Leave Courier blank",IF(AND(IFERROR(INDEX(tblMoveTypes[Orders?],MATCH($E274,tblMoveTypes[Movement],0)),"?")="Yes",$G274=""),"Orders needed",IF(AND(IFERROR(INDEX(tblMoveTypes[Orders?],MATCH($E274,tblMoveTypes[Movement],0)),"?")="No",$G274&lt;&gt;""),"Leave Orders blank",IF(AND(IFERROR(INDEX(tblMoveTypes[Reason?],MATCH($E274,tblMoveTypes[Movement],0)),"?")="Yes",$I274=""),"Reason needed",IF(AND(IFERROR(INDEX(tblMoveTypes[Qty?],MATCH($E274,tblMoveTypes[Movement],0)),"?")="Yes",N($F274)&lt;=0),"Qty needed",IF($A274&lt;_xlfn.MINIFS(tblShipment[Arrival Date],tblShipment[Shipment ID],$C274),"Date before arrival",IF(AND($D274&lt;&gt;"",COUNTIFS(tblShipment[Shipment ID],$C274,tblShipment[Item Code],$D274)=0),"Item not in this shipment",IF(AND($H274&lt;&gt;"",COUNTIFS(tblCouriers[Courier],$H274,tblCouriers[Market],$B274)=0),"Courier not in this market","OK")))))))))))))))</f>
        <v>OK</v>
      </c>
    </row>
    <row r="275" customFormat="false" ht="15" hidden="false" customHeight="false" outlineLevel="0" collapsed="false">
      <c r="A275" s="27" t="n">
        <v>46231</v>
      </c>
      <c r="B275" s="26" t="s">
        <v>90</v>
      </c>
      <c r="C275" s="26" t="s">
        <v>148</v>
      </c>
      <c r="D275" s="26"/>
      <c r="E275" s="26" t="s">
        <v>106</v>
      </c>
      <c r="F275" s="28" t="n">
        <v>116</v>
      </c>
      <c r="G275" s="28" t="n">
        <v>18</v>
      </c>
      <c r="H275" s="26" t="s">
        <v>101</v>
      </c>
      <c r="I275" s="26"/>
      <c r="J275" s="26"/>
      <c r="K275" s="29" t="str">
        <f aca="false">IF($A275="","",IF(COUNTIFS(tblMoveTypes[Movement],$E275)=0,"Unknown movement type",IF(COUNTIF(tblShipment[Shipment ID],$C275)=0,"Unknown shipment",IF(COUNTIFS(tblShipment[Shipment ID],$C275,tblShipment[Market],$B275)=0,"Market does not match shipment",IF(AND(IFERROR(INDEX(tblMoveTypes[Item?],MATCH($E275,tblMoveTypes[Movement],0)),"?")="Yes",$D275=""),"Item needed",IF(AND(IFERROR(INDEX(tblMoveTypes[Item?],MATCH($E275,tblMoveTypes[Movement],0)),"?")="No",$D275&lt;&gt;""),"Leave Item blank",IF(AND(IFERROR(INDEX(tblMoveTypes[Courier?],MATCH($E275,tblMoveTypes[Movement],0)),"?")="Yes",$H275=""),"Courier needed",IF(AND(IFERROR(INDEX(tblMoveTypes[Courier?],MATCH($E275,tblMoveTypes[Movement],0)),"?")="No",$H275&lt;&gt;""),"Leave Courier blank",IF(AND(IFERROR(INDEX(tblMoveTypes[Orders?],MATCH($E275,tblMoveTypes[Movement],0)),"?")="Yes",$G275=""),"Orders needed",IF(AND(IFERROR(INDEX(tblMoveTypes[Orders?],MATCH($E275,tblMoveTypes[Movement],0)),"?")="No",$G275&lt;&gt;""),"Leave Orders blank",IF(AND(IFERROR(INDEX(tblMoveTypes[Reason?],MATCH($E275,tblMoveTypes[Movement],0)),"?")="Yes",$I275=""),"Reason needed",IF(AND(IFERROR(INDEX(tblMoveTypes[Qty?],MATCH($E275,tblMoveTypes[Movement],0)),"?")="Yes",N($F275)&lt;=0),"Qty needed",IF($A275&lt;_xlfn.MINIFS(tblShipment[Arrival Date],tblShipment[Shipment ID],$C275),"Date before arrival",IF(AND($D275&lt;&gt;"",COUNTIFS(tblShipment[Shipment ID],$C275,tblShipment[Item Code],$D275)=0),"Item not in this shipment",IF(AND($H275&lt;&gt;"",COUNTIFS(tblCouriers[Courier],$H275,tblCouriers[Market],$B275)=0),"Courier not in this market","OK")))))))))))))))</f>
        <v>OK</v>
      </c>
    </row>
    <row r="276" customFormat="false" ht="15" hidden="false" customHeight="false" outlineLevel="0" collapsed="false">
      <c r="A276" s="27" t="n">
        <v>46231</v>
      </c>
      <c r="B276" s="26" t="s">
        <v>90</v>
      </c>
      <c r="C276" s="26" t="s">
        <v>148</v>
      </c>
      <c r="D276" s="26" t="s">
        <v>67</v>
      </c>
      <c r="E276" s="26" t="s">
        <v>93</v>
      </c>
      <c r="F276" s="28" t="n">
        <v>8</v>
      </c>
      <c r="G276" s="28"/>
      <c r="H276" s="26" t="s">
        <v>101</v>
      </c>
      <c r="I276" s="26"/>
      <c r="J276" s="26"/>
      <c r="K276" s="29" t="str">
        <f aca="false">IF($A276="","",IF(COUNTIFS(tblMoveTypes[Movement],$E276)=0,"Unknown movement type",IF(COUNTIF(tblShipment[Shipment ID],$C276)=0,"Unknown shipment",IF(COUNTIFS(tblShipment[Shipment ID],$C276,tblShipment[Market],$B276)=0,"Market does not match shipment",IF(AND(IFERROR(INDEX(tblMoveTypes[Item?],MATCH($E276,tblMoveTypes[Movement],0)),"?")="Yes",$D276=""),"Item needed",IF(AND(IFERROR(INDEX(tblMoveTypes[Item?],MATCH($E276,tblMoveTypes[Movement],0)),"?")="No",$D276&lt;&gt;""),"Leave Item blank",IF(AND(IFERROR(INDEX(tblMoveTypes[Courier?],MATCH($E276,tblMoveTypes[Movement],0)),"?")="Yes",$H276=""),"Courier needed",IF(AND(IFERROR(INDEX(tblMoveTypes[Courier?],MATCH($E276,tblMoveTypes[Movement],0)),"?")="No",$H276&lt;&gt;""),"Leave Courier blank",IF(AND(IFERROR(INDEX(tblMoveTypes[Orders?],MATCH($E276,tblMoveTypes[Movement],0)),"?")="Yes",$G276=""),"Orders needed",IF(AND(IFERROR(INDEX(tblMoveTypes[Orders?],MATCH($E276,tblMoveTypes[Movement],0)),"?")="No",$G276&lt;&gt;""),"Leave Orders blank",IF(AND(IFERROR(INDEX(tblMoveTypes[Reason?],MATCH($E276,tblMoveTypes[Movement],0)),"?")="Yes",$I276=""),"Reason needed",IF(AND(IFERROR(INDEX(tblMoveTypes[Qty?],MATCH($E276,tblMoveTypes[Movement],0)),"?")="Yes",N($F276)&lt;=0),"Qty needed",IF($A276&lt;_xlfn.MINIFS(tblShipment[Arrival Date],tblShipment[Shipment ID],$C276),"Date before arrival",IF(AND($D276&lt;&gt;"",COUNTIFS(tblShipment[Shipment ID],$C276,tblShipment[Item Code],$D276)=0),"Item not in this shipment",IF(AND($H276&lt;&gt;"",COUNTIFS(tblCouriers[Courier],$H276,tblCouriers[Market],$B276)=0),"Courier not in this market","OK")))))))))))))))</f>
        <v>OK</v>
      </c>
    </row>
    <row r="277" customFormat="false" ht="15" hidden="false" customHeight="false" outlineLevel="0" collapsed="false">
      <c r="A277" s="27" t="n">
        <v>46231</v>
      </c>
      <c r="B277" s="26" t="s">
        <v>90</v>
      </c>
      <c r="C277" s="26" t="s">
        <v>148</v>
      </c>
      <c r="D277" s="26"/>
      <c r="E277" s="26" t="s">
        <v>104</v>
      </c>
      <c r="F277" s="28"/>
      <c r="G277" s="28" t="n">
        <v>1</v>
      </c>
      <c r="H277" s="26" t="s">
        <v>101</v>
      </c>
      <c r="I277" s="26"/>
      <c r="J277" s="26"/>
      <c r="K277" s="29" t="str">
        <f aca="false">IF($A277="","",IF(COUNTIFS(tblMoveTypes[Movement],$E277)=0,"Unknown movement type",IF(COUNTIF(tblShipment[Shipment ID],$C277)=0,"Unknown shipment",IF(COUNTIFS(tblShipment[Shipment ID],$C277,tblShipment[Market],$B277)=0,"Market does not match shipment",IF(AND(IFERROR(INDEX(tblMoveTypes[Item?],MATCH($E277,tblMoveTypes[Movement],0)),"?")="Yes",$D277=""),"Item needed",IF(AND(IFERROR(INDEX(tblMoveTypes[Item?],MATCH($E277,tblMoveTypes[Movement],0)),"?")="No",$D277&lt;&gt;""),"Leave Item blank",IF(AND(IFERROR(INDEX(tblMoveTypes[Courier?],MATCH($E277,tblMoveTypes[Movement],0)),"?")="Yes",$H277=""),"Courier needed",IF(AND(IFERROR(INDEX(tblMoveTypes[Courier?],MATCH($E277,tblMoveTypes[Movement],0)),"?")="No",$H277&lt;&gt;""),"Leave Courier blank",IF(AND(IFERROR(INDEX(tblMoveTypes[Orders?],MATCH($E277,tblMoveTypes[Movement],0)),"?")="Yes",$G277=""),"Orders needed",IF(AND(IFERROR(INDEX(tblMoveTypes[Orders?],MATCH($E277,tblMoveTypes[Movement],0)),"?")="No",$G277&lt;&gt;""),"Leave Orders blank",IF(AND(IFERROR(INDEX(tblMoveTypes[Reason?],MATCH($E277,tblMoveTypes[Movement],0)),"?")="Yes",$I277=""),"Reason needed",IF(AND(IFERROR(INDEX(tblMoveTypes[Qty?],MATCH($E277,tblMoveTypes[Movement],0)),"?")="Yes",N($F277)&lt;=0),"Qty needed",IF($A277&lt;_xlfn.MINIFS(tblShipment[Arrival Date],tblShipment[Shipment ID],$C277),"Date before arrival",IF(AND($D277&lt;&gt;"",COUNTIFS(tblShipment[Shipment ID],$C277,tblShipment[Item Code],$D277)=0),"Item not in this shipment",IF(AND($H277&lt;&gt;"",COUNTIFS(tblCouriers[Courier],$H277,tblCouriers[Market],$B277)=0),"Courier not in this market","OK")))))))))))))))</f>
        <v>OK</v>
      </c>
    </row>
    <row r="278" customFormat="false" ht="15" hidden="false" customHeight="false" outlineLevel="0" collapsed="false">
      <c r="A278" s="27" t="n">
        <v>46231</v>
      </c>
      <c r="B278" s="26" t="s">
        <v>78</v>
      </c>
      <c r="C278" s="26" t="s">
        <v>132</v>
      </c>
      <c r="D278" s="26"/>
      <c r="E278" s="26" t="s">
        <v>106</v>
      </c>
      <c r="F278" s="28" t="n">
        <v>2</v>
      </c>
      <c r="G278" s="28" t="n">
        <v>1</v>
      </c>
      <c r="H278" s="26" t="s">
        <v>79</v>
      </c>
      <c r="I278" s="26"/>
      <c r="J278" s="26"/>
      <c r="K278" s="29" t="str">
        <f aca="false">IF($A278="","",IF(COUNTIFS(tblMoveTypes[Movement],$E278)=0,"Unknown movement type",IF(COUNTIF(tblShipment[Shipment ID],$C278)=0,"Unknown shipment",IF(COUNTIFS(tblShipment[Shipment ID],$C278,tblShipment[Market],$B278)=0,"Market does not match shipment",IF(AND(IFERROR(INDEX(tblMoveTypes[Item?],MATCH($E278,tblMoveTypes[Movement],0)),"?")="Yes",$D278=""),"Item needed",IF(AND(IFERROR(INDEX(tblMoveTypes[Item?],MATCH($E278,tblMoveTypes[Movement],0)),"?")="No",$D278&lt;&gt;""),"Leave Item blank",IF(AND(IFERROR(INDEX(tblMoveTypes[Courier?],MATCH($E278,tblMoveTypes[Movement],0)),"?")="Yes",$H278=""),"Courier needed",IF(AND(IFERROR(INDEX(tblMoveTypes[Courier?],MATCH($E278,tblMoveTypes[Movement],0)),"?")="No",$H278&lt;&gt;""),"Leave Courier blank",IF(AND(IFERROR(INDEX(tblMoveTypes[Orders?],MATCH($E278,tblMoveTypes[Movement],0)),"?")="Yes",$G278=""),"Orders needed",IF(AND(IFERROR(INDEX(tblMoveTypes[Orders?],MATCH($E278,tblMoveTypes[Movement],0)),"?")="No",$G278&lt;&gt;""),"Leave Orders blank",IF(AND(IFERROR(INDEX(tblMoveTypes[Reason?],MATCH($E278,tblMoveTypes[Movement],0)),"?")="Yes",$I278=""),"Reason needed",IF(AND(IFERROR(INDEX(tblMoveTypes[Qty?],MATCH($E278,tblMoveTypes[Movement],0)),"?")="Yes",N($F278)&lt;=0),"Qty needed",IF($A278&lt;_xlfn.MINIFS(tblShipment[Arrival Date],tblShipment[Shipment ID],$C278),"Date before arrival",IF(AND($D278&lt;&gt;"",COUNTIFS(tblShipment[Shipment ID],$C278,tblShipment[Item Code],$D278)=0),"Item not in this shipment",IF(AND($H278&lt;&gt;"",COUNTIFS(tblCouriers[Courier],$H278,tblCouriers[Market],$B278)=0),"Courier not in this market","OK")))))))))))))))</f>
        <v>OK</v>
      </c>
    </row>
    <row r="279" customFormat="false" ht="15" hidden="false" customHeight="false" outlineLevel="0" collapsed="false">
      <c r="A279" s="27" t="n">
        <v>46231</v>
      </c>
      <c r="B279" s="26" t="s">
        <v>78</v>
      </c>
      <c r="C279" s="26" t="s">
        <v>132</v>
      </c>
      <c r="D279" s="26"/>
      <c r="E279" s="26" t="s">
        <v>106</v>
      </c>
      <c r="F279" s="28" t="n">
        <v>2</v>
      </c>
      <c r="G279" s="28" t="n">
        <v>1</v>
      </c>
      <c r="H279" s="26" t="s">
        <v>79</v>
      </c>
      <c r="I279" s="26"/>
      <c r="J279" s="26"/>
      <c r="K279" s="29" t="str">
        <f aca="false">IF($A279="","",IF(COUNTIFS(tblMoveTypes[Movement],$E279)=0,"Unknown movement type",IF(COUNTIF(tblShipment[Shipment ID],$C279)=0,"Unknown shipment",IF(COUNTIFS(tblShipment[Shipment ID],$C279,tblShipment[Market],$B279)=0,"Market does not match shipment",IF(AND(IFERROR(INDEX(tblMoveTypes[Item?],MATCH($E279,tblMoveTypes[Movement],0)),"?")="Yes",$D279=""),"Item needed",IF(AND(IFERROR(INDEX(tblMoveTypes[Item?],MATCH($E279,tblMoveTypes[Movement],0)),"?")="No",$D279&lt;&gt;""),"Leave Item blank",IF(AND(IFERROR(INDEX(tblMoveTypes[Courier?],MATCH($E279,tblMoveTypes[Movement],0)),"?")="Yes",$H279=""),"Courier needed",IF(AND(IFERROR(INDEX(tblMoveTypes[Courier?],MATCH($E279,tblMoveTypes[Movement],0)),"?")="No",$H279&lt;&gt;""),"Leave Courier blank",IF(AND(IFERROR(INDEX(tblMoveTypes[Orders?],MATCH($E279,tblMoveTypes[Movement],0)),"?")="Yes",$G279=""),"Orders needed",IF(AND(IFERROR(INDEX(tblMoveTypes[Orders?],MATCH($E279,tblMoveTypes[Movement],0)),"?")="No",$G279&lt;&gt;""),"Leave Orders blank",IF(AND(IFERROR(INDEX(tblMoveTypes[Reason?],MATCH($E279,tblMoveTypes[Movement],0)),"?")="Yes",$I279=""),"Reason needed",IF(AND(IFERROR(INDEX(tblMoveTypes[Qty?],MATCH($E279,tblMoveTypes[Movement],0)),"?")="Yes",N($F279)&lt;=0),"Qty needed",IF($A279&lt;_xlfn.MINIFS(tblShipment[Arrival Date],tblShipment[Shipment ID],$C279),"Date before arrival",IF(AND($D279&lt;&gt;"",COUNTIFS(tblShipment[Shipment ID],$C279,tblShipment[Item Code],$D279)=0),"Item not in this shipment",IF(AND($H279&lt;&gt;"",COUNTIFS(tblCouriers[Courier],$H279,tblCouriers[Market],$B279)=0),"Courier not in this market","OK")))))))))))))))</f>
        <v>OK</v>
      </c>
    </row>
    <row r="280" customFormat="false" ht="15" hidden="false" customHeight="false" outlineLevel="0" collapsed="false">
      <c r="A280" s="27" t="n">
        <v>46231</v>
      </c>
      <c r="B280" s="26" t="s">
        <v>78</v>
      </c>
      <c r="C280" s="26" t="s">
        <v>133</v>
      </c>
      <c r="D280" s="26"/>
      <c r="E280" s="26" t="s">
        <v>106</v>
      </c>
      <c r="F280" s="28" t="n">
        <v>59</v>
      </c>
      <c r="G280" s="28" t="n">
        <v>9</v>
      </c>
      <c r="H280" s="26" t="s">
        <v>86</v>
      </c>
      <c r="I280" s="26"/>
      <c r="J280" s="26"/>
      <c r="K280" s="29" t="str">
        <f aca="false">IF($A280="","",IF(COUNTIFS(tblMoveTypes[Movement],$E280)=0,"Unknown movement type",IF(COUNTIF(tblShipment[Shipment ID],$C280)=0,"Unknown shipment",IF(COUNTIFS(tblShipment[Shipment ID],$C280,tblShipment[Market],$B280)=0,"Market does not match shipment",IF(AND(IFERROR(INDEX(tblMoveTypes[Item?],MATCH($E280,tblMoveTypes[Movement],0)),"?")="Yes",$D280=""),"Item needed",IF(AND(IFERROR(INDEX(tblMoveTypes[Item?],MATCH($E280,tblMoveTypes[Movement],0)),"?")="No",$D280&lt;&gt;""),"Leave Item blank",IF(AND(IFERROR(INDEX(tblMoveTypes[Courier?],MATCH($E280,tblMoveTypes[Movement],0)),"?")="Yes",$H280=""),"Courier needed",IF(AND(IFERROR(INDEX(tblMoveTypes[Courier?],MATCH($E280,tblMoveTypes[Movement],0)),"?")="No",$H280&lt;&gt;""),"Leave Courier blank",IF(AND(IFERROR(INDEX(tblMoveTypes[Orders?],MATCH($E280,tblMoveTypes[Movement],0)),"?")="Yes",$G280=""),"Orders needed",IF(AND(IFERROR(INDEX(tblMoveTypes[Orders?],MATCH($E280,tblMoveTypes[Movement],0)),"?")="No",$G280&lt;&gt;""),"Leave Orders blank",IF(AND(IFERROR(INDEX(tblMoveTypes[Reason?],MATCH($E280,tblMoveTypes[Movement],0)),"?")="Yes",$I280=""),"Reason needed",IF(AND(IFERROR(INDEX(tblMoveTypes[Qty?],MATCH($E280,tblMoveTypes[Movement],0)),"?")="Yes",N($F280)&lt;=0),"Qty needed",IF($A280&lt;_xlfn.MINIFS(tblShipment[Arrival Date],tblShipment[Shipment ID],$C280),"Date before arrival",IF(AND($D280&lt;&gt;"",COUNTIFS(tblShipment[Shipment ID],$C280,tblShipment[Item Code],$D280)=0),"Item not in this shipment",IF(AND($H280&lt;&gt;"",COUNTIFS(tblCouriers[Courier],$H280,tblCouriers[Market],$B280)=0),"Courier not in this market","OK")))))))))))))))</f>
        <v>OK</v>
      </c>
    </row>
    <row r="281" customFormat="false" ht="15" hidden="false" customHeight="false" outlineLevel="0" collapsed="false">
      <c r="A281" s="27" t="n">
        <v>46232</v>
      </c>
      <c r="B281" s="26" t="s">
        <v>70</v>
      </c>
      <c r="C281" s="26" t="s">
        <v>126</v>
      </c>
      <c r="D281" s="26" t="s">
        <v>94</v>
      </c>
      <c r="E281" s="26" t="s">
        <v>81</v>
      </c>
      <c r="F281" s="28" t="n">
        <v>1</v>
      </c>
      <c r="G281" s="28"/>
      <c r="H281" s="26"/>
      <c r="I281" s="26"/>
      <c r="J281" s="26" t="s">
        <v>162</v>
      </c>
      <c r="K281" s="29" t="str">
        <f aca="false">IF($A281="","",IF(COUNTIFS(tblMoveTypes[Movement],$E281)=0,"Unknown movement type",IF(COUNTIF(tblShipment[Shipment ID],$C281)=0,"Unknown shipment",IF(COUNTIFS(tblShipment[Shipment ID],$C281,tblShipment[Market],$B281)=0,"Market does not match shipment",IF(AND(IFERROR(INDEX(tblMoveTypes[Item?],MATCH($E281,tblMoveTypes[Movement],0)),"?")="Yes",$D281=""),"Item needed",IF(AND(IFERROR(INDEX(tblMoveTypes[Item?],MATCH($E281,tblMoveTypes[Movement],0)),"?")="No",$D281&lt;&gt;""),"Leave Item blank",IF(AND(IFERROR(INDEX(tblMoveTypes[Courier?],MATCH($E281,tblMoveTypes[Movement],0)),"?")="Yes",$H281=""),"Courier needed",IF(AND(IFERROR(INDEX(tblMoveTypes[Courier?],MATCH($E281,tblMoveTypes[Movement],0)),"?")="No",$H281&lt;&gt;""),"Leave Courier blank",IF(AND(IFERROR(INDEX(tblMoveTypes[Orders?],MATCH($E281,tblMoveTypes[Movement],0)),"?")="Yes",$G281=""),"Orders needed",IF(AND(IFERROR(INDEX(tblMoveTypes[Orders?],MATCH($E281,tblMoveTypes[Movement],0)),"?")="No",$G281&lt;&gt;""),"Leave Orders blank",IF(AND(IFERROR(INDEX(tblMoveTypes[Reason?],MATCH($E281,tblMoveTypes[Movement],0)),"?")="Yes",$I281=""),"Reason needed",IF(AND(IFERROR(INDEX(tblMoveTypes[Qty?],MATCH($E281,tblMoveTypes[Movement],0)),"?")="Yes",N($F281)&lt;=0),"Qty needed",IF($A281&lt;_xlfn.MINIFS(tblShipment[Arrival Date],tblShipment[Shipment ID],$C281),"Date before arrival",IF(AND($D281&lt;&gt;"",COUNTIFS(tblShipment[Shipment ID],$C281,tblShipment[Item Code],$D281)=0),"Item not in this shipment",IF(AND($H281&lt;&gt;"",COUNTIFS(tblCouriers[Courier],$H281,tblCouriers[Market],$B281)=0),"Courier not in this market","OK")))))))))))))))</f>
        <v>OK</v>
      </c>
    </row>
    <row r="282" customFormat="false" ht="15" hidden="false" customHeight="false" outlineLevel="0" collapsed="false">
      <c r="A282" s="27" t="n">
        <v>46232</v>
      </c>
      <c r="B282" s="26" t="s">
        <v>70</v>
      </c>
      <c r="C282" s="26" t="s">
        <v>126</v>
      </c>
      <c r="D282" s="26" t="s">
        <v>94</v>
      </c>
      <c r="E282" s="26" t="s">
        <v>74</v>
      </c>
      <c r="F282" s="28" t="n">
        <v>39</v>
      </c>
      <c r="G282" s="28"/>
      <c r="H282" s="26"/>
      <c r="I282" s="26"/>
      <c r="J282" s="26"/>
      <c r="K282" s="29" t="str">
        <f aca="false">IF($A282="","",IF(COUNTIFS(tblMoveTypes[Movement],$E282)=0,"Unknown movement type",IF(COUNTIF(tblShipment[Shipment ID],$C282)=0,"Unknown shipment",IF(COUNTIFS(tblShipment[Shipment ID],$C282,tblShipment[Market],$B282)=0,"Market does not match shipment",IF(AND(IFERROR(INDEX(tblMoveTypes[Item?],MATCH($E282,tblMoveTypes[Movement],0)),"?")="Yes",$D282=""),"Item needed",IF(AND(IFERROR(INDEX(tblMoveTypes[Item?],MATCH($E282,tblMoveTypes[Movement],0)),"?")="No",$D282&lt;&gt;""),"Leave Item blank",IF(AND(IFERROR(INDEX(tblMoveTypes[Courier?],MATCH($E282,tblMoveTypes[Movement],0)),"?")="Yes",$H282=""),"Courier needed",IF(AND(IFERROR(INDEX(tblMoveTypes[Courier?],MATCH($E282,tblMoveTypes[Movement],0)),"?")="No",$H282&lt;&gt;""),"Leave Courier blank",IF(AND(IFERROR(INDEX(tblMoveTypes[Orders?],MATCH($E282,tblMoveTypes[Movement],0)),"?")="Yes",$G282=""),"Orders needed",IF(AND(IFERROR(INDEX(tblMoveTypes[Orders?],MATCH($E282,tblMoveTypes[Movement],0)),"?")="No",$G282&lt;&gt;""),"Leave Orders blank",IF(AND(IFERROR(INDEX(tblMoveTypes[Reason?],MATCH($E282,tblMoveTypes[Movement],0)),"?")="Yes",$I282=""),"Reason needed",IF(AND(IFERROR(INDEX(tblMoveTypes[Qty?],MATCH($E282,tblMoveTypes[Movement],0)),"?")="Yes",N($F282)&lt;=0),"Qty needed",IF($A282&lt;_xlfn.MINIFS(tblShipment[Arrival Date],tblShipment[Shipment ID],$C282),"Date before arrival",IF(AND($D282&lt;&gt;"",COUNTIFS(tblShipment[Shipment ID],$C282,tblShipment[Item Code],$D282)=0),"Item not in this shipment",IF(AND($H282&lt;&gt;"",COUNTIFS(tblCouriers[Courier],$H282,tblCouriers[Market],$B282)=0),"Courier not in this market","OK")))))))))))))))</f>
        <v>OK</v>
      </c>
    </row>
    <row r="283" customFormat="false" ht="15" hidden="false" customHeight="false" outlineLevel="0" collapsed="false">
      <c r="A283" s="27" t="n">
        <v>46232</v>
      </c>
      <c r="B283" s="26" t="s">
        <v>70</v>
      </c>
      <c r="C283" s="26" t="s">
        <v>126</v>
      </c>
      <c r="D283" s="26" t="s">
        <v>88</v>
      </c>
      <c r="E283" s="26" t="s">
        <v>81</v>
      </c>
      <c r="F283" s="28" t="n">
        <v>2</v>
      </c>
      <c r="G283" s="28"/>
      <c r="H283" s="26"/>
      <c r="I283" s="26"/>
      <c r="J283" s="26" t="s">
        <v>162</v>
      </c>
      <c r="K283" s="29" t="str">
        <f aca="false">IF($A283="","",IF(COUNTIFS(tblMoveTypes[Movement],$E283)=0,"Unknown movement type",IF(COUNTIF(tblShipment[Shipment ID],$C283)=0,"Unknown shipment",IF(COUNTIFS(tblShipment[Shipment ID],$C283,tblShipment[Market],$B283)=0,"Market does not match shipment",IF(AND(IFERROR(INDEX(tblMoveTypes[Item?],MATCH($E283,tblMoveTypes[Movement],0)),"?")="Yes",$D283=""),"Item needed",IF(AND(IFERROR(INDEX(tblMoveTypes[Item?],MATCH($E283,tblMoveTypes[Movement],0)),"?")="No",$D283&lt;&gt;""),"Leave Item blank",IF(AND(IFERROR(INDEX(tblMoveTypes[Courier?],MATCH($E283,tblMoveTypes[Movement],0)),"?")="Yes",$H283=""),"Courier needed",IF(AND(IFERROR(INDEX(tblMoveTypes[Courier?],MATCH($E283,tblMoveTypes[Movement],0)),"?")="No",$H283&lt;&gt;""),"Leave Courier blank",IF(AND(IFERROR(INDEX(tblMoveTypes[Orders?],MATCH($E283,tblMoveTypes[Movement],0)),"?")="Yes",$G283=""),"Orders needed",IF(AND(IFERROR(INDEX(tblMoveTypes[Orders?],MATCH($E283,tblMoveTypes[Movement],0)),"?")="No",$G283&lt;&gt;""),"Leave Orders blank",IF(AND(IFERROR(INDEX(tblMoveTypes[Reason?],MATCH($E283,tblMoveTypes[Movement],0)),"?")="Yes",$I283=""),"Reason needed",IF(AND(IFERROR(INDEX(tblMoveTypes[Qty?],MATCH($E283,tblMoveTypes[Movement],0)),"?")="Yes",N($F283)&lt;=0),"Qty needed",IF($A283&lt;_xlfn.MINIFS(tblShipment[Arrival Date],tblShipment[Shipment ID],$C283),"Date before arrival",IF(AND($D283&lt;&gt;"",COUNTIFS(tblShipment[Shipment ID],$C283,tblShipment[Item Code],$D283)=0),"Item not in this shipment",IF(AND($H283&lt;&gt;"",COUNTIFS(tblCouriers[Courier],$H283,tblCouriers[Market],$B283)=0),"Courier not in this market","OK")))))))))))))))</f>
        <v>OK</v>
      </c>
    </row>
    <row r="284" customFormat="false" ht="15" hidden="false" customHeight="false" outlineLevel="0" collapsed="false">
      <c r="A284" s="27" t="n">
        <v>46232</v>
      </c>
      <c r="B284" s="26" t="s">
        <v>70</v>
      </c>
      <c r="C284" s="26" t="s">
        <v>126</v>
      </c>
      <c r="D284" s="26" t="s">
        <v>88</v>
      </c>
      <c r="E284" s="26" t="s">
        <v>74</v>
      </c>
      <c r="F284" s="28" t="n">
        <v>58</v>
      </c>
      <c r="G284" s="28"/>
      <c r="H284" s="26"/>
      <c r="I284" s="26"/>
      <c r="J284" s="26"/>
      <c r="K284" s="29" t="str">
        <f aca="false">IF($A284="","",IF(COUNTIFS(tblMoveTypes[Movement],$E284)=0,"Unknown movement type",IF(COUNTIF(tblShipment[Shipment ID],$C284)=0,"Unknown shipment",IF(COUNTIFS(tblShipment[Shipment ID],$C284,tblShipment[Market],$B284)=0,"Market does not match shipment",IF(AND(IFERROR(INDEX(tblMoveTypes[Item?],MATCH($E284,tblMoveTypes[Movement],0)),"?")="Yes",$D284=""),"Item needed",IF(AND(IFERROR(INDEX(tblMoveTypes[Item?],MATCH($E284,tblMoveTypes[Movement],0)),"?")="No",$D284&lt;&gt;""),"Leave Item blank",IF(AND(IFERROR(INDEX(tblMoveTypes[Courier?],MATCH($E284,tblMoveTypes[Movement],0)),"?")="Yes",$H284=""),"Courier needed",IF(AND(IFERROR(INDEX(tblMoveTypes[Courier?],MATCH($E284,tblMoveTypes[Movement],0)),"?")="No",$H284&lt;&gt;""),"Leave Courier blank",IF(AND(IFERROR(INDEX(tblMoveTypes[Orders?],MATCH($E284,tblMoveTypes[Movement],0)),"?")="Yes",$G284=""),"Orders needed",IF(AND(IFERROR(INDEX(tblMoveTypes[Orders?],MATCH($E284,tblMoveTypes[Movement],0)),"?")="No",$G284&lt;&gt;""),"Leave Orders blank",IF(AND(IFERROR(INDEX(tblMoveTypes[Reason?],MATCH($E284,tblMoveTypes[Movement],0)),"?")="Yes",$I284=""),"Reason needed",IF(AND(IFERROR(INDEX(tblMoveTypes[Qty?],MATCH($E284,tblMoveTypes[Movement],0)),"?")="Yes",N($F284)&lt;=0),"Qty needed",IF($A284&lt;_xlfn.MINIFS(tblShipment[Arrival Date],tblShipment[Shipment ID],$C284),"Date before arrival",IF(AND($D284&lt;&gt;"",COUNTIFS(tblShipment[Shipment ID],$C284,tblShipment[Item Code],$D284)=0),"Item not in this shipment",IF(AND($H284&lt;&gt;"",COUNTIFS(tblCouriers[Courier],$H284,tblCouriers[Market],$B284)=0),"Courier not in this market","OK")))))))))))))))</f>
        <v>OK</v>
      </c>
    </row>
    <row r="285" customFormat="false" ht="15" hidden="false" customHeight="false" outlineLevel="0" collapsed="false">
      <c r="A285" s="27" t="n">
        <v>46232</v>
      </c>
      <c r="B285" s="26" t="s">
        <v>70</v>
      </c>
      <c r="C285" s="26" t="s">
        <v>126</v>
      </c>
      <c r="D285" s="26" t="s">
        <v>99</v>
      </c>
      <c r="E285" s="26" t="s">
        <v>74</v>
      </c>
      <c r="F285" s="28" t="n">
        <v>80</v>
      </c>
      <c r="G285" s="28"/>
      <c r="H285" s="26"/>
      <c r="I285" s="26"/>
      <c r="J285" s="26"/>
      <c r="K285" s="29" t="str">
        <f aca="false">IF($A285="","",IF(COUNTIFS(tblMoveTypes[Movement],$E285)=0,"Unknown movement type",IF(COUNTIF(tblShipment[Shipment ID],$C285)=0,"Unknown shipment",IF(COUNTIFS(tblShipment[Shipment ID],$C285,tblShipment[Market],$B285)=0,"Market does not match shipment",IF(AND(IFERROR(INDEX(tblMoveTypes[Item?],MATCH($E285,tblMoveTypes[Movement],0)),"?")="Yes",$D285=""),"Item needed",IF(AND(IFERROR(INDEX(tblMoveTypes[Item?],MATCH($E285,tblMoveTypes[Movement],0)),"?")="No",$D285&lt;&gt;""),"Leave Item blank",IF(AND(IFERROR(INDEX(tblMoveTypes[Courier?],MATCH($E285,tblMoveTypes[Movement],0)),"?")="Yes",$H285=""),"Courier needed",IF(AND(IFERROR(INDEX(tblMoveTypes[Courier?],MATCH($E285,tblMoveTypes[Movement],0)),"?")="No",$H285&lt;&gt;""),"Leave Courier blank",IF(AND(IFERROR(INDEX(tblMoveTypes[Orders?],MATCH($E285,tblMoveTypes[Movement],0)),"?")="Yes",$G285=""),"Orders needed",IF(AND(IFERROR(INDEX(tblMoveTypes[Orders?],MATCH($E285,tblMoveTypes[Movement],0)),"?")="No",$G285&lt;&gt;""),"Leave Orders blank",IF(AND(IFERROR(INDEX(tblMoveTypes[Reason?],MATCH($E285,tblMoveTypes[Movement],0)),"?")="Yes",$I285=""),"Reason needed",IF(AND(IFERROR(INDEX(tblMoveTypes[Qty?],MATCH($E285,tblMoveTypes[Movement],0)),"?")="Yes",N($F285)&lt;=0),"Qty needed",IF($A285&lt;_xlfn.MINIFS(tblShipment[Arrival Date],tblShipment[Shipment ID],$C285),"Date before arrival",IF(AND($D285&lt;&gt;"",COUNTIFS(tblShipment[Shipment ID],$C285,tblShipment[Item Code],$D285)=0),"Item not in this shipment",IF(AND($H285&lt;&gt;"",COUNTIFS(tblCouriers[Courier],$H285,tblCouriers[Market],$B285)=0),"Courier not in this market","OK")))))))))))))))</f>
        <v>OK</v>
      </c>
    </row>
    <row r="286" customFormat="false" ht="15" hidden="false" customHeight="false" outlineLevel="0" collapsed="false">
      <c r="A286" s="27" t="n">
        <v>46232</v>
      </c>
      <c r="B286" s="26" t="s">
        <v>70</v>
      </c>
      <c r="C286" s="26" t="s">
        <v>126</v>
      </c>
      <c r="D286" s="26" t="s">
        <v>67</v>
      </c>
      <c r="E286" s="26" t="s">
        <v>81</v>
      </c>
      <c r="F286" s="28" t="n">
        <v>2</v>
      </c>
      <c r="G286" s="28"/>
      <c r="H286" s="26"/>
      <c r="I286" s="26"/>
      <c r="J286" s="26" t="s">
        <v>162</v>
      </c>
      <c r="K286" s="29" t="str">
        <f aca="false">IF($A286="","",IF(COUNTIFS(tblMoveTypes[Movement],$E286)=0,"Unknown movement type",IF(COUNTIF(tblShipment[Shipment ID],$C286)=0,"Unknown shipment",IF(COUNTIFS(tblShipment[Shipment ID],$C286,tblShipment[Market],$B286)=0,"Market does not match shipment",IF(AND(IFERROR(INDEX(tblMoveTypes[Item?],MATCH($E286,tblMoveTypes[Movement],0)),"?")="Yes",$D286=""),"Item needed",IF(AND(IFERROR(INDEX(tblMoveTypes[Item?],MATCH($E286,tblMoveTypes[Movement],0)),"?")="No",$D286&lt;&gt;""),"Leave Item blank",IF(AND(IFERROR(INDEX(tblMoveTypes[Courier?],MATCH($E286,tblMoveTypes[Movement],0)),"?")="Yes",$H286=""),"Courier needed",IF(AND(IFERROR(INDEX(tblMoveTypes[Courier?],MATCH($E286,tblMoveTypes[Movement],0)),"?")="No",$H286&lt;&gt;""),"Leave Courier blank",IF(AND(IFERROR(INDEX(tblMoveTypes[Orders?],MATCH($E286,tblMoveTypes[Movement],0)),"?")="Yes",$G286=""),"Orders needed",IF(AND(IFERROR(INDEX(tblMoveTypes[Orders?],MATCH($E286,tblMoveTypes[Movement],0)),"?")="No",$G286&lt;&gt;""),"Leave Orders blank",IF(AND(IFERROR(INDEX(tblMoveTypes[Reason?],MATCH($E286,tblMoveTypes[Movement],0)),"?")="Yes",$I286=""),"Reason needed",IF(AND(IFERROR(INDEX(tblMoveTypes[Qty?],MATCH($E286,tblMoveTypes[Movement],0)),"?")="Yes",N($F286)&lt;=0),"Qty needed",IF($A286&lt;_xlfn.MINIFS(tblShipment[Arrival Date],tblShipment[Shipment ID],$C286),"Date before arrival",IF(AND($D286&lt;&gt;"",COUNTIFS(tblShipment[Shipment ID],$C286,tblShipment[Item Code],$D286)=0),"Item not in this shipment",IF(AND($H286&lt;&gt;"",COUNTIFS(tblCouriers[Courier],$H286,tblCouriers[Market],$B286)=0),"Courier not in this market","OK")))))))))))))))</f>
        <v>OK</v>
      </c>
    </row>
    <row r="287" customFormat="false" ht="15" hidden="false" customHeight="false" outlineLevel="0" collapsed="false">
      <c r="A287" s="27" t="n">
        <v>46232</v>
      </c>
      <c r="B287" s="26" t="s">
        <v>70</v>
      </c>
      <c r="C287" s="26" t="s">
        <v>126</v>
      </c>
      <c r="D287" s="26" t="s">
        <v>67</v>
      </c>
      <c r="E287" s="26" t="s">
        <v>74</v>
      </c>
      <c r="F287" s="28" t="n">
        <v>118</v>
      </c>
      <c r="G287" s="28"/>
      <c r="H287" s="26"/>
      <c r="I287" s="26"/>
      <c r="J287" s="26"/>
      <c r="K287" s="29" t="str">
        <f aca="false">IF($A287="","",IF(COUNTIFS(tblMoveTypes[Movement],$E287)=0,"Unknown movement type",IF(COUNTIF(tblShipment[Shipment ID],$C287)=0,"Unknown shipment",IF(COUNTIFS(tblShipment[Shipment ID],$C287,tblShipment[Market],$B287)=0,"Market does not match shipment",IF(AND(IFERROR(INDEX(tblMoveTypes[Item?],MATCH($E287,tblMoveTypes[Movement],0)),"?")="Yes",$D287=""),"Item needed",IF(AND(IFERROR(INDEX(tblMoveTypes[Item?],MATCH($E287,tblMoveTypes[Movement],0)),"?")="No",$D287&lt;&gt;""),"Leave Item blank",IF(AND(IFERROR(INDEX(tblMoveTypes[Courier?],MATCH($E287,tblMoveTypes[Movement],0)),"?")="Yes",$H287=""),"Courier needed",IF(AND(IFERROR(INDEX(tblMoveTypes[Courier?],MATCH($E287,tblMoveTypes[Movement],0)),"?")="No",$H287&lt;&gt;""),"Leave Courier blank",IF(AND(IFERROR(INDEX(tblMoveTypes[Orders?],MATCH($E287,tblMoveTypes[Movement],0)),"?")="Yes",$G287=""),"Orders needed",IF(AND(IFERROR(INDEX(tblMoveTypes[Orders?],MATCH($E287,tblMoveTypes[Movement],0)),"?")="No",$G287&lt;&gt;""),"Leave Orders blank",IF(AND(IFERROR(INDEX(tblMoveTypes[Reason?],MATCH($E287,tblMoveTypes[Movement],0)),"?")="Yes",$I287=""),"Reason needed",IF(AND(IFERROR(INDEX(tblMoveTypes[Qty?],MATCH($E287,tblMoveTypes[Movement],0)),"?")="Yes",N($F287)&lt;=0),"Qty needed",IF($A287&lt;_xlfn.MINIFS(tblShipment[Arrival Date],tblShipment[Shipment ID],$C287),"Date before arrival",IF(AND($D287&lt;&gt;"",COUNTIFS(tblShipment[Shipment ID],$C287,tblShipment[Item Code],$D287)=0),"Item not in this shipment",IF(AND($H287&lt;&gt;"",COUNTIFS(tblCouriers[Courier],$H287,tblCouriers[Market],$B287)=0),"Courier not in this market","OK")))))))))))))))</f>
        <v>OK</v>
      </c>
    </row>
    <row r="288" customFormat="false" ht="15" hidden="false" customHeight="false" outlineLevel="0" collapsed="false">
      <c r="A288" s="27" t="n">
        <v>46232</v>
      </c>
      <c r="B288" s="26" t="s">
        <v>70</v>
      </c>
      <c r="C288" s="26" t="s">
        <v>126</v>
      </c>
      <c r="D288" s="26"/>
      <c r="E288" s="26" t="s">
        <v>98</v>
      </c>
      <c r="F288" s="28"/>
      <c r="G288" s="28" t="n">
        <v>42</v>
      </c>
      <c r="H288" s="26"/>
      <c r="I288" s="26"/>
      <c r="J288" s="26"/>
      <c r="K288" s="29" t="str">
        <f aca="false">IF($A288="","",IF(COUNTIFS(tblMoveTypes[Movement],$E288)=0,"Unknown movement type",IF(COUNTIF(tblShipment[Shipment ID],$C288)=0,"Unknown shipment",IF(COUNTIFS(tblShipment[Shipment ID],$C288,tblShipment[Market],$B288)=0,"Market does not match shipment",IF(AND(IFERROR(INDEX(tblMoveTypes[Item?],MATCH($E288,tblMoveTypes[Movement],0)),"?")="Yes",$D288=""),"Item needed",IF(AND(IFERROR(INDEX(tblMoveTypes[Item?],MATCH($E288,tblMoveTypes[Movement],0)),"?")="No",$D288&lt;&gt;""),"Leave Item blank",IF(AND(IFERROR(INDEX(tblMoveTypes[Courier?],MATCH($E288,tblMoveTypes[Movement],0)),"?")="Yes",$H288=""),"Courier needed",IF(AND(IFERROR(INDEX(tblMoveTypes[Courier?],MATCH($E288,tblMoveTypes[Movement],0)),"?")="No",$H288&lt;&gt;""),"Leave Courier blank",IF(AND(IFERROR(INDEX(tblMoveTypes[Orders?],MATCH($E288,tblMoveTypes[Movement],0)),"?")="Yes",$G288=""),"Orders needed",IF(AND(IFERROR(INDEX(tblMoveTypes[Orders?],MATCH($E288,tblMoveTypes[Movement],0)),"?")="No",$G288&lt;&gt;""),"Leave Orders blank",IF(AND(IFERROR(INDEX(tblMoveTypes[Reason?],MATCH($E288,tblMoveTypes[Movement],0)),"?")="Yes",$I288=""),"Reason needed",IF(AND(IFERROR(INDEX(tblMoveTypes[Qty?],MATCH($E288,tblMoveTypes[Movement],0)),"?")="Yes",N($F288)&lt;=0),"Qty needed",IF($A288&lt;_xlfn.MINIFS(tblShipment[Arrival Date],tblShipment[Shipment ID],$C288),"Date before arrival",IF(AND($D288&lt;&gt;"",COUNTIFS(tblShipment[Shipment ID],$C288,tblShipment[Item Code],$D288)=0),"Item not in this shipment",IF(AND($H288&lt;&gt;"",COUNTIFS(tblCouriers[Courier],$H288,tblCouriers[Market],$B288)=0),"Courier not in this market","OK")))))))))))))))</f>
        <v>OK</v>
      </c>
    </row>
    <row r="289" customFormat="false" ht="15" hidden="false" customHeight="false" outlineLevel="0" collapsed="false">
      <c r="A289" s="27" t="n">
        <v>46232</v>
      </c>
      <c r="B289" s="26" t="s">
        <v>70</v>
      </c>
      <c r="C289" s="26" t="s">
        <v>126</v>
      </c>
      <c r="D289" s="26" t="s">
        <v>94</v>
      </c>
      <c r="E289" s="26" t="s">
        <v>73</v>
      </c>
      <c r="F289" s="28" t="n">
        <v>1</v>
      </c>
      <c r="G289" s="28"/>
      <c r="H289" s="26"/>
      <c r="I289" s="26" t="s">
        <v>87</v>
      </c>
      <c r="J289" s="26"/>
      <c r="K289" s="29" t="str">
        <f aca="false">IF($A289="","",IF(COUNTIFS(tblMoveTypes[Movement],$E289)=0,"Unknown movement type",IF(COUNTIF(tblShipment[Shipment ID],$C289)=0,"Unknown shipment",IF(COUNTIFS(tblShipment[Shipment ID],$C289,tblShipment[Market],$B289)=0,"Market does not match shipment",IF(AND(IFERROR(INDEX(tblMoveTypes[Item?],MATCH($E289,tblMoveTypes[Movement],0)),"?")="Yes",$D289=""),"Item needed",IF(AND(IFERROR(INDEX(tblMoveTypes[Item?],MATCH($E289,tblMoveTypes[Movement],0)),"?")="No",$D289&lt;&gt;""),"Leave Item blank",IF(AND(IFERROR(INDEX(tblMoveTypes[Courier?],MATCH($E289,tblMoveTypes[Movement],0)),"?")="Yes",$H289=""),"Courier needed",IF(AND(IFERROR(INDEX(tblMoveTypes[Courier?],MATCH($E289,tblMoveTypes[Movement],0)),"?")="No",$H289&lt;&gt;""),"Leave Courier blank",IF(AND(IFERROR(INDEX(tblMoveTypes[Orders?],MATCH($E289,tblMoveTypes[Movement],0)),"?")="Yes",$G289=""),"Orders needed",IF(AND(IFERROR(INDEX(tblMoveTypes[Orders?],MATCH($E289,tblMoveTypes[Movement],0)),"?")="No",$G289&lt;&gt;""),"Leave Orders blank",IF(AND(IFERROR(INDEX(tblMoveTypes[Reason?],MATCH($E289,tblMoveTypes[Movement],0)),"?")="Yes",$I289=""),"Reason needed",IF(AND(IFERROR(INDEX(tblMoveTypes[Qty?],MATCH($E289,tblMoveTypes[Movement],0)),"?")="Yes",N($F289)&lt;=0),"Qty needed",IF($A289&lt;_xlfn.MINIFS(tblShipment[Arrival Date],tblShipment[Shipment ID],$C289),"Date before arrival",IF(AND($D289&lt;&gt;"",COUNTIFS(tblShipment[Shipment ID],$C289,tblShipment[Item Code],$D289)=0),"Item not in this shipment",IF(AND($H289&lt;&gt;"",COUNTIFS(tblCouriers[Courier],$H289,tblCouriers[Market],$B289)=0),"Courier not in this market","OK")))))))))))))))</f>
        <v>OK</v>
      </c>
    </row>
    <row r="290" customFormat="false" ht="15" hidden="false" customHeight="false" outlineLevel="0" collapsed="false">
      <c r="A290" s="27" t="n">
        <v>46232</v>
      </c>
      <c r="B290" s="26" t="s">
        <v>70</v>
      </c>
      <c r="C290" s="26" t="s">
        <v>126</v>
      </c>
      <c r="D290" s="26" t="s">
        <v>88</v>
      </c>
      <c r="E290" s="26" t="s">
        <v>73</v>
      </c>
      <c r="F290" s="28" t="n">
        <v>4</v>
      </c>
      <c r="G290" s="28"/>
      <c r="H290" s="26"/>
      <c r="I290" s="26" t="s">
        <v>72</v>
      </c>
      <c r="J290" s="26"/>
      <c r="K290" s="29" t="str">
        <f aca="false">IF($A290="","",IF(COUNTIFS(tblMoveTypes[Movement],$E290)=0,"Unknown movement type",IF(COUNTIF(tblShipment[Shipment ID],$C290)=0,"Unknown shipment",IF(COUNTIFS(tblShipment[Shipment ID],$C290,tblShipment[Market],$B290)=0,"Market does not match shipment",IF(AND(IFERROR(INDEX(tblMoveTypes[Item?],MATCH($E290,tblMoveTypes[Movement],0)),"?")="Yes",$D290=""),"Item needed",IF(AND(IFERROR(INDEX(tblMoveTypes[Item?],MATCH($E290,tblMoveTypes[Movement],0)),"?")="No",$D290&lt;&gt;""),"Leave Item blank",IF(AND(IFERROR(INDEX(tblMoveTypes[Courier?],MATCH($E290,tblMoveTypes[Movement],0)),"?")="Yes",$H290=""),"Courier needed",IF(AND(IFERROR(INDEX(tblMoveTypes[Courier?],MATCH($E290,tblMoveTypes[Movement],0)),"?")="No",$H290&lt;&gt;""),"Leave Courier blank",IF(AND(IFERROR(INDEX(tblMoveTypes[Orders?],MATCH($E290,tblMoveTypes[Movement],0)),"?")="Yes",$G290=""),"Orders needed",IF(AND(IFERROR(INDEX(tblMoveTypes[Orders?],MATCH($E290,tblMoveTypes[Movement],0)),"?")="No",$G290&lt;&gt;""),"Leave Orders blank",IF(AND(IFERROR(INDEX(tblMoveTypes[Reason?],MATCH($E290,tblMoveTypes[Movement],0)),"?")="Yes",$I290=""),"Reason needed",IF(AND(IFERROR(INDEX(tblMoveTypes[Qty?],MATCH($E290,tblMoveTypes[Movement],0)),"?")="Yes",N($F290)&lt;=0),"Qty needed",IF($A290&lt;_xlfn.MINIFS(tblShipment[Arrival Date],tblShipment[Shipment ID],$C290),"Date before arrival",IF(AND($D290&lt;&gt;"",COUNTIFS(tblShipment[Shipment ID],$C290,tblShipment[Item Code],$D290)=0),"Item not in this shipment",IF(AND($H290&lt;&gt;"",COUNTIFS(tblCouriers[Courier],$H290,tblCouriers[Market],$B290)=0),"Courier not in this market","OK")))))))))))))))</f>
        <v>OK</v>
      </c>
    </row>
    <row r="291" customFormat="false" ht="15" hidden="false" customHeight="false" outlineLevel="0" collapsed="false">
      <c r="A291" s="27" t="n">
        <v>46232</v>
      </c>
      <c r="B291" s="26" t="s">
        <v>70</v>
      </c>
      <c r="C291" s="26" t="s">
        <v>126</v>
      </c>
      <c r="D291" s="26" t="s">
        <v>99</v>
      </c>
      <c r="E291" s="26" t="s">
        <v>73</v>
      </c>
      <c r="F291" s="28" t="n">
        <v>2</v>
      </c>
      <c r="G291" s="28"/>
      <c r="H291" s="26"/>
      <c r="I291" s="26" t="s">
        <v>87</v>
      </c>
      <c r="J291" s="26"/>
      <c r="K291" s="29" t="str">
        <f aca="false">IF($A291="","",IF(COUNTIFS(tblMoveTypes[Movement],$E291)=0,"Unknown movement type",IF(COUNTIF(tblShipment[Shipment ID],$C291)=0,"Unknown shipment",IF(COUNTIFS(tblShipment[Shipment ID],$C291,tblShipment[Market],$B291)=0,"Market does not match shipment",IF(AND(IFERROR(INDEX(tblMoveTypes[Item?],MATCH($E291,tblMoveTypes[Movement],0)),"?")="Yes",$D291=""),"Item needed",IF(AND(IFERROR(INDEX(tblMoveTypes[Item?],MATCH($E291,tblMoveTypes[Movement],0)),"?")="No",$D291&lt;&gt;""),"Leave Item blank",IF(AND(IFERROR(INDEX(tblMoveTypes[Courier?],MATCH($E291,tblMoveTypes[Movement],0)),"?")="Yes",$H291=""),"Courier needed",IF(AND(IFERROR(INDEX(tblMoveTypes[Courier?],MATCH($E291,tblMoveTypes[Movement],0)),"?")="No",$H291&lt;&gt;""),"Leave Courier blank",IF(AND(IFERROR(INDEX(tblMoveTypes[Orders?],MATCH($E291,tblMoveTypes[Movement],0)),"?")="Yes",$G291=""),"Orders needed",IF(AND(IFERROR(INDEX(tblMoveTypes[Orders?],MATCH($E291,tblMoveTypes[Movement],0)),"?")="No",$G291&lt;&gt;""),"Leave Orders blank",IF(AND(IFERROR(INDEX(tblMoveTypes[Reason?],MATCH($E291,tblMoveTypes[Movement],0)),"?")="Yes",$I291=""),"Reason needed",IF(AND(IFERROR(INDEX(tblMoveTypes[Qty?],MATCH($E291,tblMoveTypes[Movement],0)),"?")="Yes",N($F291)&lt;=0),"Qty needed",IF($A291&lt;_xlfn.MINIFS(tblShipment[Arrival Date],tblShipment[Shipment ID],$C291),"Date before arrival",IF(AND($D291&lt;&gt;"",COUNTIFS(tblShipment[Shipment ID],$C291,tblShipment[Item Code],$D291)=0),"Item not in this shipment",IF(AND($H291&lt;&gt;"",COUNTIFS(tblCouriers[Courier],$H291,tblCouriers[Market],$B291)=0),"Courier not in this market","OK")))))))))))))))</f>
        <v>OK</v>
      </c>
    </row>
    <row r="292" customFormat="false" ht="15" hidden="false" customHeight="false" outlineLevel="0" collapsed="false">
      <c r="A292" s="27" t="n">
        <v>46232</v>
      </c>
      <c r="B292" s="26" t="s">
        <v>70</v>
      </c>
      <c r="C292" s="26" t="s">
        <v>126</v>
      </c>
      <c r="D292" s="26" t="s">
        <v>67</v>
      </c>
      <c r="E292" s="26" t="s">
        <v>73</v>
      </c>
      <c r="F292" s="28" t="n">
        <v>4</v>
      </c>
      <c r="G292" s="28"/>
      <c r="H292" s="26"/>
      <c r="I292" s="26" t="s">
        <v>80</v>
      </c>
      <c r="J292" s="26"/>
      <c r="K292" s="29" t="str">
        <f aca="false">IF($A292="","",IF(COUNTIFS(tblMoveTypes[Movement],$E292)=0,"Unknown movement type",IF(COUNTIF(tblShipment[Shipment ID],$C292)=0,"Unknown shipment",IF(COUNTIFS(tblShipment[Shipment ID],$C292,tblShipment[Market],$B292)=0,"Market does not match shipment",IF(AND(IFERROR(INDEX(tblMoveTypes[Item?],MATCH($E292,tblMoveTypes[Movement],0)),"?")="Yes",$D292=""),"Item needed",IF(AND(IFERROR(INDEX(tblMoveTypes[Item?],MATCH($E292,tblMoveTypes[Movement],0)),"?")="No",$D292&lt;&gt;""),"Leave Item blank",IF(AND(IFERROR(INDEX(tblMoveTypes[Courier?],MATCH($E292,tblMoveTypes[Movement],0)),"?")="Yes",$H292=""),"Courier needed",IF(AND(IFERROR(INDEX(tblMoveTypes[Courier?],MATCH($E292,tblMoveTypes[Movement],0)),"?")="No",$H292&lt;&gt;""),"Leave Courier blank",IF(AND(IFERROR(INDEX(tblMoveTypes[Orders?],MATCH($E292,tblMoveTypes[Movement],0)),"?")="Yes",$G292=""),"Orders needed",IF(AND(IFERROR(INDEX(tblMoveTypes[Orders?],MATCH($E292,tblMoveTypes[Movement],0)),"?")="No",$G292&lt;&gt;""),"Leave Orders blank",IF(AND(IFERROR(INDEX(tblMoveTypes[Reason?],MATCH($E292,tblMoveTypes[Movement],0)),"?")="Yes",$I292=""),"Reason needed",IF(AND(IFERROR(INDEX(tblMoveTypes[Qty?],MATCH($E292,tblMoveTypes[Movement],0)),"?")="Yes",N($F292)&lt;=0),"Qty needed",IF($A292&lt;_xlfn.MINIFS(tblShipment[Arrival Date],tblShipment[Shipment ID],$C292),"Date before arrival",IF(AND($D292&lt;&gt;"",COUNTIFS(tblShipment[Shipment ID],$C292,tblShipment[Item Code],$D292)=0),"Item not in this shipment",IF(AND($H292&lt;&gt;"",COUNTIFS(tblCouriers[Courier],$H292,tblCouriers[Market],$B292)=0),"Courier not in this market","OK")))))))))))))))</f>
        <v>OK</v>
      </c>
    </row>
    <row r="293" customFormat="false" ht="15" hidden="false" customHeight="false" outlineLevel="0" collapsed="false">
      <c r="A293" s="27" t="n">
        <v>46232</v>
      </c>
      <c r="B293" s="26" t="s">
        <v>70</v>
      </c>
      <c r="C293" s="26" t="s">
        <v>126</v>
      </c>
      <c r="D293" s="26" t="s">
        <v>94</v>
      </c>
      <c r="E293" s="26" t="s">
        <v>93</v>
      </c>
      <c r="F293" s="28" t="n">
        <v>38</v>
      </c>
      <c r="G293" s="28"/>
      <c r="H293" s="26" t="s">
        <v>71</v>
      </c>
      <c r="I293" s="26"/>
      <c r="J293" s="26"/>
      <c r="K293" s="29" t="str">
        <f aca="false">IF($A293="","",IF(COUNTIFS(tblMoveTypes[Movement],$E293)=0,"Unknown movement type",IF(COUNTIF(tblShipment[Shipment ID],$C293)=0,"Unknown shipment",IF(COUNTIFS(tblShipment[Shipment ID],$C293,tblShipment[Market],$B293)=0,"Market does not match shipment",IF(AND(IFERROR(INDEX(tblMoveTypes[Item?],MATCH($E293,tblMoveTypes[Movement],0)),"?")="Yes",$D293=""),"Item needed",IF(AND(IFERROR(INDEX(tblMoveTypes[Item?],MATCH($E293,tblMoveTypes[Movement],0)),"?")="No",$D293&lt;&gt;""),"Leave Item blank",IF(AND(IFERROR(INDEX(tblMoveTypes[Courier?],MATCH($E293,tblMoveTypes[Movement],0)),"?")="Yes",$H293=""),"Courier needed",IF(AND(IFERROR(INDEX(tblMoveTypes[Courier?],MATCH($E293,tblMoveTypes[Movement],0)),"?")="No",$H293&lt;&gt;""),"Leave Courier blank",IF(AND(IFERROR(INDEX(tblMoveTypes[Orders?],MATCH($E293,tblMoveTypes[Movement],0)),"?")="Yes",$G293=""),"Orders needed",IF(AND(IFERROR(INDEX(tblMoveTypes[Orders?],MATCH($E293,tblMoveTypes[Movement],0)),"?")="No",$G293&lt;&gt;""),"Leave Orders blank",IF(AND(IFERROR(INDEX(tblMoveTypes[Reason?],MATCH($E293,tblMoveTypes[Movement],0)),"?")="Yes",$I293=""),"Reason needed",IF(AND(IFERROR(INDEX(tblMoveTypes[Qty?],MATCH($E293,tblMoveTypes[Movement],0)),"?")="Yes",N($F293)&lt;=0),"Qty needed",IF($A293&lt;_xlfn.MINIFS(tblShipment[Arrival Date],tblShipment[Shipment ID],$C293),"Date before arrival",IF(AND($D293&lt;&gt;"",COUNTIFS(tblShipment[Shipment ID],$C293,tblShipment[Item Code],$D293)=0),"Item not in this shipment",IF(AND($H293&lt;&gt;"",COUNTIFS(tblCouriers[Courier],$H293,tblCouriers[Market],$B293)=0),"Courier not in this market","OK")))))))))))))))</f>
        <v>OK</v>
      </c>
    </row>
    <row r="294" customFormat="false" ht="15" hidden="false" customHeight="false" outlineLevel="0" collapsed="false">
      <c r="A294" s="27" t="n">
        <v>46232</v>
      </c>
      <c r="B294" s="26" t="s">
        <v>70</v>
      </c>
      <c r="C294" s="26" t="s">
        <v>126</v>
      </c>
      <c r="D294" s="26" t="s">
        <v>88</v>
      </c>
      <c r="E294" s="26" t="s">
        <v>93</v>
      </c>
      <c r="F294" s="28" t="n">
        <v>54</v>
      </c>
      <c r="G294" s="28"/>
      <c r="H294" s="26" t="s">
        <v>71</v>
      </c>
      <c r="I294" s="26"/>
      <c r="J294" s="26"/>
      <c r="K294" s="29" t="str">
        <f aca="false">IF($A294="","",IF(COUNTIFS(tblMoveTypes[Movement],$E294)=0,"Unknown movement type",IF(COUNTIF(tblShipment[Shipment ID],$C294)=0,"Unknown shipment",IF(COUNTIFS(tblShipment[Shipment ID],$C294,tblShipment[Market],$B294)=0,"Market does not match shipment",IF(AND(IFERROR(INDEX(tblMoveTypes[Item?],MATCH($E294,tblMoveTypes[Movement],0)),"?")="Yes",$D294=""),"Item needed",IF(AND(IFERROR(INDEX(tblMoveTypes[Item?],MATCH($E294,tblMoveTypes[Movement],0)),"?")="No",$D294&lt;&gt;""),"Leave Item blank",IF(AND(IFERROR(INDEX(tblMoveTypes[Courier?],MATCH($E294,tblMoveTypes[Movement],0)),"?")="Yes",$H294=""),"Courier needed",IF(AND(IFERROR(INDEX(tblMoveTypes[Courier?],MATCH($E294,tblMoveTypes[Movement],0)),"?")="No",$H294&lt;&gt;""),"Leave Courier blank",IF(AND(IFERROR(INDEX(tblMoveTypes[Orders?],MATCH($E294,tblMoveTypes[Movement],0)),"?")="Yes",$G294=""),"Orders needed",IF(AND(IFERROR(INDEX(tblMoveTypes[Orders?],MATCH($E294,tblMoveTypes[Movement],0)),"?")="No",$G294&lt;&gt;""),"Leave Orders blank",IF(AND(IFERROR(INDEX(tblMoveTypes[Reason?],MATCH($E294,tblMoveTypes[Movement],0)),"?")="Yes",$I294=""),"Reason needed",IF(AND(IFERROR(INDEX(tblMoveTypes[Qty?],MATCH($E294,tblMoveTypes[Movement],0)),"?")="Yes",N($F294)&lt;=0),"Qty needed",IF($A294&lt;_xlfn.MINIFS(tblShipment[Arrival Date],tblShipment[Shipment ID],$C294),"Date before arrival",IF(AND($D294&lt;&gt;"",COUNTIFS(tblShipment[Shipment ID],$C294,tblShipment[Item Code],$D294)=0),"Item not in this shipment",IF(AND($H294&lt;&gt;"",COUNTIFS(tblCouriers[Courier],$H294,tblCouriers[Market],$B294)=0),"Courier not in this market","OK")))))))))))))))</f>
        <v>OK</v>
      </c>
    </row>
    <row r="295" customFormat="false" ht="15" hidden="false" customHeight="false" outlineLevel="0" collapsed="false">
      <c r="A295" s="27" t="n">
        <v>46232</v>
      </c>
      <c r="B295" s="26" t="s">
        <v>70</v>
      </c>
      <c r="C295" s="26" t="s">
        <v>126</v>
      </c>
      <c r="D295" s="26" t="s">
        <v>99</v>
      </c>
      <c r="E295" s="26" t="s">
        <v>93</v>
      </c>
      <c r="F295" s="28" t="n">
        <v>78</v>
      </c>
      <c r="G295" s="28"/>
      <c r="H295" s="26" t="s">
        <v>71</v>
      </c>
      <c r="I295" s="26"/>
      <c r="J295" s="26"/>
      <c r="K295" s="29" t="str">
        <f aca="false">IF($A295="","",IF(COUNTIFS(tblMoveTypes[Movement],$E295)=0,"Unknown movement type",IF(COUNTIF(tblShipment[Shipment ID],$C295)=0,"Unknown shipment",IF(COUNTIFS(tblShipment[Shipment ID],$C295,tblShipment[Market],$B295)=0,"Market does not match shipment",IF(AND(IFERROR(INDEX(tblMoveTypes[Item?],MATCH($E295,tblMoveTypes[Movement],0)),"?")="Yes",$D295=""),"Item needed",IF(AND(IFERROR(INDEX(tblMoveTypes[Item?],MATCH($E295,tblMoveTypes[Movement],0)),"?")="No",$D295&lt;&gt;""),"Leave Item blank",IF(AND(IFERROR(INDEX(tblMoveTypes[Courier?],MATCH($E295,tblMoveTypes[Movement],0)),"?")="Yes",$H295=""),"Courier needed",IF(AND(IFERROR(INDEX(tblMoveTypes[Courier?],MATCH($E295,tblMoveTypes[Movement],0)),"?")="No",$H295&lt;&gt;""),"Leave Courier blank",IF(AND(IFERROR(INDEX(tblMoveTypes[Orders?],MATCH($E295,tblMoveTypes[Movement],0)),"?")="Yes",$G295=""),"Orders needed",IF(AND(IFERROR(INDEX(tblMoveTypes[Orders?],MATCH($E295,tblMoveTypes[Movement],0)),"?")="No",$G295&lt;&gt;""),"Leave Orders blank",IF(AND(IFERROR(INDEX(tblMoveTypes[Reason?],MATCH($E295,tblMoveTypes[Movement],0)),"?")="Yes",$I295=""),"Reason needed",IF(AND(IFERROR(INDEX(tblMoveTypes[Qty?],MATCH($E295,tblMoveTypes[Movement],0)),"?")="Yes",N($F295)&lt;=0),"Qty needed",IF($A295&lt;_xlfn.MINIFS(tblShipment[Arrival Date],tblShipment[Shipment ID],$C295),"Date before arrival",IF(AND($D295&lt;&gt;"",COUNTIFS(tblShipment[Shipment ID],$C295,tblShipment[Item Code],$D295)=0),"Item not in this shipment",IF(AND($H295&lt;&gt;"",COUNTIFS(tblCouriers[Courier],$H295,tblCouriers[Market],$B295)=0),"Courier not in this market","OK")))))))))))))))</f>
        <v>OK</v>
      </c>
    </row>
    <row r="296" customFormat="false" ht="15" hidden="false" customHeight="false" outlineLevel="0" collapsed="false">
      <c r="A296" s="27" t="n">
        <v>46232</v>
      </c>
      <c r="B296" s="26" t="s">
        <v>70</v>
      </c>
      <c r="C296" s="26" t="s">
        <v>126</v>
      </c>
      <c r="D296" s="26" t="s">
        <v>67</v>
      </c>
      <c r="E296" s="26" t="s">
        <v>93</v>
      </c>
      <c r="F296" s="28" t="n">
        <v>114</v>
      </c>
      <c r="G296" s="28"/>
      <c r="H296" s="26" t="s">
        <v>71</v>
      </c>
      <c r="I296" s="26"/>
      <c r="J296" s="26"/>
      <c r="K296" s="29" t="str">
        <f aca="false">IF($A296="","",IF(COUNTIFS(tblMoveTypes[Movement],$E296)=0,"Unknown movement type",IF(COUNTIF(tblShipment[Shipment ID],$C296)=0,"Unknown shipment",IF(COUNTIFS(tblShipment[Shipment ID],$C296,tblShipment[Market],$B296)=0,"Market does not match shipment",IF(AND(IFERROR(INDEX(tblMoveTypes[Item?],MATCH($E296,tblMoveTypes[Movement],0)),"?")="Yes",$D296=""),"Item needed",IF(AND(IFERROR(INDEX(tblMoveTypes[Item?],MATCH($E296,tblMoveTypes[Movement],0)),"?")="No",$D296&lt;&gt;""),"Leave Item blank",IF(AND(IFERROR(INDEX(tblMoveTypes[Courier?],MATCH($E296,tblMoveTypes[Movement],0)),"?")="Yes",$H296=""),"Courier needed",IF(AND(IFERROR(INDEX(tblMoveTypes[Courier?],MATCH($E296,tblMoveTypes[Movement],0)),"?")="No",$H296&lt;&gt;""),"Leave Courier blank",IF(AND(IFERROR(INDEX(tblMoveTypes[Orders?],MATCH($E296,tblMoveTypes[Movement],0)),"?")="Yes",$G296=""),"Orders needed",IF(AND(IFERROR(INDEX(tblMoveTypes[Orders?],MATCH($E296,tblMoveTypes[Movement],0)),"?")="No",$G296&lt;&gt;""),"Leave Orders blank",IF(AND(IFERROR(INDEX(tblMoveTypes[Reason?],MATCH($E296,tblMoveTypes[Movement],0)),"?")="Yes",$I296=""),"Reason needed",IF(AND(IFERROR(INDEX(tblMoveTypes[Qty?],MATCH($E296,tblMoveTypes[Movement],0)),"?")="Yes",N($F296)&lt;=0),"Qty needed",IF($A296&lt;_xlfn.MINIFS(tblShipment[Arrival Date],tblShipment[Shipment ID],$C296),"Date before arrival",IF(AND($D296&lt;&gt;"",COUNTIFS(tblShipment[Shipment ID],$C296,tblShipment[Item Code],$D296)=0),"Item not in this shipment",IF(AND($H296&lt;&gt;"",COUNTIFS(tblCouriers[Courier],$H296,tblCouriers[Market],$B296)=0),"Courier not in this market","OK")))))))))))))))</f>
        <v>OK</v>
      </c>
    </row>
    <row r="297" customFormat="false" ht="15" hidden="false" customHeight="false" outlineLevel="0" collapsed="false">
      <c r="A297" s="27" t="n">
        <v>46232</v>
      </c>
      <c r="B297" s="26" t="s">
        <v>70</v>
      </c>
      <c r="C297" s="26" t="s">
        <v>126</v>
      </c>
      <c r="D297" s="26"/>
      <c r="E297" s="26" t="s">
        <v>104</v>
      </c>
      <c r="F297" s="28"/>
      <c r="G297" s="28" t="n">
        <v>42</v>
      </c>
      <c r="H297" s="26" t="s">
        <v>71</v>
      </c>
      <c r="I297" s="26"/>
      <c r="J297" s="26"/>
      <c r="K297" s="29" t="str">
        <f aca="false">IF($A297="","",IF(COUNTIFS(tblMoveTypes[Movement],$E297)=0,"Unknown movement type",IF(COUNTIF(tblShipment[Shipment ID],$C297)=0,"Unknown shipment",IF(COUNTIFS(tblShipment[Shipment ID],$C297,tblShipment[Market],$B297)=0,"Market does not match shipment",IF(AND(IFERROR(INDEX(tblMoveTypes[Item?],MATCH($E297,tblMoveTypes[Movement],0)),"?")="Yes",$D297=""),"Item needed",IF(AND(IFERROR(INDEX(tblMoveTypes[Item?],MATCH($E297,tblMoveTypes[Movement],0)),"?")="No",$D297&lt;&gt;""),"Leave Item blank",IF(AND(IFERROR(INDEX(tblMoveTypes[Courier?],MATCH($E297,tblMoveTypes[Movement],0)),"?")="Yes",$H297=""),"Courier needed",IF(AND(IFERROR(INDEX(tblMoveTypes[Courier?],MATCH($E297,tblMoveTypes[Movement],0)),"?")="No",$H297&lt;&gt;""),"Leave Courier blank",IF(AND(IFERROR(INDEX(tblMoveTypes[Orders?],MATCH($E297,tblMoveTypes[Movement],0)),"?")="Yes",$G297=""),"Orders needed",IF(AND(IFERROR(INDEX(tblMoveTypes[Orders?],MATCH($E297,tblMoveTypes[Movement],0)),"?")="No",$G297&lt;&gt;""),"Leave Orders blank",IF(AND(IFERROR(INDEX(tblMoveTypes[Reason?],MATCH($E297,tblMoveTypes[Movement],0)),"?")="Yes",$I297=""),"Reason needed",IF(AND(IFERROR(INDEX(tblMoveTypes[Qty?],MATCH($E297,tblMoveTypes[Movement],0)),"?")="Yes",N($F297)&lt;=0),"Qty needed",IF($A297&lt;_xlfn.MINIFS(tblShipment[Arrival Date],tblShipment[Shipment ID],$C297),"Date before arrival",IF(AND($D297&lt;&gt;"",COUNTIFS(tblShipment[Shipment ID],$C297,tblShipment[Item Code],$D297)=0),"Item not in this shipment",IF(AND($H297&lt;&gt;"",COUNTIFS(tblCouriers[Courier],$H297,tblCouriers[Market],$B297)=0),"Courier not in this market","OK")))))))))))))))</f>
        <v>OK</v>
      </c>
    </row>
    <row r="298" customFormat="false" ht="15" hidden="false" customHeight="false" outlineLevel="0" collapsed="false">
      <c r="A298" s="27" t="n">
        <v>46232</v>
      </c>
      <c r="B298" s="26" t="s">
        <v>70</v>
      </c>
      <c r="C298" s="26" t="s">
        <v>126</v>
      </c>
      <c r="D298" s="26"/>
      <c r="E298" s="26" t="s">
        <v>106</v>
      </c>
      <c r="F298" s="28" t="n">
        <v>122</v>
      </c>
      <c r="G298" s="28" t="n">
        <v>18</v>
      </c>
      <c r="H298" s="26" t="s">
        <v>71</v>
      </c>
      <c r="I298" s="26"/>
      <c r="J298" s="26"/>
      <c r="K298" s="29" t="str">
        <f aca="false">IF($A298="","",IF(COUNTIFS(tblMoveTypes[Movement],$E298)=0,"Unknown movement type",IF(COUNTIF(tblShipment[Shipment ID],$C298)=0,"Unknown shipment",IF(COUNTIFS(tblShipment[Shipment ID],$C298,tblShipment[Market],$B298)=0,"Market does not match shipment",IF(AND(IFERROR(INDEX(tblMoveTypes[Item?],MATCH($E298,tblMoveTypes[Movement],0)),"?")="Yes",$D298=""),"Item needed",IF(AND(IFERROR(INDEX(tblMoveTypes[Item?],MATCH($E298,tblMoveTypes[Movement],0)),"?")="No",$D298&lt;&gt;""),"Leave Item blank",IF(AND(IFERROR(INDEX(tblMoveTypes[Courier?],MATCH($E298,tblMoveTypes[Movement],0)),"?")="Yes",$H298=""),"Courier needed",IF(AND(IFERROR(INDEX(tblMoveTypes[Courier?],MATCH($E298,tblMoveTypes[Movement],0)),"?")="No",$H298&lt;&gt;""),"Leave Courier blank",IF(AND(IFERROR(INDEX(tblMoveTypes[Orders?],MATCH($E298,tblMoveTypes[Movement],0)),"?")="Yes",$G298=""),"Orders needed",IF(AND(IFERROR(INDEX(tblMoveTypes[Orders?],MATCH($E298,tblMoveTypes[Movement],0)),"?")="No",$G298&lt;&gt;""),"Leave Orders blank",IF(AND(IFERROR(INDEX(tblMoveTypes[Reason?],MATCH($E298,tblMoveTypes[Movement],0)),"?")="Yes",$I298=""),"Reason needed",IF(AND(IFERROR(INDEX(tblMoveTypes[Qty?],MATCH($E298,tblMoveTypes[Movement],0)),"?")="Yes",N($F298)&lt;=0),"Qty needed",IF($A298&lt;_xlfn.MINIFS(tblShipment[Arrival Date],tblShipment[Shipment ID],$C298),"Date before arrival",IF(AND($D298&lt;&gt;"",COUNTIFS(tblShipment[Shipment ID],$C298,tblShipment[Item Code],$D298)=0),"Item not in this shipment",IF(AND($H298&lt;&gt;"",COUNTIFS(tblCouriers[Courier],$H298,tblCouriers[Market],$B298)=0),"Courier not in this market","OK")))))))))))))))</f>
        <v>OK</v>
      </c>
    </row>
    <row r="299" customFormat="false" ht="15" hidden="false" customHeight="false" outlineLevel="0" collapsed="false">
      <c r="A299" s="27" t="n">
        <v>46232</v>
      </c>
      <c r="B299" s="26" t="s">
        <v>85</v>
      </c>
      <c r="C299" s="26" t="s">
        <v>141</v>
      </c>
      <c r="D299" s="26"/>
      <c r="E299" s="26" t="s">
        <v>106</v>
      </c>
      <c r="F299" s="28" t="n">
        <v>67</v>
      </c>
      <c r="G299" s="28" t="n">
        <v>10</v>
      </c>
      <c r="H299" s="26" t="s">
        <v>91</v>
      </c>
      <c r="I299" s="26"/>
      <c r="J299" s="26"/>
      <c r="K299" s="29" t="str">
        <f aca="false">IF($A299="","",IF(COUNTIFS(tblMoveTypes[Movement],$E299)=0,"Unknown movement type",IF(COUNTIF(tblShipment[Shipment ID],$C299)=0,"Unknown shipment",IF(COUNTIFS(tblShipment[Shipment ID],$C299,tblShipment[Market],$B299)=0,"Market does not match shipment",IF(AND(IFERROR(INDEX(tblMoveTypes[Item?],MATCH($E299,tblMoveTypes[Movement],0)),"?")="Yes",$D299=""),"Item needed",IF(AND(IFERROR(INDEX(tblMoveTypes[Item?],MATCH($E299,tblMoveTypes[Movement],0)),"?")="No",$D299&lt;&gt;""),"Leave Item blank",IF(AND(IFERROR(INDEX(tblMoveTypes[Courier?],MATCH($E299,tblMoveTypes[Movement],0)),"?")="Yes",$H299=""),"Courier needed",IF(AND(IFERROR(INDEX(tblMoveTypes[Courier?],MATCH($E299,tblMoveTypes[Movement],0)),"?")="No",$H299&lt;&gt;""),"Leave Courier blank",IF(AND(IFERROR(INDEX(tblMoveTypes[Orders?],MATCH($E299,tblMoveTypes[Movement],0)),"?")="Yes",$G299=""),"Orders needed",IF(AND(IFERROR(INDEX(tblMoveTypes[Orders?],MATCH($E299,tblMoveTypes[Movement],0)),"?")="No",$G299&lt;&gt;""),"Leave Orders blank",IF(AND(IFERROR(INDEX(tblMoveTypes[Reason?],MATCH($E299,tblMoveTypes[Movement],0)),"?")="Yes",$I299=""),"Reason needed",IF(AND(IFERROR(INDEX(tblMoveTypes[Qty?],MATCH($E299,tblMoveTypes[Movement],0)),"?")="Yes",N($F299)&lt;=0),"Qty needed",IF($A299&lt;_xlfn.MINIFS(tblShipment[Arrival Date],tblShipment[Shipment ID],$C299),"Date before arrival",IF(AND($D299&lt;&gt;"",COUNTIFS(tblShipment[Shipment ID],$C299,tblShipment[Item Code],$D299)=0),"Item not in this shipment",IF(AND($H299&lt;&gt;"",COUNTIFS(tblCouriers[Courier],$H299,tblCouriers[Market],$B299)=0),"Courier not in this market","OK")))))))))))))))</f>
        <v>OK</v>
      </c>
    </row>
    <row r="300" customFormat="false" ht="15" hidden="false" customHeight="false" outlineLevel="0" collapsed="false">
      <c r="A300" s="27" t="n">
        <v>46232</v>
      </c>
      <c r="B300" s="26" t="s">
        <v>90</v>
      </c>
      <c r="C300" s="26" t="s">
        <v>148</v>
      </c>
      <c r="D300" s="26"/>
      <c r="E300" s="26" t="s">
        <v>106</v>
      </c>
      <c r="F300" s="28" t="n">
        <v>59</v>
      </c>
      <c r="G300" s="28" t="n">
        <v>9</v>
      </c>
      <c r="H300" s="26" t="s">
        <v>101</v>
      </c>
      <c r="I300" s="26"/>
      <c r="J300" s="26"/>
      <c r="K300" s="29" t="str">
        <f aca="false">IF($A300="","",IF(COUNTIFS(tblMoveTypes[Movement],$E300)=0,"Unknown movement type",IF(COUNTIF(tblShipment[Shipment ID],$C300)=0,"Unknown shipment",IF(COUNTIFS(tblShipment[Shipment ID],$C300,tblShipment[Market],$B300)=0,"Market does not match shipment",IF(AND(IFERROR(INDEX(tblMoveTypes[Item?],MATCH($E300,tblMoveTypes[Movement],0)),"?")="Yes",$D300=""),"Item needed",IF(AND(IFERROR(INDEX(tblMoveTypes[Item?],MATCH($E300,tblMoveTypes[Movement],0)),"?")="No",$D300&lt;&gt;""),"Leave Item blank",IF(AND(IFERROR(INDEX(tblMoveTypes[Courier?],MATCH($E300,tblMoveTypes[Movement],0)),"?")="Yes",$H300=""),"Courier needed",IF(AND(IFERROR(INDEX(tblMoveTypes[Courier?],MATCH($E300,tblMoveTypes[Movement],0)),"?")="No",$H300&lt;&gt;""),"Leave Courier blank",IF(AND(IFERROR(INDEX(tblMoveTypes[Orders?],MATCH($E300,tblMoveTypes[Movement],0)),"?")="Yes",$G300=""),"Orders needed",IF(AND(IFERROR(INDEX(tblMoveTypes[Orders?],MATCH($E300,tblMoveTypes[Movement],0)),"?")="No",$G300&lt;&gt;""),"Leave Orders blank",IF(AND(IFERROR(INDEX(tblMoveTypes[Reason?],MATCH($E300,tblMoveTypes[Movement],0)),"?")="Yes",$I300=""),"Reason needed",IF(AND(IFERROR(INDEX(tblMoveTypes[Qty?],MATCH($E300,tblMoveTypes[Movement],0)),"?")="Yes",N($F300)&lt;=0),"Qty needed",IF($A300&lt;_xlfn.MINIFS(tblShipment[Arrival Date],tblShipment[Shipment ID],$C300),"Date before arrival",IF(AND($D300&lt;&gt;"",COUNTIFS(tblShipment[Shipment ID],$C300,tblShipment[Item Code],$D300)=0),"Item not in this shipment",IF(AND($H300&lt;&gt;"",COUNTIFS(tblCouriers[Courier],$H300,tblCouriers[Market],$B300)=0),"Courier not in this market","OK")))))))))))))))</f>
        <v>OK</v>
      </c>
    </row>
    <row r="301" customFormat="false" ht="15" hidden="false" customHeight="false" outlineLevel="0" collapsed="false">
      <c r="A301" s="27" t="n">
        <v>46232</v>
      </c>
      <c r="B301" s="26" t="s">
        <v>90</v>
      </c>
      <c r="C301" s="26" t="s">
        <v>148</v>
      </c>
      <c r="D301" s="26"/>
      <c r="E301" s="26" t="s">
        <v>106</v>
      </c>
      <c r="F301" s="28" t="n">
        <v>8</v>
      </c>
      <c r="G301" s="28" t="n">
        <v>1</v>
      </c>
      <c r="H301" s="26" t="s">
        <v>101</v>
      </c>
      <c r="I301" s="26"/>
      <c r="J301" s="26"/>
      <c r="K301" s="29" t="str">
        <f aca="false">IF($A301="","",IF(COUNTIFS(tblMoveTypes[Movement],$E301)=0,"Unknown movement type",IF(COUNTIF(tblShipment[Shipment ID],$C301)=0,"Unknown shipment",IF(COUNTIFS(tblShipment[Shipment ID],$C301,tblShipment[Market],$B301)=0,"Market does not match shipment",IF(AND(IFERROR(INDEX(tblMoveTypes[Item?],MATCH($E301,tblMoveTypes[Movement],0)),"?")="Yes",$D301=""),"Item needed",IF(AND(IFERROR(INDEX(tblMoveTypes[Item?],MATCH($E301,tblMoveTypes[Movement],0)),"?")="No",$D301&lt;&gt;""),"Leave Item blank",IF(AND(IFERROR(INDEX(tblMoveTypes[Courier?],MATCH($E301,tblMoveTypes[Movement],0)),"?")="Yes",$H301=""),"Courier needed",IF(AND(IFERROR(INDEX(tblMoveTypes[Courier?],MATCH($E301,tblMoveTypes[Movement],0)),"?")="No",$H301&lt;&gt;""),"Leave Courier blank",IF(AND(IFERROR(INDEX(tblMoveTypes[Orders?],MATCH($E301,tblMoveTypes[Movement],0)),"?")="Yes",$G301=""),"Orders needed",IF(AND(IFERROR(INDEX(tblMoveTypes[Orders?],MATCH($E301,tblMoveTypes[Movement],0)),"?")="No",$G301&lt;&gt;""),"Leave Orders blank",IF(AND(IFERROR(INDEX(tblMoveTypes[Reason?],MATCH($E301,tblMoveTypes[Movement],0)),"?")="Yes",$I301=""),"Reason needed",IF(AND(IFERROR(INDEX(tblMoveTypes[Qty?],MATCH($E301,tblMoveTypes[Movement],0)),"?")="Yes",N($F301)&lt;=0),"Qty needed",IF($A301&lt;_xlfn.MINIFS(tblShipment[Arrival Date],tblShipment[Shipment ID],$C301),"Date before arrival",IF(AND($D301&lt;&gt;"",COUNTIFS(tblShipment[Shipment ID],$C301,tblShipment[Item Code],$D301)=0),"Item not in this shipment",IF(AND($H301&lt;&gt;"",COUNTIFS(tblCouriers[Courier],$H301,tblCouriers[Market],$B301)=0),"Courier not in this market","OK")))))))))))))))</f>
        <v>OK</v>
      </c>
    </row>
    <row r="302" customFormat="false" ht="15" hidden="false" customHeight="false" outlineLevel="0" collapsed="false">
      <c r="A302" s="27" t="n">
        <v>46232</v>
      </c>
      <c r="B302" s="26" t="s">
        <v>90</v>
      </c>
      <c r="C302" s="26" t="s">
        <v>149</v>
      </c>
      <c r="D302" s="26" t="s">
        <v>67</v>
      </c>
      <c r="E302" s="26" t="s">
        <v>81</v>
      </c>
      <c r="F302" s="28" t="n">
        <v>1</v>
      </c>
      <c r="G302" s="28"/>
      <c r="H302" s="26"/>
      <c r="I302" s="26"/>
      <c r="J302" s="26" t="s">
        <v>162</v>
      </c>
      <c r="K302" s="29" t="str">
        <f aca="false">IF($A302="","",IF(COUNTIFS(tblMoveTypes[Movement],$E302)=0,"Unknown movement type",IF(COUNTIF(tblShipment[Shipment ID],$C302)=0,"Unknown shipment",IF(COUNTIFS(tblShipment[Shipment ID],$C302,tblShipment[Market],$B302)=0,"Market does not match shipment",IF(AND(IFERROR(INDEX(tblMoveTypes[Item?],MATCH($E302,tblMoveTypes[Movement],0)),"?")="Yes",$D302=""),"Item needed",IF(AND(IFERROR(INDEX(tblMoveTypes[Item?],MATCH($E302,tblMoveTypes[Movement],0)),"?")="No",$D302&lt;&gt;""),"Leave Item blank",IF(AND(IFERROR(INDEX(tblMoveTypes[Courier?],MATCH($E302,tblMoveTypes[Movement],0)),"?")="Yes",$H302=""),"Courier needed",IF(AND(IFERROR(INDEX(tblMoveTypes[Courier?],MATCH($E302,tblMoveTypes[Movement],0)),"?")="No",$H302&lt;&gt;""),"Leave Courier blank",IF(AND(IFERROR(INDEX(tblMoveTypes[Orders?],MATCH($E302,tblMoveTypes[Movement],0)),"?")="Yes",$G302=""),"Orders needed",IF(AND(IFERROR(INDEX(tblMoveTypes[Orders?],MATCH($E302,tblMoveTypes[Movement],0)),"?")="No",$G302&lt;&gt;""),"Leave Orders blank",IF(AND(IFERROR(INDEX(tblMoveTypes[Reason?],MATCH($E302,tblMoveTypes[Movement],0)),"?")="Yes",$I302=""),"Reason needed",IF(AND(IFERROR(INDEX(tblMoveTypes[Qty?],MATCH($E302,tblMoveTypes[Movement],0)),"?")="Yes",N($F302)&lt;=0),"Qty needed",IF($A302&lt;_xlfn.MINIFS(tblShipment[Arrival Date],tblShipment[Shipment ID],$C302),"Date before arrival",IF(AND($D302&lt;&gt;"",COUNTIFS(tblShipment[Shipment ID],$C302,tblShipment[Item Code],$D302)=0),"Item not in this shipment",IF(AND($H302&lt;&gt;"",COUNTIFS(tblCouriers[Courier],$H302,tblCouriers[Market],$B302)=0),"Courier not in this market","OK")))))))))))))))</f>
        <v>OK</v>
      </c>
    </row>
    <row r="303" customFormat="false" ht="15" hidden="false" customHeight="false" outlineLevel="0" collapsed="false">
      <c r="A303" s="27" t="n">
        <v>46232</v>
      </c>
      <c r="B303" s="26" t="s">
        <v>90</v>
      </c>
      <c r="C303" s="26" t="s">
        <v>149</v>
      </c>
      <c r="D303" s="26" t="s">
        <v>67</v>
      </c>
      <c r="E303" s="26" t="s">
        <v>74</v>
      </c>
      <c r="F303" s="28" t="n">
        <v>49</v>
      </c>
      <c r="G303" s="28"/>
      <c r="H303" s="26"/>
      <c r="I303" s="26"/>
      <c r="J303" s="26"/>
      <c r="K303" s="29" t="str">
        <f aca="false">IF($A303="","",IF(COUNTIFS(tblMoveTypes[Movement],$E303)=0,"Unknown movement type",IF(COUNTIF(tblShipment[Shipment ID],$C303)=0,"Unknown shipment",IF(COUNTIFS(tblShipment[Shipment ID],$C303,tblShipment[Market],$B303)=0,"Market does not match shipment",IF(AND(IFERROR(INDEX(tblMoveTypes[Item?],MATCH($E303,tblMoveTypes[Movement],0)),"?")="Yes",$D303=""),"Item needed",IF(AND(IFERROR(INDEX(tblMoveTypes[Item?],MATCH($E303,tblMoveTypes[Movement],0)),"?")="No",$D303&lt;&gt;""),"Leave Item blank",IF(AND(IFERROR(INDEX(tblMoveTypes[Courier?],MATCH($E303,tblMoveTypes[Movement],0)),"?")="Yes",$H303=""),"Courier needed",IF(AND(IFERROR(INDEX(tblMoveTypes[Courier?],MATCH($E303,tblMoveTypes[Movement],0)),"?")="No",$H303&lt;&gt;""),"Leave Courier blank",IF(AND(IFERROR(INDEX(tblMoveTypes[Orders?],MATCH($E303,tblMoveTypes[Movement],0)),"?")="Yes",$G303=""),"Orders needed",IF(AND(IFERROR(INDEX(tblMoveTypes[Orders?],MATCH($E303,tblMoveTypes[Movement],0)),"?")="No",$G303&lt;&gt;""),"Leave Orders blank",IF(AND(IFERROR(INDEX(tblMoveTypes[Reason?],MATCH($E303,tblMoveTypes[Movement],0)),"?")="Yes",$I303=""),"Reason needed",IF(AND(IFERROR(INDEX(tblMoveTypes[Qty?],MATCH($E303,tblMoveTypes[Movement],0)),"?")="Yes",N($F303)&lt;=0),"Qty needed",IF($A303&lt;_xlfn.MINIFS(tblShipment[Arrival Date],tblShipment[Shipment ID],$C303),"Date before arrival",IF(AND($D303&lt;&gt;"",COUNTIFS(tblShipment[Shipment ID],$C303,tblShipment[Item Code],$D303)=0),"Item not in this shipment",IF(AND($H303&lt;&gt;"",COUNTIFS(tblCouriers[Courier],$H303,tblCouriers[Market],$B303)=0),"Courier not in this market","OK")))))))))))))))</f>
        <v>OK</v>
      </c>
    </row>
    <row r="304" customFormat="false" ht="15" hidden="false" customHeight="false" outlineLevel="0" collapsed="false">
      <c r="A304" s="27" t="n">
        <v>46232</v>
      </c>
      <c r="B304" s="26" t="s">
        <v>90</v>
      </c>
      <c r="C304" s="26" t="s">
        <v>149</v>
      </c>
      <c r="D304" s="26" t="s">
        <v>99</v>
      </c>
      <c r="E304" s="26" t="s">
        <v>74</v>
      </c>
      <c r="F304" s="28" t="n">
        <v>80</v>
      </c>
      <c r="G304" s="28"/>
      <c r="H304" s="26"/>
      <c r="I304" s="26"/>
      <c r="J304" s="26"/>
      <c r="K304" s="29" t="str">
        <f aca="false">IF($A304="","",IF(COUNTIFS(tblMoveTypes[Movement],$E304)=0,"Unknown movement type",IF(COUNTIF(tblShipment[Shipment ID],$C304)=0,"Unknown shipment",IF(COUNTIFS(tblShipment[Shipment ID],$C304,tblShipment[Market],$B304)=0,"Market does not match shipment",IF(AND(IFERROR(INDEX(tblMoveTypes[Item?],MATCH($E304,tblMoveTypes[Movement],0)),"?")="Yes",$D304=""),"Item needed",IF(AND(IFERROR(INDEX(tblMoveTypes[Item?],MATCH($E304,tblMoveTypes[Movement],0)),"?")="No",$D304&lt;&gt;""),"Leave Item blank",IF(AND(IFERROR(INDEX(tblMoveTypes[Courier?],MATCH($E304,tblMoveTypes[Movement],0)),"?")="Yes",$H304=""),"Courier needed",IF(AND(IFERROR(INDEX(tblMoveTypes[Courier?],MATCH($E304,tblMoveTypes[Movement],0)),"?")="No",$H304&lt;&gt;""),"Leave Courier blank",IF(AND(IFERROR(INDEX(tblMoveTypes[Orders?],MATCH($E304,tblMoveTypes[Movement],0)),"?")="Yes",$G304=""),"Orders needed",IF(AND(IFERROR(INDEX(tblMoveTypes[Orders?],MATCH($E304,tblMoveTypes[Movement],0)),"?")="No",$G304&lt;&gt;""),"Leave Orders blank",IF(AND(IFERROR(INDEX(tblMoveTypes[Reason?],MATCH($E304,tblMoveTypes[Movement],0)),"?")="Yes",$I304=""),"Reason needed",IF(AND(IFERROR(INDEX(tblMoveTypes[Qty?],MATCH($E304,tblMoveTypes[Movement],0)),"?")="Yes",N($F304)&lt;=0),"Qty needed",IF($A304&lt;_xlfn.MINIFS(tblShipment[Arrival Date],tblShipment[Shipment ID],$C304),"Date before arrival",IF(AND($D304&lt;&gt;"",COUNTIFS(tblShipment[Shipment ID],$C304,tblShipment[Item Code],$D304)=0),"Item not in this shipment",IF(AND($H304&lt;&gt;"",COUNTIFS(tblCouriers[Courier],$H304,tblCouriers[Market],$B304)=0),"Courier not in this market","OK")))))))))))))))</f>
        <v>OK</v>
      </c>
    </row>
    <row r="305" customFormat="false" ht="15" hidden="false" customHeight="false" outlineLevel="0" collapsed="false">
      <c r="A305" s="27" t="n">
        <v>46232</v>
      </c>
      <c r="B305" s="26" t="s">
        <v>90</v>
      </c>
      <c r="C305" s="26" t="s">
        <v>149</v>
      </c>
      <c r="D305" s="26" t="s">
        <v>94</v>
      </c>
      <c r="E305" s="26" t="s">
        <v>74</v>
      </c>
      <c r="F305" s="28" t="n">
        <v>60</v>
      </c>
      <c r="G305" s="28"/>
      <c r="H305" s="26"/>
      <c r="I305" s="26"/>
      <c r="J305" s="26"/>
      <c r="K305" s="29" t="str">
        <f aca="false">IF($A305="","",IF(COUNTIFS(tblMoveTypes[Movement],$E305)=0,"Unknown movement type",IF(COUNTIF(tblShipment[Shipment ID],$C305)=0,"Unknown shipment",IF(COUNTIFS(tblShipment[Shipment ID],$C305,tblShipment[Market],$B305)=0,"Market does not match shipment",IF(AND(IFERROR(INDEX(tblMoveTypes[Item?],MATCH($E305,tblMoveTypes[Movement],0)),"?")="Yes",$D305=""),"Item needed",IF(AND(IFERROR(INDEX(tblMoveTypes[Item?],MATCH($E305,tblMoveTypes[Movement],0)),"?")="No",$D305&lt;&gt;""),"Leave Item blank",IF(AND(IFERROR(INDEX(tblMoveTypes[Courier?],MATCH($E305,tblMoveTypes[Movement],0)),"?")="Yes",$H305=""),"Courier needed",IF(AND(IFERROR(INDEX(tblMoveTypes[Courier?],MATCH($E305,tblMoveTypes[Movement],0)),"?")="No",$H305&lt;&gt;""),"Leave Courier blank",IF(AND(IFERROR(INDEX(tblMoveTypes[Orders?],MATCH($E305,tblMoveTypes[Movement],0)),"?")="Yes",$G305=""),"Orders needed",IF(AND(IFERROR(INDEX(tblMoveTypes[Orders?],MATCH($E305,tblMoveTypes[Movement],0)),"?")="No",$G305&lt;&gt;""),"Leave Orders blank",IF(AND(IFERROR(INDEX(tblMoveTypes[Reason?],MATCH($E305,tblMoveTypes[Movement],0)),"?")="Yes",$I305=""),"Reason needed",IF(AND(IFERROR(INDEX(tblMoveTypes[Qty?],MATCH($E305,tblMoveTypes[Movement],0)),"?")="Yes",N($F305)&lt;=0),"Qty needed",IF($A305&lt;_xlfn.MINIFS(tblShipment[Arrival Date],tblShipment[Shipment ID],$C305),"Date before arrival",IF(AND($D305&lt;&gt;"",COUNTIFS(tblShipment[Shipment ID],$C305,tblShipment[Item Code],$D305)=0),"Item not in this shipment",IF(AND($H305&lt;&gt;"",COUNTIFS(tblCouriers[Courier],$H305,tblCouriers[Market],$B305)=0),"Courier not in this market","OK")))))))))))))))</f>
        <v>OK</v>
      </c>
    </row>
    <row r="306" customFormat="false" ht="15" hidden="false" customHeight="false" outlineLevel="0" collapsed="false">
      <c r="A306" s="27" t="n">
        <v>46232</v>
      </c>
      <c r="B306" s="26" t="s">
        <v>90</v>
      </c>
      <c r="C306" s="26" t="s">
        <v>149</v>
      </c>
      <c r="D306" s="26" t="s">
        <v>76</v>
      </c>
      <c r="E306" s="26" t="s">
        <v>74</v>
      </c>
      <c r="F306" s="28" t="n">
        <v>40</v>
      </c>
      <c r="G306" s="28"/>
      <c r="H306" s="26"/>
      <c r="I306" s="26"/>
      <c r="J306" s="26"/>
      <c r="K306" s="29" t="str">
        <f aca="false">IF($A306="","",IF(COUNTIFS(tblMoveTypes[Movement],$E306)=0,"Unknown movement type",IF(COUNTIF(tblShipment[Shipment ID],$C306)=0,"Unknown shipment",IF(COUNTIFS(tblShipment[Shipment ID],$C306,tblShipment[Market],$B306)=0,"Market does not match shipment",IF(AND(IFERROR(INDEX(tblMoveTypes[Item?],MATCH($E306,tblMoveTypes[Movement],0)),"?")="Yes",$D306=""),"Item needed",IF(AND(IFERROR(INDEX(tblMoveTypes[Item?],MATCH($E306,tblMoveTypes[Movement],0)),"?")="No",$D306&lt;&gt;""),"Leave Item blank",IF(AND(IFERROR(INDEX(tblMoveTypes[Courier?],MATCH($E306,tblMoveTypes[Movement],0)),"?")="Yes",$H306=""),"Courier needed",IF(AND(IFERROR(INDEX(tblMoveTypes[Courier?],MATCH($E306,tblMoveTypes[Movement],0)),"?")="No",$H306&lt;&gt;""),"Leave Courier blank",IF(AND(IFERROR(INDEX(tblMoveTypes[Orders?],MATCH($E306,tblMoveTypes[Movement],0)),"?")="Yes",$G306=""),"Orders needed",IF(AND(IFERROR(INDEX(tblMoveTypes[Orders?],MATCH($E306,tblMoveTypes[Movement],0)),"?")="No",$G306&lt;&gt;""),"Leave Orders blank",IF(AND(IFERROR(INDEX(tblMoveTypes[Reason?],MATCH($E306,tblMoveTypes[Movement],0)),"?")="Yes",$I306=""),"Reason needed",IF(AND(IFERROR(INDEX(tblMoveTypes[Qty?],MATCH($E306,tblMoveTypes[Movement],0)),"?")="Yes",N($F306)&lt;=0),"Qty needed",IF($A306&lt;_xlfn.MINIFS(tblShipment[Arrival Date],tblShipment[Shipment ID],$C306),"Date before arrival",IF(AND($D306&lt;&gt;"",COUNTIFS(tblShipment[Shipment ID],$C306,tblShipment[Item Code],$D306)=0),"Item not in this shipment",IF(AND($H306&lt;&gt;"",COUNTIFS(tblCouriers[Courier],$H306,tblCouriers[Market],$B306)=0),"Courier not in this market","OK")))))))))))))))</f>
        <v>OK</v>
      </c>
    </row>
    <row r="307" customFormat="false" ht="15" hidden="false" customHeight="false" outlineLevel="0" collapsed="false">
      <c r="A307" s="27" t="n">
        <v>46232</v>
      </c>
      <c r="B307" s="26" t="s">
        <v>90</v>
      </c>
      <c r="C307" s="26" t="s">
        <v>149</v>
      </c>
      <c r="D307" s="26"/>
      <c r="E307" s="26" t="s">
        <v>98</v>
      </c>
      <c r="F307" s="28"/>
      <c r="G307" s="28" t="n">
        <v>33</v>
      </c>
      <c r="H307" s="26"/>
      <c r="I307" s="26"/>
      <c r="J307" s="26"/>
      <c r="K307" s="29" t="str">
        <f aca="false">IF($A307="","",IF(COUNTIFS(tblMoveTypes[Movement],$E307)=0,"Unknown movement type",IF(COUNTIF(tblShipment[Shipment ID],$C307)=0,"Unknown shipment",IF(COUNTIFS(tblShipment[Shipment ID],$C307,tblShipment[Market],$B307)=0,"Market does not match shipment",IF(AND(IFERROR(INDEX(tblMoveTypes[Item?],MATCH($E307,tblMoveTypes[Movement],0)),"?")="Yes",$D307=""),"Item needed",IF(AND(IFERROR(INDEX(tblMoveTypes[Item?],MATCH($E307,tblMoveTypes[Movement],0)),"?")="No",$D307&lt;&gt;""),"Leave Item blank",IF(AND(IFERROR(INDEX(tblMoveTypes[Courier?],MATCH($E307,tblMoveTypes[Movement],0)),"?")="Yes",$H307=""),"Courier needed",IF(AND(IFERROR(INDEX(tblMoveTypes[Courier?],MATCH($E307,tblMoveTypes[Movement],0)),"?")="No",$H307&lt;&gt;""),"Leave Courier blank",IF(AND(IFERROR(INDEX(tblMoveTypes[Orders?],MATCH($E307,tblMoveTypes[Movement],0)),"?")="Yes",$G307=""),"Orders needed",IF(AND(IFERROR(INDEX(tblMoveTypes[Orders?],MATCH($E307,tblMoveTypes[Movement],0)),"?")="No",$G307&lt;&gt;""),"Leave Orders blank",IF(AND(IFERROR(INDEX(tblMoveTypes[Reason?],MATCH($E307,tblMoveTypes[Movement],0)),"?")="Yes",$I307=""),"Reason needed",IF(AND(IFERROR(INDEX(tblMoveTypes[Qty?],MATCH($E307,tblMoveTypes[Movement],0)),"?")="Yes",N($F307)&lt;=0),"Qty needed",IF($A307&lt;_xlfn.MINIFS(tblShipment[Arrival Date],tblShipment[Shipment ID],$C307),"Date before arrival",IF(AND($D307&lt;&gt;"",COUNTIFS(tblShipment[Shipment ID],$C307,tblShipment[Item Code],$D307)=0),"Item not in this shipment",IF(AND($H307&lt;&gt;"",COUNTIFS(tblCouriers[Courier],$H307,tblCouriers[Market],$B307)=0),"Courier not in this market","OK")))))))))))))))</f>
        <v>OK</v>
      </c>
    </row>
    <row r="308" customFormat="false" ht="15" hidden="false" customHeight="false" outlineLevel="0" collapsed="false">
      <c r="A308" s="27" t="n">
        <v>46232</v>
      </c>
      <c r="B308" s="26" t="s">
        <v>90</v>
      </c>
      <c r="C308" s="26" t="s">
        <v>149</v>
      </c>
      <c r="D308" s="26" t="s">
        <v>67</v>
      </c>
      <c r="E308" s="26" t="s">
        <v>73</v>
      </c>
      <c r="F308" s="28" t="n">
        <v>3</v>
      </c>
      <c r="G308" s="28"/>
      <c r="H308" s="26"/>
      <c r="I308" s="26" t="s">
        <v>80</v>
      </c>
      <c r="J308" s="26"/>
      <c r="K308" s="29" t="str">
        <f aca="false">IF($A308="","",IF(COUNTIFS(tblMoveTypes[Movement],$E308)=0,"Unknown movement type",IF(COUNTIF(tblShipment[Shipment ID],$C308)=0,"Unknown shipment",IF(COUNTIFS(tblShipment[Shipment ID],$C308,tblShipment[Market],$B308)=0,"Market does not match shipment",IF(AND(IFERROR(INDEX(tblMoveTypes[Item?],MATCH($E308,tblMoveTypes[Movement],0)),"?")="Yes",$D308=""),"Item needed",IF(AND(IFERROR(INDEX(tblMoveTypes[Item?],MATCH($E308,tblMoveTypes[Movement],0)),"?")="No",$D308&lt;&gt;""),"Leave Item blank",IF(AND(IFERROR(INDEX(tblMoveTypes[Courier?],MATCH($E308,tblMoveTypes[Movement],0)),"?")="Yes",$H308=""),"Courier needed",IF(AND(IFERROR(INDEX(tblMoveTypes[Courier?],MATCH($E308,tblMoveTypes[Movement],0)),"?")="No",$H308&lt;&gt;""),"Leave Courier blank",IF(AND(IFERROR(INDEX(tblMoveTypes[Orders?],MATCH($E308,tblMoveTypes[Movement],0)),"?")="Yes",$G308=""),"Orders needed",IF(AND(IFERROR(INDEX(tblMoveTypes[Orders?],MATCH($E308,tblMoveTypes[Movement],0)),"?")="No",$G308&lt;&gt;""),"Leave Orders blank",IF(AND(IFERROR(INDEX(tblMoveTypes[Reason?],MATCH($E308,tblMoveTypes[Movement],0)),"?")="Yes",$I308=""),"Reason needed",IF(AND(IFERROR(INDEX(tblMoveTypes[Qty?],MATCH($E308,tblMoveTypes[Movement],0)),"?")="Yes",N($F308)&lt;=0),"Qty needed",IF($A308&lt;_xlfn.MINIFS(tblShipment[Arrival Date],tblShipment[Shipment ID],$C308),"Date before arrival",IF(AND($D308&lt;&gt;"",COUNTIFS(tblShipment[Shipment ID],$C308,tblShipment[Item Code],$D308)=0),"Item not in this shipment",IF(AND($H308&lt;&gt;"",COUNTIFS(tblCouriers[Courier],$H308,tblCouriers[Market],$B308)=0),"Courier not in this market","OK")))))))))))))))</f>
        <v>OK</v>
      </c>
    </row>
    <row r="309" customFormat="false" ht="15" hidden="false" customHeight="false" outlineLevel="0" collapsed="false">
      <c r="A309" s="27" t="n">
        <v>46232</v>
      </c>
      <c r="B309" s="26" t="s">
        <v>90</v>
      </c>
      <c r="C309" s="26" t="s">
        <v>149</v>
      </c>
      <c r="D309" s="26" t="s">
        <v>99</v>
      </c>
      <c r="E309" s="26" t="s">
        <v>73</v>
      </c>
      <c r="F309" s="28" t="n">
        <v>2</v>
      </c>
      <c r="G309" s="28"/>
      <c r="H309" s="26"/>
      <c r="I309" s="26" t="s">
        <v>72</v>
      </c>
      <c r="J309" s="26"/>
      <c r="K309" s="29" t="str">
        <f aca="false">IF($A309="","",IF(COUNTIFS(tblMoveTypes[Movement],$E309)=0,"Unknown movement type",IF(COUNTIF(tblShipment[Shipment ID],$C309)=0,"Unknown shipment",IF(COUNTIFS(tblShipment[Shipment ID],$C309,tblShipment[Market],$B309)=0,"Market does not match shipment",IF(AND(IFERROR(INDEX(tblMoveTypes[Item?],MATCH($E309,tblMoveTypes[Movement],0)),"?")="Yes",$D309=""),"Item needed",IF(AND(IFERROR(INDEX(tblMoveTypes[Item?],MATCH($E309,tblMoveTypes[Movement],0)),"?")="No",$D309&lt;&gt;""),"Leave Item blank",IF(AND(IFERROR(INDEX(tblMoveTypes[Courier?],MATCH($E309,tblMoveTypes[Movement],0)),"?")="Yes",$H309=""),"Courier needed",IF(AND(IFERROR(INDEX(tblMoveTypes[Courier?],MATCH($E309,tblMoveTypes[Movement],0)),"?")="No",$H309&lt;&gt;""),"Leave Courier blank",IF(AND(IFERROR(INDEX(tblMoveTypes[Orders?],MATCH($E309,tblMoveTypes[Movement],0)),"?")="Yes",$G309=""),"Orders needed",IF(AND(IFERROR(INDEX(tblMoveTypes[Orders?],MATCH($E309,tblMoveTypes[Movement],0)),"?")="No",$G309&lt;&gt;""),"Leave Orders blank",IF(AND(IFERROR(INDEX(tblMoveTypes[Reason?],MATCH($E309,tblMoveTypes[Movement],0)),"?")="Yes",$I309=""),"Reason needed",IF(AND(IFERROR(INDEX(tblMoveTypes[Qty?],MATCH($E309,tblMoveTypes[Movement],0)),"?")="Yes",N($F309)&lt;=0),"Qty needed",IF($A309&lt;_xlfn.MINIFS(tblShipment[Arrival Date],tblShipment[Shipment ID],$C309),"Date before arrival",IF(AND($D309&lt;&gt;"",COUNTIFS(tblShipment[Shipment ID],$C309,tblShipment[Item Code],$D309)=0),"Item not in this shipment",IF(AND($H309&lt;&gt;"",COUNTIFS(tblCouriers[Courier],$H309,tblCouriers[Market],$B309)=0),"Courier not in this market","OK")))))))))))))))</f>
        <v>OK</v>
      </c>
    </row>
    <row r="310" customFormat="false" ht="15" hidden="false" customHeight="false" outlineLevel="0" collapsed="false">
      <c r="A310" s="27" t="n">
        <v>46232</v>
      </c>
      <c r="B310" s="26" t="s">
        <v>90</v>
      </c>
      <c r="C310" s="26" t="s">
        <v>149</v>
      </c>
      <c r="D310" s="26" t="s">
        <v>94</v>
      </c>
      <c r="E310" s="26" t="s">
        <v>73</v>
      </c>
      <c r="F310" s="28" t="n">
        <v>2</v>
      </c>
      <c r="G310" s="28"/>
      <c r="H310" s="26"/>
      <c r="I310" s="26" t="s">
        <v>80</v>
      </c>
      <c r="J310" s="26"/>
      <c r="K310" s="29" t="str">
        <f aca="false">IF($A310="","",IF(COUNTIFS(tblMoveTypes[Movement],$E310)=0,"Unknown movement type",IF(COUNTIF(tblShipment[Shipment ID],$C310)=0,"Unknown shipment",IF(COUNTIFS(tblShipment[Shipment ID],$C310,tblShipment[Market],$B310)=0,"Market does not match shipment",IF(AND(IFERROR(INDEX(tblMoveTypes[Item?],MATCH($E310,tblMoveTypes[Movement],0)),"?")="Yes",$D310=""),"Item needed",IF(AND(IFERROR(INDEX(tblMoveTypes[Item?],MATCH($E310,tblMoveTypes[Movement],0)),"?")="No",$D310&lt;&gt;""),"Leave Item blank",IF(AND(IFERROR(INDEX(tblMoveTypes[Courier?],MATCH($E310,tblMoveTypes[Movement],0)),"?")="Yes",$H310=""),"Courier needed",IF(AND(IFERROR(INDEX(tblMoveTypes[Courier?],MATCH($E310,tblMoveTypes[Movement],0)),"?")="No",$H310&lt;&gt;""),"Leave Courier blank",IF(AND(IFERROR(INDEX(tblMoveTypes[Orders?],MATCH($E310,tblMoveTypes[Movement],0)),"?")="Yes",$G310=""),"Orders needed",IF(AND(IFERROR(INDEX(tblMoveTypes[Orders?],MATCH($E310,tblMoveTypes[Movement],0)),"?")="No",$G310&lt;&gt;""),"Leave Orders blank",IF(AND(IFERROR(INDEX(tblMoveTypes[Reason?],MATCH($E310,tblMoveTypes[Movement],0)),"?")="Yes",$I310=""),"Reason needed",IF(AND(IFERROR(INDEX(tblMoveTypes[Qty?],MATCH($E310,tblMoveTypes[Movement],0)),"?")="Yes",N($F310)&lt;=0),"Qty needed",IF($A310&lt;_xlfn.MINIFS(tblShipment[Arrival Date],tblShipment[Shipment ID],$C310),"Date before arrival",IF(AND($D310&lt;&gt;"",COUNTIFS(tblShipment[Shipment ID],$C310,tblShipment[Item Code],$D310)=0),"Item not in this shipment",IF(AND($H310&lt;&gt;"",COUNTIFS(tblCouriers[Courier],$H310,tblCouriers[Market],$B310)=0),"Courier not in this market","OK")))))))))))))))</f>
        <v>OK</v>
      </c>
    </row>
    <row r="311" customFormat="false" ht="15" hidden="false" customHeight="false" outlineLevel="0" collapsed="false">
      <c r="A311" s="27" t="n">
        <v>46232</v>
      </c>
      <c r="B311" s="26" t="s">
        <v>90</v>
      </c>
      <c r="C311" s="26" t="s">
        <v>149</v>
      </c>
      <c r="D311" s="26" t="s">
        <v>76</v>
      </c>
      <c r="E311" s="26" t="s">
        <v>73</v>
      </c>
      <c r="F311" s="28" t="n">
        <v>2</v>
      </c>
      <c r="G311" s="28"/>
      <c r="H311" s="26"/>
      <c r="I311" s="26" t="s">
        <v>72</v>
      </c>
      <c r="J311" s="26"/>
      <c r="K311" s="29" t="str">
        <f aca="false">IF($A311="","",IF(COUNTIFS(tblMoveTypes[Movement],$E311)=0,"Unknown movement type",IF(COUNTIF(tblShipment[Shipment ID],$C311)=0,"Unknown shipment",IF(COUNTIFS(tblShipment[Shipment ID],$C311,tblShipment[Market],$B311)=0,"Market does not match shipment",IF(AND(IFERROR(INDEX(tblMoveTypes[Item?],MATCH($E311,tblMoveTypes[Movement],0)),"?")="Yes",$D311=""),"Item needed",IF(AND(IFERROR(INDEX(tblMoveTypes[Item?],MATCH($E311,tblMoveTypes[Movement],0)),"?")="No",$D311&lt;&gt;""),"Leave Item blank",IF(AND(IFERROR(INDEX(tblMoveTypes[Courier?],MATCH($E311,tblMoveTypes[Movement],0)),"?")="Yes",$H311=""),"Courier needed",IF(AND(IFERROR(INDEX(tblMoveTypes[Courier?],MATCH($E311,tblMoveTypes[Movement],0)),"?")="No",$H311&lt;&gt;""),"Leave Courier blank",IF(AND(IFERROR(INDEX(tblMoveTypes[Orders?],MATCH($E311,tblMoveTypes[Movement],0)),"?")="Yes",$G311=""),"Orders needed",IF(AND(IFERROR(INDEX(tblMoveTypes[Orders?],MATCH($E311,tblMoveTypes[Movement],0)),"?")="No",$G311&lt;&gt;""),"Leave Orders blank",IF(AND(IFERROR(INDEX(tblMoveTypes[Reason?],MATCH($E311,tblMoveTypes[Movement],0)),"?")="Yes",$I311=""),"Reason needed",IF(AND(IFERROR(INDEX(tblMoveTypes[Qty?],MATCH($E311,tblMoveTypes[Movement],0)),"?")="Yes",N($F311)&lt;=0),"Qty needed",IF($A311&lt;_xlfn.MINIFS(tblShipment[Arrival Date],tblShipment[Shipment ID],$C311),"Date before arrival",IF(AND($D311&lt;&gt;"",COUNTIFS(tblShipment[Shipment ID],$C311,tblShipment[Item Code],$D311)=0),"Item not in this shipment",IF(AND($H311&lt;&gt;"",COUNTIFS(tblCouriers[Courier],$H311,tblCouriers[Market],$B311)=0),"Courier not in this market","OK")))))))))))))))</f>
        <v>OK</v>
      </c>
    </row>
    <row r="312" customFormat="false" ht="15" hidden="false" customHeight="false" outlineLevel="0" collapsed="false">
      <c r="A312" s="27" t="n">
        <v>46232</v>
      </c>
      <c r="B312" s="26" t="s">
        <v>90</v>
      </c>
      <c r="C312" s="26" t="s">
        <v>149</v>
      </c>
      <c r="D312" s="26" t="s">
        <v>67</v>
      </c>
      <c r="E312" s="26" t="s">
        <v>93</v>
      </c>
      <c r="F312" s="28" t="n">
        <v>46</v>
      </c>
      <c r="G312" s="28"/>
      <c r="H312" s="26" t="s">
        <v>101</v>
      </c>
      <c r="I312" s="26"/>
      <c r="J312" s="26"/>
      <c r="K312" s="29" t="str">
        <f aca="false">IF($A312="","",IF(COUNTIFS(tblMoveTypes[Movement],$E312)=0,"Unknown movement type",IF(COUNTIF(tblShipment[Shipment ID],$C312)=0,"Unknown shipment",IF(COUNTIFS(tblShipment[Shipment ID],$C312,tblShipment[Market],$B312)=0,"Market does not match shipment",IF(AND(IFERROR(INDEX(tblMoveTypes[Item?],MATCH($E312,tblMoveTypes[Movement],0)),"?")="Yes",$D312=""),"Item needed",IF(AND(IFERROR(INDEX(tblMoveTypes[Item?],MATCH($E312,tblMoveTypes[Movement],0)),"?")="No",$D312&lt;&gt;""),"Leave Item blank",IF(AND(IFERROR(INDEX(tblMoveTypes[Courier?],MATCH($E312,tblMoveTypes[Movement],0)),"?")="Yes",$H312=""),"Courier needed",IF(AND(IFERROR(INDEX(tblMoveTypes[Courier?],MATCH($E312,tblMoveTypes[Movement],0)),"?")="No",$H312&lt;&gt;""),"Leave Courier blank",IF(AND(IFERROR(INDEX(tblMoveTypes[Orders?],MATCH($E312,tblMoveTypes[Movement],0)),"?")="Yes",$G312=""),"Orders needed",IF(AND(IFERROR(INDEX(tblMoveTypes[Orders?],MATCH($E312,tblMoveTypes[Movement],0)),"?")="No",$G312&lt;&gt;""),"Leave Orders blank",IF(AND(IFERROR(INDEX(tblMoveTypes[Reason?],MATCH($E312,tblMoveTypes[Movement],0)),"?")="Yes",$I312=""),"Reason needed",IF(AND(IFERROR(INDEX(tblMoveTypes[Qty?],MATCH($E312,tblMoveTypes[Movement],0)),"?")="Yes",N($F312)&lt;=0),"Qty needed",IF($A312&lt;_xlfn.MINIFS(tblShipment[Arrival Date],tblShipment[Shipment ID],$C312),"Date before arrival",IF(AND($D312&lt;&gt;"",COUNTIFS(tblShipment[Shipment ID],$C312,tblShipment[Item Code],$D312)=0),"Item not in this shipment",IF(AND($H312&lt;&gt;"",COUNTIFS(tblCouriers[Courier],$H312,tblCouriers[Market],$B312)=0),"Courier not in this market","OK")))))))))))))))</f>
        <v>OK</v>
      </c>
    </row>
    <row r="313" customFormat="false" ht="15" hidden="false" customHeight="false" outlineLevel="0" collapsed="false">
      <c r="A313" s="27" t="n">
        <v>46232</v>
      </c>
      <c r="B313" s="26" t="s">
        <v>90</v>
      </c>
      <c r="C313" s="26" t="s">
        <v>149</v>
      </c>
      <c r="D313" s="26" t="s">
        <v>99</v>
      </c>
      <c r="E313" s="26" t="s">
        <v>93</v>
      </c>
      <c r="F313" s="28" t="n">
        <v>78</v>
      </c>
      <c r="G313" s="28"/>
      <c r="H313" s="26" t="s">
        <v>101</v>
      </c>
      <c r="I313" s="26"/>
      <c r="J313" s="26"/>
      <c r="K313" s="29" t="str">
        <f aca="false">IF($A313="","",IF(COUNTIFS(tblMoveTypes[Movement],$E313)=0,"Unknown movement type",IF(COUNTIF(tblShipment[Shipment ID],$C313)=0,"Unknown shipment",IF(COUNTIFS(tblShipment[Shipment ID],$C313,tblShipment[Market],$B313)=0,"Market does not match shipment",IF(AND(IFERROR(INDEX(tblMoveTypes[Item?],MATCH($E313,tblMoveTypes[Movement],0)),"?")="Yes",$D313=""),"Item needed",IF(AND(IFERROR(INDEX(tblMoveTypes[Item?],MATCH($E313,tblMoveTypes[Movement],0)),"?")="No",$D313&lt;&gt;""),"Leave Item blank",IF(AND(IFERROR(INDEX(tblMoveTypes[Courier?],MATCH($E313,tblMoveTypes[Movement],0)),"?")="Yes",$H313=""),"Courier needed",IF(AND(IFERROR(INDEX(tblMoveTypes[Courier?],MATCH($E313,tblMoveTypes[Movement],0)),"?")="No",$H313&lt;&gt;""),"Leave Courier blank",IF(AND(IFERROR(INDEX(tblMoveTypes[Orders?],MATCH($E313,tblMoveTypes[Movement],0)),"?")="Yes",$G313=""),"Orders needed",IF(AND(IFERROR(INDEX(tblMoveTypes[Orders?],MATCH($E313,tblMoveTypes[Movement],0)),"?")="No",$G313&lt;&gt;""),"Leave Orders blank",IF(AND(IFERROR(INDEX(tblMoveTypes[Reason?],MATCH($E313,tblMoveTypes[Movement],0)),"?")="Yes",$I313=""),"Reason needed",IF(AND(IFERROR(INDEX(tblMoveTypes[Qty?],MATCH($E313,tblMoveTypes[Movement],0)),"?")="Yes",N($F313)&lt;=0),"Qty needed",IF($A313&lt;_xlfn.MINIFS(tblShipment[Arrival Date],tblShipment[Shipment ID],$C313),"Date before arrival",IF(AND($D313&lt;&gt;"",COUNTIFS(tblShipment[Shipment ID],$C313,tblShipment[Item Code],$D313)=0),"Item not in this shipment",IF(AND($H313&lt;&gt;"",COUNTIFS(tblCouriers[Courier],$H313,tblCouriers[Market],$B313)=0),"Courier not in this market","OK")))))))))))))))</f>
        <v>OK</v>
      </c>
    </row>
    <row r="314" customFormat="false" ht="15" hidden="false" customHeight="false" outlineLevel="0" collapsed="false">
      <c r="A314" s="27" t="n">
        <v>46232</v>
      </c>
      <c r="B314" s="26" t="s">
        <v>90</v>
      </c>
      <c r="C314" s="26" t="s">
        <v>149</v>
      </c>
      <c r="D314" s="26" t="s">
        <v>94</v>
      </c>
      <c r="E314" s="26" t="s">
        <v>93</v>
      </c>
      <c r="F314" s="28" t="n">
        <v>58</v>
      </c>
      <c r="G314" s="28"/>
      <c r="H314" s="26" t="s">
        <v>101</v>
      </c>
      <c r="I314" s="26"/>
      <c r="J314" s="26"/>
      <c r="K314" s="29" t="str">
        <f aca="false">IF($A314="","",IF(COUNTIFS(tblMoveTypes[Movement],$E314)=0,"Unknown movement type",IF(COUNTIF(tblShipment[Shipment ID],$C314)=0,"Unknown shipment",IF(COUNTIFS(tblShipment[Shipment ID],$C314,tblShipment[Market],$B314)=0,"Market does not match shipment",IF(AND(IFERROR(INDEX(tblMoveTypes[Item?],MATCH($E314,tblMoveTypes[Movement],0)),"?")="Yes",$D314=""),"Item needed",IF(AND(IFERROR(INDEX(tblMoveTypes[Item?],MATCH($E314,tblMoveTypes[Movement],0)),"?")="No",$D314&lt;&gt;""),"Leave Item blank",IF(AND(IFERROR(INDEX(tblMoveTypes[Courier?],MATCH($E314,tblMoveTypes[Movement],0)),"?")="Yes",$H314=""),"Courier needed",IF(AND(IFERROR(INDEX(tblMoveTypes[Courier?],MATCH($E314,tblMoveTypes[Movement],0)),"?")="No",$H314&lt;&gt;""),"Leave Courier blank",IF(AND(IFERROR(INDEX(tblMoveTypes[Orders?],MATCH($E314,tblMoveTypes[Movement],0)),"?")="Yes",$G314=""),"Orders needed",IF(AND(IFERROR(INDEX(tblMoveTypes[Orders?],MATCH($E314,tblMoveTypes[Movement],0)),"?")="No",$G314&lt;&gt;""),"Leave Orders blank",IF(AND(IFERROR(INDEX(tblMoveTypes[Reason?],MATCH($E314,tblMoveTypes[Movement],0)),"?")="Yes",$I314=""),"Reason needed",IF(AND(IFERROR(INDEX(tblMoveTypes[Qty?],MATCH($E314,tblMoveTypes[Movement],0)),"?")="Yes",N($F314)&lt;=0),"Qty needed",IF($A314&lt;_xlfn.MINIFS(tblShipment[Arrival Date],tblShipment[Shipment ID],$C314),"Date before arrival",IF(AND($D314&lt;&gt;"",COUNTIFS(tblShipment[Shipment ID],$C314,tblShipment[Item Code],$D314)=0),"Item not in this shipment",IF(AND($H314&lt;&gt;"",COUNTIFS(tblCouriers[Courier],$H314,tblCouriers[Market],$B314)=0),"Courier not in this market","OK")))))))))))))))</f>
        <v>OK</v>
      </c>
    </row>
    <row r="315" customFormat="false" ht="15" hidden="false" customHeight="false" outlineLevel="0" collapsed="false">
      <c r="A315" s="27" t="n">
        <v>46232</v>
      </c>
      <c r="B315" s="26" t="s">
        <v>90</v>
      </c>
      <c r="C315" s="26" t="s">
        <v>149</v>
      </c>
      <c r="D315" s="26" t="s">
        <v>76</v>
      </c>
      <c r="E315" s="26" t="s">
        <v>93</v>
      </c>
      <c r="F315" s="28" t="n">
        <v>38</v>
      </c>
      <c r="G315" s="28"/>
      <c r="H315" s="26" t="s">
        <v>101</v>
      </c>
      <c r="I315" s="26"/>
      <c r="J315" s="26"/>
      <c r="K315" s="29" t="str">
        <f aca="false">IF($A315="","",IF(COUNTIFS(tblMoveTypes[Movement],$E315)=0,"Unknown movement type",IF(COUNTIF(tblShipment[Shipment ID],$C315)=0,"Unknown shipment",IF(COUNTIFS(tblShipment[Shipment ID],$C315,tblShipment[Market],$B315)=0,"Market does not match shipment",IF(AND(IFERROR(INDEX(tblMoveTypes[Item?],MATCH($E315,tblMoveTypes[Movement],0)),"?")="Yes",$D315=""),"Item needed",IF(AND(IFERROR(INDEX(tblMoveTypes[Item?],MATCH($E315,tblMoveTypes[Movement],0)),"?")="No",$D315&lt;&gt;""),"Leave Item blank",IF(AND(IFERROR(INDEX(tblMoveTypes[Courier?],MATCH($E315,tblMoveTypes[Movement],0)),"?")="Yes",$H315=""),"Courier needed",IF(AND(IFERROR(INDEX(tblMoveTypes[Courier?],MATCH($E315,tblMoveTypes[Movement],0)),"?")="No",$H315&lt;&gt;""),"Leave Courier blank",IF(AND(IFERROR(INDEX(tblMoveTypes[Orders?],MATCH($E315,tblMoveTypes[Movement],0)),"?")="Yes",$G315=""),"Orders needed",IF(AND(IFERROR(INDEX(tblMoveTypes[Orders?],MATCH($E315,tblMoveTypes[Movement],0)),"?")="No",$G315&lt;&gt;""),"Leave Orders blank",IF(AND(IFERROR(INDEX(tblMoveTypes[Reason?],MATCH($E315,tblMoveTypes[Movement],0)),"?")="Yes",$I315=""),"Reason needed",IF(AND(IFERROR(INDEX(tblMoveTypes[Qty?],MATCH($E315,tblMoveTypes[Movement],0)),"?")="Yes",N($F315)&lt;=0),"Qty needed",IF($A315&lt;_xlfn.MINIFS(tblShipment[Arrival Date],tblShipment[Shipment ID],$C315),"Date before arrival",IF(AND($D315&lt;&gt;"",COUNTIFS(tblShipment[Shipment ID],$C315,tblShipment[Item Code],$D315)=0),"Item not in this shipment",IF(AND($H315&lt;&gt;"",COUNTIFS(tblCouriers[Courier],$H315,tblCouriers[Market],$B315)=0),"Courier not in this market","OK")))))))))))))))</f>
        <v>OK</v>
      </c>
    </row>
    <row r="316" customFormat="false" ht="15" hidden="false" customHeight="false" outlineLevel="0" collapsed="false">
      <c r="A316" s="27" t="n">
        <v>46232</v>
      </c>
      <c r="B316" s="26" t="s">
        <v>90</v>
      </c>
      <c r="C316" s="26" t="s">
        <v>149</v>
      </c>
      <c r="D316" s="26"/>
      <c r="E316" s="26" t="s">
        <v>104</v>
      </c>
      <c r="F316" s="28"/>
      <c r="G316" s="28" t="n">
        <v>33</v>
      </c>
      <c r="H316" s="26" t="s">
        <v>101</v>
      </c>
      <c r="I316" s="26"/>
      <c r="J316" s="26"/>
      <c r="K316" s="29" t="str">
        <f aca="false">IF($A316="","",IF(COUNTIFS(tblMoveTypes[Movement],$E316)=0,"Unknown movement type",IF(COUNTIF(tblShipment[Shipment ID],$C316)=0,"Unknown shipment",IF(COUNTIFS(tblShipment[Shipment ID],$C316,tblShipment[Market],$B316)=0,"Market does not match shipment",IF(AND(IFERROR(INDEX(tblMoveTypes[Item?],MATCH($E316,tblMoveTypes[Movement],0)),"?")="Yes",$D316=""),"Item needed",IF(AND(IFERROR(INDEX(tblMoveTypes[Item?],MATCH($E316,tblMoveTypes[Movement],0)),"?")="No",$D316&lt;&gt;""),"Leave Item blank",IF(AND(IFERROR(INDEX(tblMoveTypes[Courier?],MATCH($E316,tblMoveTypes[Movement],0)),"?")="Yes",$H316=""),"Courier needed",IF(AND(IFERROR(INDEX(tblMoveTypes[Courier?],MATCH($E316,tblMoveTypes[Movement],0)),"?")="No",$H316&lt;&gt;""),"Leave Courier blank",IF(AND(IFERROR(INDEX(tblMoveTypes[Orders?],MATCH($E316,tblMoveTypes[Movement],0)),"?")="Yes",$G316=""),"Orders needed",IF(AND(IFERROR(INDEX(tblMoveTypes[Orders?],MATCH($E316,tblMoveTypes[Movement],0)),"?")="No",$G316&lt;&gt;""),"Leave Orders blank",IF(AND(IFERROR(INDEX(tblMoveTypes[Reason?],MATCH($E316,tblMoveTypes[Movement],0)),"?")="Yes",$I316=""),"Reason needed",IF(AND(IFERROR(INDEX(tblMoveTypes[Qty?],MATCH($E316,tblMoveTypes[Movement],0)),"?")="Yes",N($F316)&lt;=0),"Qty needed",IF($A316&lt;_xlfn.MINIFS(tblShipment[Arrival Date],tblShipment[Shipment ID],$C316),"Date before arrival",IF(AND($D316&lt;&gt;"",COUNTIFS(tblShipment[Shipment ID],$C316,tblShipment[Item Code],$D316)=0),"Item not in this shipment",IF(AND($H316&lt;&gt;"",COUNTIFS(tblCouriers[Courier],$H316,tblCouriers[Market],$B316)=0),"Courier not in this market","OK")))))))))))))))</f>
        <v>OK</v>
      </c>
    </row>
    <row r="317" customFormat="false" ht="15" hidden="false" customHeight="false" outlineLevel="0" collapsed="false">
      <c r="A317" s="27" t="n">
        <v>46232</v>
      </c>
      <c r="B317" s="26" t="s">
        <v>90</v>
      </c>
      <c r="C317" s="26" t="s">
        <v>149</v>
      </c>
      <c r="D317" s="26"/>
      <c r="E317" s="26" t="s">
        <v>106</v>
      </c>
      <c r="F317" s="28" t="n">
        <v>124</v>
      </c>
      <c r="G317" s="28" t="n">
        <v>19</v>
      </c>
      <c r="H317" s="26" t="s">
        <v>101</v>
      </c>
      <c r="I317" s="26"/>
      <c r="J317" s="26"/>
      <c r="K317" s="29" t="str">
        <f aca="false">IF($A317="","",IF(COUNTIFS(tblMoveTypes[Movement],$E317)=0,"Unknown movement type",IF(COUNTIF(tblShipment[Shipment ID],$C317)=0,"Unknown shipment",IF(COUNTIFS(tblShipment[Shipment ID],$C317,tblShipment[Market],$B317)=0,"Market does not match shipment",IF(AND(IFERROR(INDEX(tblMoveTypes[Item?],MATCH($E317,tblMoveTypes[Movement],0)),"?")="Yes",$D317=""),"Item needed",IF(AND(IFERROR(INDEX(tblMoveTypes[Item?],MATCH($E317,tblMoveTypes[Movement],0)),"?")="No",$D317&lt;&gt;""),"Leave Item blank",IF(AND(IFERROR(INDEX(tblMoveTypes[Courier?],MATCH($E317,tblMoveTypes[Movement],0)),"?")="Yes",$H317=""),"Courier needed",IF(AND(IFERROR(INDEX(tblMoveTypes[Courier?],MATCH($E317,tblMoveTypes[Movement],0)),"?")="No",$H317&lt;&gt;""),"Leave Courier blank",IF(AND(IFERROR(INDEX(tblMoveTypes[Orders?],MATCH($E317,tblMoveTypes[Movement],0)),"?")="Yes",$G317=""),"Orders needed",IF(AND(IFERROR(INDEX(tblMoveTypes[Orders?],MATCH($E317,tblMoveTypes[Movement],0)),"?")="No",$G317&lt;&gt;""),"Leave Orders blank",IF(AND(IFERROR(INDEX(tblMoveTypes[Reason?],MATCH($E317,tblMoveTypes[Movement],0)),"?")="Yes",$I317=""),"Reason needed",IF(AND(IFERROR(INDEX(tblMoveTypes[Qty?],MATCH($E317,tblMoveTypes[Movement],0)),"?")="Yes",N($F317)&lt;=0),"Qty needed",IF($A317&lt;_xlfn.MINIFS(tblShipment[Arrival Date],tblShipment[Shipment ID],$C317),"Date before arrival",IF(AND($D317&lt;&gt;"",COUNTIFS(tblShipment[Shipment ID],$C317,tblShipment[Item Code],$D317)=0),"Item not in this shipment",IF(AND($H317&lt;&gt;"",COUNTIFS(tblCouriers[Courier],$H317,tblCouriers[Market],$B317)=0),"Courier not in this market","OK")))))))))))))))</f>
        <v>OK</v>
      </c>
    </row>
    <row r="318" customFormat="false" ht="15" hidden="false" customHeight="false" outlineLevel="0" collapsed="false">
      <c r="A318" s="27" t="n">
        <v>46232</v>
      </c>
      <c r="B318" s="26" t="s">
        <v>78</v>
      </c>
      <c r="C318" s="26" t="s">
        <v>133</v>
      </c>
      <c r="D318" s="26"/>
      <c r="E318" s="26" t="s">
        <v>106</v>
      </c>
      <c r="F318" s="28" t="n">
        <v>81</v>
      </c>
      <c r="G318" s="28" t="n">
        <v>13</v>
      </c>
      <c r="H318" s="26" t="s">
        <v>79</v>
      </c>
      <c r="I318" s="26"/>
      <c r="J318" s="26"/>
      <c r="K318" s="29" t="str">
        <f aca="false">IF($A318="","",IF(COUNTIFS(tblMoveTypes[Movement],$E318)=0,"Unknown movement type",IF(COUNTIF(tblShipment[Shipment ID],$C318)=0,"Unknown shipment",IF(COUNTIFS(tblShipment[Shipment ID],$C318,tblShipment[Market],$B318)=0,"Market does not match shipment",IF(AND(IFERROR(INDEX(tblMoveTypes[Item?],MATCH($E318,tblMoveTypes[Movement],0)),"?")="Yes",$D318=""),"Item needed",IF(AND(IFERROR(INDEX(tblMoveTypes[Item?],MATCH($E318,tblMoveTypes[Movement],0)),"?")="No",$D318&lt;&gt;""),"Leave Item blank",IF(AND(IFERROR(INDEX(tblMoveTypes[Courier?],MATCH($E318,tblMoveTypes[Movement],0)),"?")="Yes",$H318=""),"Courier needed",IF(AND(IFERROR(INDEX(tblMoveTypes[Courier?],MATCH($E318,tblMoveTypes[Movement],0)),"?")="No",$H318&lt;&gt;""),"Leave Courier blank",IF(AND(IFERROR(INDEX(tblMoveTypes[Orders?],MATCH($E318,tblMoveTypes[Movement],0)),"?")="Yes",$G318=""),"Orders needed",IF(AND(IFERROR(INDEX(tblMoveTypes[Orders?],MATCH($E318,tblMoveTypes[Movement],0)),"?")="No",$G318&lt;&gt;""),"Leave Orders blank",IF(AND(IFERROR(INDEX(tblMoveTypes[Reason?],MATCH($E318,tblMoveTypes[Movement],0)),"?")="Yes",$I318=""),"Reason needed",IF(AND(IFERROR(INDEX(tblMoveTypes[Qty?],MATCH($E318,tblMoveTypes[Movement],0)),"?")="Yes",N($F318)&lt;=0),"Qty needed",IF($A318&lt;_xlfn.MINIFS(tblShipment[Arrival Date],tblShipment[Shipment ID],$C318),"Date before arrival",IF(AND($D318&lt;&gt;"",COUNTIFS(tblShipment[Shipment ID],$C318,tblShipment[Item Code],$D318)=0),"Item not in this shipment",IF(AND($H318&lt;&gt;"",COUNTIFS(tblCouriers[Courier],$H318,tblCouriers[Market],$B318)=0),"Courier not in this market","OK")))))))))))))))</f>
        <v>OK</v>
      </c>
    </row>
    <row r="319" customFormat="false" ht="15" hidden="false" customHeight="false" outlineLevel="0" collapsed="false">
      <c r="A319" s="27" t="n">
        <v>46232</v>
      </c>
      <c r="B319" s="26" t="s">
        <v>78</v>
      </c>
      <c r="C319" s="26" t="s">
        <v>133</v>
      </c>
      <c r="D319" s="26"/>
      <c r="E319" s="26" t="s">
        <v>108</v>
      </c>
      <c r="F319" s="28" t="n">
        <v>7</v>
      </c>
      <c r="G319" s="28" t="n">
        <v>1</v>
      </c>
      <c r="H319" s="26" t="s">
        <v>79</v>
      </c>
      <c r="I319" s="26" t="s">
        <v>105</v>
      </c>
      <c r="J319" s="26"/>
      <c r="K319" s="29" t="str">
        <f aca="false">IF($A319="","",IF(COUNTIFS(tblMoveTypes[Movement],$E319)=0,"Unknown movement type",IF(COUNTIF(tblShipment[Shipment ID],$C319)=0,"Unknown shipment",IF(COUNTIFS(tblShipment[Shipment ID],$C319,tblShipment[Market],$B319)=0,"Market does not match shipment",IF(AND(IFERROR(INDEX(tblMoveTypes[Item?],MATCH($E319,tblMoveTypes[Movement],0)),"?")="Yes",$D319=""),"Item needed",IF(AND(IFERROR(INDEX(tblMoveTypes[Item?],MATCH($E319,tblMoveTypes[Movement],0)),"?")="No",$D319&lt;&gt;""),"Leave Item blank",IF(AND(IFERROR(INDEX(tblMoveTypes[Courier?],MATCH($E319,tblMoveTypes[Movement],0)),"?")="Yes",$H319=""),"Courier needed",IF(AND(IFERROR(INDEX(tblMoveTypes[Courier?],MATCH($E319,tblMoveTypes[Movement],0)),"?")="No",$H319&lt;&gt;""),"Leave Courier blank",IF(AND(IFERROR(INDEX(tblMoveTypes[Orders?],MATCH($E319,tblMoveTypes[Movement],0)),"?")="Yes",$G319=""),"Orders needed",IF(AND(IFERROR(INDEX(tblMoveTypes[Orders?],MATCH($E319,tblMoveTypes[Movement],0)),"?")="No",$G319&lt;&gt;""),"Leave Orders blank",IF(AND(IFERROR(INDEX(tblMoveTypes[Reason?],MATCH($E319,tblMoveTypes[Movement],0)),"?")="Yes",$I319=""),"Reason needed",IF(AND(IFERROR(INDEX(tblMoveTypes[Qty?],MATCH($E319,tblMoveTypes[Movement],0)),"?")="Yes",N($F319)&lt;=0),"Qty needed",IF($A319&lt;_xlfn.MINIFS(tblShipment[Arrival Date],tblShipment[Shipment ID],$C319),"Date before arrival",IF(AND($D319&lt;&gt;"",COUNTIFS(tblShipment[Shipment ID],$C319,tblShipment[Item Code],$D319)=0),"Item not in this shipment",IF(AND($H319&lt;&gt;"",COUNTIFS(tblCouriers[Courier],$H319,tblCouriers[Market],$B319)=0),"Courier not in this market","OK")))))))))))))))</f>
        <v>OK</v>
      </c>
    </row>
    <row r="320" customFormat="false" ht="15" hidden="false" customHeight="false" outlineLevel="0" collapsed="false">
      <c r="A320" s="27" t="n">
        <v>46232</v>
      </c>
      <c r="B320" s="26" t="s">
        <v>78</v>
      </c>
      <c r="C320" s="26" t="s">
        <v>133</v>
      </c>
      <c r="D320" s="26" t="s">
        <v>99</v>
      </c>
      <c r="E320" s="26" t="s">
        <v>110</v>
      </c>
      <c r="F320" s="28" t="n">
        <v>5</v>
      </c>
      <c r="G320" s="28"/>
      <c r="H320" s="26"/>
      <c r="I320" s="26"/>
      <c r="J320" s="26"/>
      <c r="K320" s="29" t="str">
        <f aca="false">IF($A320="","",IF(COUNTIFS(tblMoveTypes[Movement],$E320)=0,"Unknown movement type",IF(COUNTIF(tblShipment[Shipment ID],$C320)=0,"Unknown shipment",IF(COUNTIFS(tblShipment[Shipment ID],$C320,tblShipment[Market],$B320)=0,"Market does not match shipment",IF(AND(IFERROR(INDEX(tblMoveTypes[Item?],MATCH($E320,tblMoveTypes[Movement],0)),"?")="Yes",$D320=""),"Item needed",IF(AND(IFERROR(INDEX(tblMoveTypes[Item?],MATCH($E320,tblMoveTypes[Movement],0)),"?")="No",$D320&lt;&gt;""),"Leave Item blank",IF(AND(IFERROR(INDEX(tblMoveTypes[Courier?],MATCH($E320,tblMoveTypes[Movement],0)),"?")="Yes",$H320=""),"Courier needed",IF(AND(IFERROR(INDEX(tblMoveTypes[Courier?],MATCH($E320,tblMoveTypes[Movement],0)),"?")="No",$H320&lt;&gt;""),"Leave Courier blank",IF(AND(IFERROR(INDEX(tblMoveTypes[Orders?],MATCH($E320,tblMoveTypes[Movement],0)),"?")="Yes",$G320=""),"Orders needed",IF(AND(IFERROR(INDEX(tblMoveTypes[Orders?],MATCH($E320,tblMoveTypes[Movement],0)),"?")="No",$G320&lt;&gt;""),"Leave Orders blank",IF(AND(IFERROR(INDEX(tblMoveTypes[Reason?],MATCH($E320,tblMoveTypes[Movement],0)),"?")="Yes",$I320=""),"Reason needed",IF(AND(IFERROR(INDEX(tblMoveTypes[Qty?],MATCH($E320,tblMoveTypes[Movement],0)),"?")="Yes",N($F320)&lt;=0),"Qty needed",IF($A320&lt;_xlfn.MINIFS(tblShipment[Arrival Date],tblShipment[Shipment ID],$C320),"Date before arrival",IF(AND($D320&lt;&gt;"",COUNTIFS(tblShipment[Shipment ID],$C320,tblShipment[Item Code],$D320)=0),"Item not in this shipment",IF(AND($H320&lt;&gt;"",COUNTIFS(tblCouriers[Courier],$H320,tblCouriers[Market],$B320)=0),"Courier not in this market","OK")))))))))))))))</f>
        <v>OK</v>
      </c>
    </row>
    <row r="321" customFormat="false" ht="15" hidden="false" customHeight="false" outlineLevel="0" collapsed="false">
      <c r="A321" s="27" t="n">
        <v>46232</v>
      </c>
      <c r="B321" s="26" t="s">
        <v>78</v>
      </c>
      <c r="C321" s="26" t="s">
        <v>133</v>
      </c>
      <c r="D321" s="26" t="s">
        <v>99</v>
      </c>
      <c r="E321" s="26" t="s">
        <v>112</v>
      </c>
      <c r="F321" s="28" t="n">
        <v>2</v>
      </c>
      <c r="G321" s="28"/>
      <c r="H321" s="26"/>
      <c r="I321" s="26" t="s">
        <v>80</v>
      </c>
      <c r="J321" s="26"/>
      <c r="K321" s="29" t="str">
        <f aca="false">IF($A321="","",IF(COUNTIFS(tblMoveTypes[Movement],$E321)=0,"Unknown movement type",IF(COUNTIF(tblShipment[Shipment ID],$C321)=0,"Unknown shipment",IF(COUNTIFS(tblShipment[Shipment ID],$C321,tblShipment[Market],$B321)=0,"Market does not match shipment",IF(AND(IFERROR(INDEX(tblMoveTypes[Item?],MATCH($E321,tblMoveTypes[Movement],0)),"?")="Yes",$D321=""),"Item needed",IF(AND(IFERROR(INDEX(tblMoveTypes[Item?],MATCH($E321,tblMoveTypes[Movement],0)),"?")="No",$D321&lt;&gt;""),"Leave Item blank",IF(AND(IFERROR(INDEX(tblMoveTypes[Courier?],MATCH($E321,tblMoveTypes[Movement],0)),"?")="Yes",$H321=""),"Courier needed",IF(AND(IFERROR(INDEX(tblMoveTypes[Courier?],MATCH($E321,tblMoveTypes[Movement],0)),"?")="No",$H321&lt;&gt;""),"Leave Courier blank",IF(AND(IFERROR(INDEX(tblMoveTypes[Orders?],MATCH($E321,tblMoveTypes[Movement],0)),"?")="Yes",$G321=""),"Orders needed",IF(AND(IFERROR(INDEX(tblMoveTypes[Orders?],MATCH($E321,tblMoveTypes[Movement],0)),"?")="No",$G321&lt;&gt;""),"Leave Orders blank",IF(AND(IFERROR(INDEX(tblMoveTypes[Reason?],MATCH($E321,tblMoveTypes[Movement],0)),"?")="Yes",$I321=""),"Reason needed",IF(AND(IFERROR(INDEX(tblMoveTypes[Qty?],MATCH($E321,tblMoveTypes[Movement],0)),"?")="Yes",N($F321)&lt;=0),"Qty needed",IF($A321&lt;_xlfn.MINIFS(tblShipment[Arrival Date],tblShipment[Shipment ID],$C321),"Date before arrival",IF(AND($D321&lt;&gt;"",COUNTIFS(tblShipment[Shipment ID],$C321,tblShipment[Item Code],$D321)=0),"Item not in this shipment",IF(AND($H321&lt;&gt;"",COUNTIFS(tblCouriers[Courier],$H321,tblCouriers[Market],$B321)=0),"Courier not in this market","OK")))))))))))))))</f>
        <v>OK</v>
      </c>
    </row>
    <row r="322" customFormat="false" ht="15" hidden="false" customHeight="false" outlineLevel="0" collapsed="false">
      <c r="A322" s="27" t="n">
        <v>46232</v>
      </c>
      <c r="B322" s="26" t="s">
        <v>78</v>
      </c>
      <c r="C322" s="26" t="s">
        <v>133</v>
      </c>
      <c r="D322" s="26"/>
      <c r="E322" s="26" t="s">
        <v>106</v>
      </c>
      <c r="F322" s="28" t="n">
        <v>29</v>
      </c>
      <c r="G322" s="28" t="n">
        <v>4</v>
      </c>
      <c r="H322" s="26" t="s">
        <v>86</v>
      </c>
      <c r="I322" s="26"/>
      <c r="J322" s="26"/>
      <c r="K322" s="29" t="str">
        <f aca="false">IF($A322="","",IF(COUNTIFS(tblMoveTypes[Movement],$E322)=0,"Unknown movement type",IF(COUNTIF(tblShipment[Shipment ID],$C322)=0,"Unknown shipment",IF(COUNTIFS(tblShipment[Shipment ID],$C322,tblShipment[Market],$B322)=0,"Market does not match shipment",IF(AND(IFERROR(INDEX(tblMoveTypes[Item?],MATCH($E322,tblMoveTypes[Movement],0)),"?")="Yes",$D322=""),"Item needed",IF(AND(IFERROR(INDEX(tblMoveTypes[Item?],MATCH($E322,tblMoveTypes[Movement],0)),"?")="No",$D322&lt;&gt;""),"Leave Item blank",IF(AND(IFERROR(INDEX(tblMoveTypes[Courier?],MATCH($E322,tblMoveTypes[Movement],0)),"?")="Yes",$H322=""),"Courier needed",IF(AND(IFERROR(INDEX(tblMoveTypes[Courier?],MATCH($E322,tblMoveTypes[Movement],0)),"?")="No",$H322&lt;&gt;""),"Leave Courier blank",IF(AND(IFERROR(INDEX(tblMoveTypes[Orders?],MATCH($E322,tblMoveTypes[Movement],0)),"?")="Yes",$G322=""),"Orders needed",IF(AND(IFERROR(INDEX(tblMoveTypes[Orders?],MATCH($E322,tblMoveTypes[Movement],0)),"?")="No",$G322&lt;&gt;""),"Leave Orders blank",IF(AND(IFERROR(INDEX(tblMoveTypes[Reason?],MATCH($E322,tblMoveTypes[Movement],0)),"?")="Yes",$I322=""),"Reason needed",IF(AND(IFERROR(INDEX(tblMoveTypes[Qty?],MATCH($E322,tblMoveTypes[Movement],0)),"?")="Yes",N($F322)&lt;=0),"Qty needed",IF($A322&lt;_xlfn.MINIFS(tblShipment[Arrival Date],tblShipment[Shipment ID],$C322),"Date before arrival",IF(AND($D322&lt;&gt;"",COUNTIFS(tblShipment[Shipment ID],$C322,tblShipment[Item Code],$D322)=0),"Item not in this shipment",IF(AND($H322&lt;&gt;"",COUNTIFS(tblCouriers[Courier],$H322,tblCouriers[Market],$B322)=0),"Courier not in this market","OK")))))))))))))))</f>
        <v>OK</v>
      </c>
    </row>
    <row r="323" customFormat="false" ht="15" hidden="false" customHeight="false" outlineLevel="0" collapsed="false">
      <c r="A323" s="27" t="n">
        <v>46233</v>
      </c>
      <c r="B323" s="26" t="s">
        <v>70</v>
      </c>
      <c r="C323" s="26" t="s">
        <v>126</v>
      </c>
      <c r="D323" s="26"/>
      <c r="E323" s="26" t="s">
        <v>106</v>
      </c>
      <c r="F323" s="28" t="n">
        <v>74</v>
      </c>
      <c r="G323" s="28" t="n">
        <v>11</v>
      </c>
      <c r="H323" s="26" t="s">
        <v>71</v>
      </c>
      <c r="I323" s="26"/>
      <c r="J323" s="26"/>
      <c r="K323" s="29" t="str">
        <f aca="false">IF($A323="","",IF(COUNTIFS(tblMoveTypes[Movement],$E323)=0,"Unknown movement type",IF(COUNTIF(tblShipment[Shipment ID],$C323)=0,"Unknown shipment",IF(COUNTIFS(tblShipment[Shipment ID],$C323,tblShipment[Market],$B323)=0,"Market does not match shipment",IF(AND(IFERROR(INDEX(tblMoveTypes[Item?],MATCH($E323,tblMoveTypes[Movement],0)),"?")="Yes",$D323=""),"Item needed",IF(AND(IFERROR(INDEX(tblMoveTypes[Item?],MATCH($E323,tblMoveTypes[Movement],0)),"?")="No",$D323&lt;&gt;""),"Leave Item blank",IF(AND(IFERROR(INDEX(tblMoveTypes[Courier?],MATCH($E323,tblMoveTypes[Movement],0)),"?")="Yes",$H323=""),"Courier needed",IF(AND(IFERROR(INDEX(tblMoveTypes[Courier?],MATCH($E323,tblMoveTypes[Movement],0)),"?")="No",$H323&lt;&gt;""),"Leave Courier blank",IF(AND(IFERROR(INDEX(tblMoveTypes[Orders?],MATCH($E323,tblMoveTypes[Movement],0)),"?")="Yes",$G323=""),"Orders needed",IF(AND(IFERROR(INDEX(tblMoveTypes[Orders?],MATCH($E323,tblMoveTypes[Movement],0)),"?")="No",$G323&lt;&gt;""),"Leave Orders blank",IF(AND(IFERROR(INDEX(tblMoveTypes[Reason?],MATCH($E323,tblMoveTypes[Movement],0)),"?")="Yes",$I323=""),"Reason needed",IF(AND(IFERROR(INDEX(tblMoveTypes[Qty?],MATCH($E323,tblMoveTypes[Movement],0)),"?")="Yes",N($F323)&lt;=0),"Qty needed",IF($A323&lt;_xlfn.MINIFS(tblShipment[Arrival Date],tblShipment[Shipment ID],$C323),"Date before arrival",IF(AND($D323&lt;&gt;"",COUNTIFS(tblShipment[Shipment ID],$C323,tblShipment[Item Code],$D323)=0),"Item not in this shipment",IF(AND($H323&lt;&gt;"",COUNTIFS(tblCouriers[Courier],$H323,tblCouriers[Market],$B323)=0),"Courier not in this market","OK")))))))))))))))</f>
        <v>OK</v>
      </c>
    </row>
    <row r="324" customFormat="false" ht="15" hidden="false" customHeight="false" outlineLevel="0" collapsed="false">
      <c r="A324" s="27" t="n">
        <v>46233</v>
      </c>
      <c r="B324" s="26" t="s">
        <v>85</v>
      </c>
      <c r="C324" s="26" t="s">
        <v>141</v>
      </c>
      <c r="D324" s="26"/>
      <c r="E324" s="26" t="s">
        <v>106</v>
      </c>
      <c r="F324" s="28" t="n">
        <v>18</v>
      </c>
      <c r="G324" s="28" t="n">
        <v>3</v>
      </c>
      <c r="H324" s="26" t="s">
        <v>96</v>
      </c>
      <c r="I324" s="26"/>
      <c r="J324" s="26"/>
      <c r="K324" s="29" t="str">
        <f aca="false">IF($A324="","",IF(COUNTIFS(tblMoveTypes[Movement],$E324)=0,"Unknown movement type",IF(COUNTIF(tblShipment[Shipment ID],$C324)=0,"Unknown shipment",IF(COUNTIFS(tblShipment[Shipment ID],$C324,tblShipment[Market],$B324)=0,"Market does not match shipment",IF(AND(IFERROR(INDEX(tblMoveTypes[Item?],MATCH($E324,tblMoveTypes[Movement],0)),"?")="Yes",$D324=""),"Item needed",IF(AND(IFERROR(INDEX(tblMoveTypes[Item?],MATCH($E324,tblMoveTypes[Movement],0)),"?")="No",$D324&lt;&gt;""),"Leave Item blank",IF(AND(IFERROR(INDEX(tblMoveTypes[Courier?],MATCH($E324,tblMoveTypes[Movement],0)),"?")="Yes",$H324=""),"Courier needed",IF(AND(IFERROR(INDEX(tblMoveTypes[Courier?],MATCH($E324,tblMoveTypes[Movement],0)),"?")="No",$H324&lt;&gt;""),"Leave Courier blank",IF(AND(IFERROR(INDEX(tblMoveTypes[Orders?],MATCH($E324,tblMoveTypes[Movement],0)),"?")="Yes",$G324=""),"Orders needed",IF(AND(IFERROR(INDEX(tblMoveTypes[Orders?],MATCH($E324,tblMoveTypes[Movement],0)),"?")="No",$G324&lt;&gt;""),"Leave Orders blank",IF(AND(IFERROR(INDEX(tblMoveTypes[Reason?],MATCH($E324,tblMoveTypes[Movement],0)),"?")="Yes",$I324=""),"Reason needed",IF(AND(IFERROR(INDEX(tblMoveTypes[Qty?],MATCH($E324,tblMoveTypes[Movement],0)),"?")="Yes",N($F324)&lt;=0),"Qty needed",IF($A324&lt;_xlfn.MINIFS(tblShipment[Arrival Date],tblShipment[Shipment ID],$C324),"Date before arrival",IF(AND($D324&lt;&gt;"",COUNTIFS(tblShipment[Shipment ID],$C324,tblShipment[Item Code],$D324)=0),"Item not in this shipment",IF(AND($H324&lt;&gt;"",COUNTIFS(tblCouriers[Courier],$H324,tblCouriers[Market],$B324)=0),"Courier not in this market","OK")))))))))))))))</f>
        <v>OK</v>
      </c>
    </row>
    <row r="325" customFormat="false" ht="15" hidden="false" customHeight="false" outlineLevel="0" collapsed="false">
      <c r="A325" s="27" t="n">
        <v>46233</v>
      </c>
      <c r="B325" s="26" t="s">
        <v>85</v>
      </c>
      <c r="C325" s="26" t="s">
        <v>141</v>
      </c>
      <c r="D325" s="26"/>
      <c r="E325" s="26" t="s">
        <v>108</v>
      </c>
      <c r="F325" s="28" t="n">
        <v>2</v>
      </c>
      <c r="G325" s="28" t="n">
        <v>1</v>
      </c>
      <c r="H325" s="26" t="s">
        <v>96</v>
      </c>
      <c r="I325" s="26" t="s">
        <v>102</v>
      </c>
      <c r="J325" s="26"/>
      <c r="K325" s="29" t="str">
        <f aca="false">IF($A325="","",IF(COUNTIFS(tblMoveTypes[Movement],$E325)=0,"Unknown movement type",IF(COUNTIF(tblShipment[Shipment ID],$C325)=0,"Unknown shipment",IF(COUNTIFS(tblShipment[Shipment ID],$C325,tblShipment[Market],$B325)=0,"Market does not match shipment",IF(AND(IFERROR(INDEX(tblMoveTypes[Item?],MATCH($E325,tblMoveTypes[Movement],0)),"?")="Yes",$D325=""),"Item needed",IF(AND(IFERROR(INDEX(tblMoveTypes[Item?],MATCH($E325,tblMoveTypes[Movement],0)),"?")="No",$D325&lt;&gt;""),"Leave Item blank",IF(AND(IFERROR(INDEX(tblMoveTypes[Courier?],MATCH($E325,tblMoveTypes[Movement],0)),"?")="Yes",$H325=""),"Courier needed",IF(AND(IFERROR(INDEX(tblMoveTypes[Courier?],MATCH($E325,tblMoveTypes[Movement],0)),"?")="No",$H325&lt;&gt;""),"Leave Courier blank",IF(AND(IFERROR(INDEX(tblMoveTypes[Orders?],MATCH($E325,tblMoveTypes[Movement],0)),"?")="Yes",$G325=""),"Orders needed",IF(AND(IFERROR(INDEX(tblMoveTypes[Orders?],MATCH($E325,tblMoveTypes[Movement],0)),"?")="No",$G325&lt;&gt;""),"Leave Orders blank",IF(AND(IFERROR(INDEX(tblMoveTypes[Reason?],MATCH($E325,tblMoveTypes[Movement],0)),"?")="Yes",$I325=""),"Reason needed",IF(AND(IFERROR(INDEX(tblMoveTypes[Qty?],MATCH($E325,tblMoveTypes[Movement],0)),"?")="Yes",N($F325)&lt;=0),"Qty needed",IF($A325&lt;_xlfn.MINIFS(tblShipment[Arrival Date],tblShipment[Shipment ID],$C325),"Date before arrival",IF(AND($D325&lt;&gt;"",COUNTIFS(tblShipment[Shipment ID],$C325,tblShipment[Item Code],$D325)=0),"Item not in this shipment",IF(AND($H325&lt;&gt;"",COUNTIFS(tblCouriers[Courier],$H325,tblCouriers[Market],$B325)=0),"Courier not in this market","OK")))))))))))))))</f>
        <v>OK</v>
      </c>
    </row>
    <row r="326" customFormat="false" ht="15" hidden="false" customHeight="false" outlineLevel="0" collapsed="false">
      <c r="A326" s="27" t="n">
        <v>46233</v>
      </c>
      <c r="B326" s="26" t="s">
        <v>85</v>
      </c>
      <c r="C326" s="26" t="s">
        <v>141</v>
      </c>
      <c r="D326" s="26" t="s">
        <v>88</v>
      </c>
      <c r="E326" s="26" t="s">
        <v>110</v>
      </c>
      <c r="F326" s="28" t="n">
        <v>1</v>
      </c>
      <c r="G326" s="28"/>
      <c r="H326" s="26"/>
      <c r="I326" s="26"/>
      <c r="J326" s="26"/>
      <c r="K326" s="29" t="str">
        <f aca="false">IF($A326="","",IF(COUNTIFS(tblMoveTypes[Movement],$E326)=0,"Unknown movement type",IF(COUNTIF(tblShipment[Shipment ID],$C326)=0,"Unknown shipment",IF(COUNTIFS(tblShipment[Shipment ID],$C326,tblShipment[Market],$B326)=0,"Market does not match shipment",IF(AND(IFERROR(INDEX(tblMoveTypes[Item?],MATCH($E326,tblMoveTypes[Movement],0)),"?")="Yes",$D326=""),"Item needed",IF(AND(IFERROR(INDEX(tblMoveTypes[Item?],MATCH($E326,tblMoveTypes[Movement],0)),"?")="No",$D326&lt;&gt;""),"Leave Item blank",IF(AND(IFERROR(INDEX(tblMoveTypes[Courier?],MATCH($E326,tblMoveTypes[Movement],0)),"?")="Yes",$H326=""),"Courier needed",IF(AND(IFERROR(INDEX(tblMoveTypes[Courier?],MATCH($E326,tblMoveTypes[Movement],0)),"?")="No",$H326&lt;&gt;""),"Leave Courier blank",IF(AND(IFERROR(INDEX(tblMoveTypes[Orders?],MATCH($E326,tblMoveTypes[Movement],0)),"?")="Yes",$G326=""),"Orders needed",IF(AND(IFERROR(INDEX(tblMoveTypes[Orders?],MATCH($E326,tblMoveTypes[Movement],0)),"?")="No",$G326&lt;&gt;""),"Leave Orders blank",IF(AND(IFERROR(INDEX(tblMoveTypes[Reason?],MATCH($E326,tblMoveTypes[Movement],0)),"?")="Yes",$I326=""),"Reason needed",IF(AND(IFERROR(INDEX(tblMoveTypes[Qty?],MATCH($E326,tblMoveTypes[Movement],0)),"?")="Yes",N($F326)&lt;=0),"Qty needed",IF($A326&lt;_xlfn.MINIFS(tblShipment[Arrival Date],tblShipment[Shipment ID],$C326),"Date before arrival",IF(AND($D326&lt;&gt;"",COUNTIFS(tblShipment[Shipment ID],$C326,tblShipment[Item Code],$D326)=0),"Item not in this shipment",IF(AND($H326&lt;&gt;"",COUNTIFS(tblCouriers[Courier],$H326,tblCouriers[Market],$B326)=0),"Courier not in this market","OK")))))))))))))))</f>
        <v>OK</v>
      </c>
    </row>
    <row r="327" customFormat="false" ht="15" hidden="false" customHeight="false" outlineLevel="0" collapsed="false">
      <c r="A327" s="27" t="n">
        <v>46233</v>
      </c>
      <c r="B327" s="26" t="s">
        <v>85</v>
      </c>
      <c r="C327" s="26" t="s">
        <v>141</v>
      </c>
      <c r="D327" s="26" t="s">
        <v>88</v>
      </c>
      <c r="E327" s="26" t="s">
        <v>112</v>
      </c>
      <c r="F327" s="28" t="n">
        <v>1</v>
      </c>
      <c r="G327" s="28"/>
      <c r="H327" s="26"/>
      <c r="I327" s="26" t="s">
        <v>80</v>
      </c>
      <c r="J327" s="26"/>
      <c r="K327" s="29" t="str">
        <f aca="false">IF($A327="","",IF(COUNTIFS(tblMoveTypes[Movement],$E327)=0,"Unknown movement type",IF(COUNTIF(tblShipment[Shipment ID],$C327)=0,"Unknown shipment",IF(COUNTIFS(tblShipment[Shipment ID],$C327,tblShipment[Market],$B327)=0,"Market does not match shipment",IF(AND(IFERROR(INDEX(tblMoveTypes[Item?],MATCH($E327,tblMoveTypes[Movement],0)),"?")="Yes",$D327=""),"Item needed",IF(AND(IFERROR(INDEX(tblMoveTypes[Item?],MATCH($E327,tblMoveTypes[Movement],0)),"?")="No",$D327&lt;&gt;""),"Leave Item blank",IF(AND(IFERROR(INDEX(tblMoveTypes[Courier?],MATCH($E327,tblMoveTypes[Movement],0)),"?")="Yes",$H327=""),"Courier needed",IF(AND(IFERROR(INDEX(tblMoveTypes[Courier?],MATCH($E327,tblMoveTypes[Movement],0)),"?")="No",$H327&lt;&gt;""),"Leave Courier blank",IF(AND(IFERROR(INDEX(tblMoveTypes[Orders?],MATCH($E327,tblMoveTypes[Movement],0)),"?")="Yes",$G327=""),"Orders needed",IF(AND(IFERROR(INDEX(tblMoveTypes[Orders?],MATCH($E327,tblMoveTypes[Movement],0)),"?")="No",$G327&lt;&gt;""),"Leave Orders blank",IF(AND(IFERROR(INDEX(tblMoveTypes[Reason?],MATCH($E327,tblMoveTypes[Movement],0)),"?")="Yes",$I327=""),"Reason needed",IF(AND(IFERROR(INDEX(tblMoveTypes[Qty?],MATCH($E327,tblMoveTypes[Movement],0)),"?")="Yes",N($F327)&lt;=0),"Qty needed",IF($A327&lt;_xlfn.MINIFS(tblShipment[Arrival Date],tblShipment[Shipment ID],$C327),"Date before arrival",IF(AND($D327&lt;&gt;"",COUNTIFS(tblShipment[Shipment ID],$C327,tblShipment[Item Code],$D327)=0),"Item not in this shipment",IF(AND($H327&lt;&gt;"",COUNTIFS(tblCouriers[Courier],$H327,tblCouriers[Market],$B327)=0),"Courier not in this market","OK")))))))))))))))</f>
        <v>OK</v>
      </c>
    </row>
    <row r="328" customFormat="false" ht="15" hidden="false" customHeight="false" outlineLevel="0" collapsed="false">
      <c r="A328" s="27" t="n">
        <v>46233</v>
      </c>
      <c r="B328" s="26" t="s">
        <v>85</v>
      </c>
      <c r="C328" s="26" t="s">
        <v>141</v>
      </c>
      <c r="D328" s="26" t="s">
        <v>76</v>
      </c>
      <c r="E328" s="26" t="s">
        <v>93</v>
      </c>
      <c r="F328" s="28" t="n">
        <v>3</v>
      </c>
      <c r="G328" s="28"/>
      <c r="H328" s="26" t="s">
        <v>91</v>
      </c>
      <c r="I328" s="26"/>
      <c r="J328" s="26"/>
      <c r="K328" s="29" t="str">
        <f aca="false">IF($A328="","",IF(COUNTIFS(tblMoveTypes[Movement],$E328)=0,"Unknown movement type",IF(COUNTIF(tblShipment[Shipment ID],$C328)=0,"Unknown shipment",IF(COUNTIFS(tblShipment[Shipment ID],$C328,tblShipment[Market],$B328)=0,"Market does not match shipment",IF(AND(IFERROR(INDEX(tblMoveTypes[Item?],MATCH($E328,tblMoveTypes[Movement],0)),"?")="Yes",$D328=""),"Item needed",IF(AND(IFERROR(INDEX(tblMoveTypes[Item?],MATCH($E328,tblMoveTypes[Movement],0)),"?")="No",$D328&lt;&gt;""),"Leave Item blank",IF(AND(IFERROR(INDEX(tblMoveTypes[Courier?],MATCH($E328,tblMoveTypes[Movement],0)),"?")="Yes",$H328=""),"Courier needed",IF(AND(IFERROR(INDEX(tblMoveTypes[Courier?],MATCH($E328,tblMoveTypes[Movement],0)),"?")="No",$H328&lt;&gt;""),"Leave Courier blank",IF(AND(IFERROR(INDEX(tblMoveTypes[Orders?],MATCH($E328,tblMoveTypes[Movement],0)),"?")="Yes",$G328=""),"Orders needed",IF(AND(IFERROR(INDEX(tblMoveTypes[Orders?],MATCH($E328,tblMoveTypes[Movement],0)),"?")="No",$G328&lt;&gt;""),"Leave Orders blank",IF(AND(IFERROR(INDEX(tblMoveTypes[Reason?],MATCH($E328,tblMoveTypes[Movement],0)),"?")="Yes",$I328=""),"Reason needed",IF(AND(IFERROR(INDEX(tblMoveTypes[Qty?],MATCH($E328,tblMoveTypes[Movement],0)),"?")="Yes",N($F328)&lt;=0),"Qty needed",IF($A328&lt;_xlfn.MINIFS(tblShipment[Arrival Date],tblShipment[Shipment ID],$C328),"Date before arrival",IF(AND($D328&lt;&gt;"",COUNTIFS(tblShipment[Shipment ID],$C328,tblShipment[Item Code],$D328)=0),"Item not in this shipment",IF(AND($H328&lt;&gt;"",COUNTIFS(tblCouriers[Courier],$H328,tblCouriers[Market],$B328)=0),"Courier not in this market","OK")))))))))))))))</f>
        <v>OK</v>
      </c>
    </row>
    <row r="329" customFormat="false" ht="15" hidden="false" customHeight="false" outlineLevel="0" collapsed="false">
      <c r="A329" s="27" t="n">
        <v>46233</v>
      </c>
      <c r="B329" s="26" t="s">
        <v>85</v>
      </c>
      <c r="C329" s="26" t="s">
        <v>141</v>
      </c>
      <c r="D329" s="26"/>
      <c r="E329" s="26" t="s">
        <v>104</v>
      </c>
      <c r="F329" s="28"/>
      <c r="G329" s="28" t="n">
        <v>1</v>
      </c>
      <c r="H329" s="26" t="s">
        <v>91</v>
      </c>
      <c r="I329" s="26"/>
      <c r="J329" s="26"/>
      <c r="K329" s="29" t="str">
        <f aca="false">IF($A329="","",IF(COUNTIFS(tblMoveTypes[Movement],$E329)=0,"Unknown movement type",IF(COUNTIF(tblShipment[Shipment ID],$C329)=0,"Unknown shipment",IF(COUNTIFS(tblShipment[Shipment ID],$C329,tblShipment[Market],$B329)=0,"Market does not match shipment",IF(AND(IFERROR(INDEX(tblMoveTypes[Item?],MATCH($E329,tblMoveTypes[Movement],0)),"?")="Yes",$D329=""),"Item needed",IF(AND(IFERROR(INDEX(tblMoveTypes[Item?],MATCH($E329,tblMoveTypes[Movement],0)),"?")="No",$D329&lt;&gt;""),"Leave Item blank",IF(AND(IFERROR(INDEX(tblMoveTypes[Courier?],MATCH($E329,tblMoveTypes[Movement],0)),"?")="Yes",$H329=""),"Courier needed",IF(AND(IFERROR(INDEX(tblMoveTypes[Courier?],MATCH($E329,tblMoveTypes[Movement],0)),"?")="No",$H329&lt;&gt;""),"Leave Courier blank",IF(AND(IFERROR(INDEX(tblMoveTypes[Orders?],MATCH($E329,tblMoveTypes[Movement],0)),"?")="Yes",$G329=""),"Orders needed",IF(AND(IFERROR(INDEX(tblMoveTypes[Orders?],MATCH($E329,tblMoveTypes[Movement],0)),"?")="No",$G329&lt;&gt;""),"Leave Orders blank",IF(AND(IFERROR(INDEX(tblMoveTypes[Reason?],MATCH($E329,tblMoveTypes[Movement],0)),"?")="Yes",$I329=""),"Reason needed",IF(AND(IFERROR(INDEX(tblMoveTypes[Qty?],MATCH($E329,tblMoveTypes[Movement],0)),"?")="Yes",N($F329)&lt;=0),"Qty needed",IF($A329&lt;_xlfn.MINIFS(tblShipment[Arrival Date],tblShipment[Shipment ID],$C329),"Date before arrival",IF(AND($D329&lt;&gt;"",COUNTIFS(tblShipment[Shipment ID],$C329,tblShipment[Item Code],$D329)=0),"Item not in this shipment",IF(AND($H329&lt;&gt;"",COUNTIFS(tblCouriers[Courier],$H329,tblCouriers[Market],$B329)=0),"Courier not in this market","OK")))))))))))))))</f>
        <v>OK</v>
      </c>
    </row>
    <row r="330" customFormat="false" ht="15" hidden="false" customHeight="false" outlineLevel="0" collapsed="false">
      <c r="A330" s="27" t="n">
        <v>46233</v>
      </c>
      <c r="B330" s="26" t="s">
        <v>85</v>
      </c>
      <c r="C330" s="26" t="s">
        <v>142</v>
      </c>
      <c r="D330" s="26" t="s">
        <v>76</v>
      </c>
      <c r="E330" s="26" t="s">
        <v>74</v>
      </c>
      <c r="F330" s="28" t="n">
        <v>100</v>
      </c>
      <c r="G330" s="28"/>
      <c r="H330" s="26"/>
      <c r="I330" s="26"/>
      <c r="J330" s="26"/>
      <c r="K330" s="29" t="str">
        <f aca="false">IF($A330="","",IF(COUNTIFS(tblMoveTypes[Movement],$E330)=0,"Unknown movement type",IF(COUNTIF(tblShipment[Shipment ID],$C330)=0,"Unknown shipment",IF(COUNTIFS(tblShipment[Shipment ID],$C330,tblShipment[Market],$B330)=0,"Market does not match shipment",IF(AND(IFERROR(INDEX(tblMoveTypes[Item?],MATCH($E330,tblMoveTypes[Movement],0)),"?")="Yes",$D330=""),"Item needed",IF(AND(IFERROR(INDEX(tblMoveTypes[Item?],MATCH($E330,tblMoveTypes[Movement],0)),"?")="No",$D330&lt;&gt;""),"Leave Item blank",IF(AND(IFERROR(INDEX(tblMoveTypes[Courier?],MATCH($E330,tblMoveTypes[Movement],0)),"?")="Yes",$H330=""),"Courier needed",IF(AND(IFERROR(INDEX(tblMoveTypes[Courier?],MATCH($E330,tblMoveTypes[Movement],0)),"?")="No",$H330&lt;&gt;""),"Leave Courier blank",IF(AND(IFERROR(INDEX(tblMoveTypes[Orders?],MATCH($E330,tblMoveTypes[Movement],0)),"?")="Yes",$G330=""),"Orders needed",IF(AND(IFERROR(INDEX(tblMoveTypes[Orders?],MATCH($E330,tblMoveTypes[Movement],0)),"?")="No",$G330&lt;&gt;""),"Leave Orders blank",IF(AND(IFERROR(INDEX(tblMoveTypes[Reason?],MATCH($E330,tblMoveTypes[Movement],0)),"?")="Yes",$I330=""),"Reason needed",IF(AND(IFERROR(INDEX(tblMoveTypes[Qty?],MATCH($E330,tblMoveTypes[Movement],0)),"?")="Yes",N($F330)&lt;=0),"Qty needed",IF($A330&lt;_xlfn.MINIFS(tblShipment[Arrival Date],tblShipment[Shipment ID],$C330),"Date before arrival",IF(AND($D330&lt;&gt;"",COUNTIFS(tblShipment[Shipment ID],$C330,tblShipment[Item Code],$D330)=0),"Item not in this shipment",IF(AND($H330&lt;&gt;"",COUNTIFS(tblCouriers[Courier],$H330,tblCouriers[Market],$B330)=0),"Courier not in this market","OK")))))))))))))))</f>
        <v>OK</v>
      </c>
    </row>
    <row r="331" customFormat="false" ht="15" hidden="false" customHeight="false" outlineLevel="0" collapsed="false">
      <c r="A331" s="27" t="n">
        <v>46233</v>
      </c>
      <c r="B331" s="26" t="s">
        <v>85</v>
      </c>
      <c r="C331" s="26" t="s">
        <v>142</v>
      </c>
      <c r="D331" s="26" t="s">
        <v>99</v>
      </c>
      <c r="E331" s="26" t="s">
        <v>74</v>
      </c>
      <c r="F331" s="28" t="n">
        <v>40</v>
      </c>
      <c r="G331" s="28"/>
      <c r="H331" s="26"/>
      <c r="I331" s="26"/>
      <c r="J331" s="26"/>
      <c r="K331" s="29" t="str">
        <f aca="false">IF($A331="","",IF(COUNTIFS(tblMoveTypes[Movement],$E331)=0,"Unknown movement type",IF(COUNTIF(tblShipment[Shipment ID],$C331)=0,"Unknown shipment",IF(COUNTIFS(tblShipment[Shipment ID],$C331,tblShipment[Market],$B331)=0,"Market does not match shipment",IF(AND(IFERROR(INDEX(tblMoveTypes[Item?],MATCH($E331,tblMoveTypes[Movement],0)),"?")="Yes",$D331=""),"Item needed",IF(AND(IFERROR(INDEX(tblMoveTypes[Item?],MATCH($E331,tblMoveTypes[Movement],0)),"?")="No",$D331&lt;&gt;""),"Leave Item blank",IF(AND(IFERROR(INDEX(tblMoveTypes[Courier?],MATCH($E331,tblMoveTypes[Movement],0)),"?")="Yes",$H331=""),"Courier needed",IF(AND(IFERROR(INDEX(tblMoveTypes[Courier?],MATCH($E331,tblMoveTypes[Movement],0)),"?")="No",$H331&lt;&gt;""),"Leave Courier blank",IF(AND(IFERROR(INDEX(tblMoveTypes[Orders?],MATCH($E331,tblMoveTypes[Movement],0)),"?")="Yes",$G331=""),"Orders needed",IF(AND(IFERROR(INDEX(tblMoveTypes[Orders?],MATCH($E331,tblMoveTypes[Movement],0)),"?")="No",$G331&lt;&gt;""),"Leave Orders blank",IF(AND(IFERROR(INDEX(tblMoveTypes[Reason?],MATCH($E331,tblMoveTypes[Movement],0)),"?")="Yes",$I331=""),"Reason needed",IF(AND(IFERROR(INDEX(tblMoveTypes[Qty?],MATCH($E331,tblMoveTypes[Movement],0)),"?")="Yes",N($F331)&lt;=0),"Qty needed",IF($A331&lt;_xlfn.MINIFS(tblShipment[Arrival Date],tblShipment[Shipment ID],$C331),"Date before arrival",IF(AND($D331&lt;&gt;"",COUNTIFS(tblShipment[Shipment ID],$C331,tblShipment[Item Code],$D331)=0),"Item not in this shipment",IF(AND($H331&lt;&gt;"",COUNTIFS(tblCouriers[Courier],$H331,tblCouriers[Market],$B331)=0),"Courier not in this market","OK")))))))))))))))</f>
        <v>OK</v>
      </c>
    </row>
    <row r="332" customFormat="false" ht="15" hidden="false" customHeight="false" outlineLevel="0" collapsed="false">
      <c r="A332" s="27" t="n">
        <v>46233</v>
      </c>
      <c r="B332" s="26" t="s">
        <v>85</v>
      </c>
      <c r="C332" s="26" t="s">
        <v>142</v>
      </c>
      <c r="D332" s="26" t="s">
        <v>67</v>
      </c>
      <c r="E332" s="26" t="s">
        <v>81</v>
      </c>
      <c r="F332" s="28" t="n">
        <v>3</v>
      </c>
      <c r="G332" s="28"/>
      <c r="H332" s="26"/>
      <c r="I332" s="26"/>
      <c r="J332" s="26" t="s">
        <v>162</v>
      </c>
      <c r="K332" s="29" t="str">
        <f aca="false">IF($A332="","",IF(COUNTIFS(tblMoveTypes[Movement],$E332)=0,"Unknown movement type",IF(COUNTIF(tblShipment[Shipment ID],$C332)=0,"Unknown shipment",IF(COUNTIFS(tblShipment[Shipment ID],$C332,tblShipment[Market],$B332)=0,"Market does not match shipment",IF(AND(IFERROR(INDEX(tblMoveTypes[Item?],MATCH($E332,tblMoveTypes[Movement],0)),"?")="Yes",$D332=""),"Item needed",IF(AND(IFERROR(INDEX(tblMoveTypes[Item?],MATCH($E332,tblMoveTypes[Movement],0)),"?")="No",$D332&lt;&gt;""),"Leave Item blank",IF(AND(IFERROR(INDEX(tblMoveTypes[Courier?],MATCH($E332,tblMoveTypes[Movement],0)),"?")="Yes",$H332=""),"Courier needed",IF(AND(IFERROR(INDEX(tblMoveTypes[Courier?],MATCH($E332,tblMoveTypes[Movement],0)),"?")="No",$H332&lt;&gt;""),"Leave Courier blank",IF(AND(IFERROR(INDEX(tblMoveTypes[Orders?],MATCH($E332,tblMoveTypes[Movement],0)),"?")="Yes",$G332=""),"Orders needed",IF(AND(IFERROR(INDEX(tblMoveTypes[Orders?],MATCH($E332,tblMoveTypes[Movement],0)),"?")="No",$G332&lt;&gt;""),"Leave Orders blank",IF(AND(IFERROR(INDEX(tblMoveTypes[Reason?],MATCH($E332,tblMoveTypes[Movement],0)),"?")="Yes",$I332=""),"Reason needed",IF(AND(IFERROR(INDEX(tblMoveTypes[Qty?],MATCH($E332,tblMoveTypes[Movement],0)),"?")="Yes",N($F332)&lt;=0),"Qty needed",IF($A332&lt;_xlfn.MINIFS(tblShipment[Arrival Date],tblShipment[Shipment ID],$C332),"Date before arrival",IF(AND($D332&lt;&gt;"",COUNTIFS(tblShipment[Shipment ID],$C332,tblShipment[Item Code],$D332)=0),"Item not in this shipment",IF(AND($H332&lt;&gt;"",COUNTIFS(tblCouriers[Courier],$H332,tblCouriers[Market],$B332)=0),"Courier not in this market","OK")))))))))))))))</f>
        <v>OK</v>
      </c>
    </row>
    <row r="333" customFormat="false" ht="15" hidden="false" customHeight="false" outlineLevel="0" collapsed="false">
      <c r="A333" s="27" t="n">
        <v>46233</v>
      </c>
      <c r="B333" s="26" t="s">
        <v>85</v>
      </c>
      <c r="C333" s="26" t="s">
        <v>142</v>
      </c>
      <c r="D333" s="26" t="s">
        <v>67</v>
      </c>
      <c r="E333" s="26" t="s">
        <v>74</v>
      </c>
      <c r="F333" s="28" t="n">
        <v>57</v>
      </c>
      <c r="G333" s="28"/>
      <c r="H333" s="26"/>
      <c r="I333" s="26"/>
      <c r="J333" s="26"/>
      <c r="K333" s="29" t="str">
        <f aca="false">IF($A333="","",IF(COUNTIFS(tblMoveTypes[Movement],$E333)=0,"Unknown movement type",IF(COUNTIF(tblShipment[Shipment ID],$C333)=0,"Unknown shipment",IF(COUNTIFS(tblShipment[Shipment ID],$C333,tblShipment[Market],$B333)=0,"Market does not match shipment",IF(AND(IFERROR(INDEX(tblMoveTypes[Item?],MATCH($E333,tblMoveTypes[Movement],0)),"?")="Yes",$D333=""),"Item needed",IF(AND(IFERROR(INDEX(tblMoveTypes[Item?],MATCH($E333,tblMoveTypes[Movement],0)),"?")="No",$D333&lt;&gt;""),"Leave Item blank",IF(AND(IFERROR(INDEX(tblMoveTypes[Courier?],MATCH($E333,tblMoveTypes[Movement],0)),"?")="Yes",$H333=""),"Courier needed",IF(AND(IFERROR(INDEX(tblMoveTypes[Courier?],MATCH($E333,tblMoveTypes[Movement],0)),"?")="No",$H333&lt;&gt;""),"Leave Courier blank",IF(AND(IFERROR(INDEX(tblMoveTypes[Orders?],MATCH($E333,tblMoveTypes[Movement],0)),"?")="Yes",$G333=""),"Orders needed",IF(AND(IFERROR(INDEX(tblMoveTypes[Orders?],MATCH($E333,tblMoveTypes[Movement],0)),"?")="No",$G333&lt;&gt;""),"Leave Orders blank",IF(AND(IFERROR(INDEX(tblMoveTypes[Reason?],MATCH($E333,tblMoveTypes[Movement],0)),"?")="Yes",$I333=""),"Reason needed",IF(AND(IFERROR(INDEX(tblMoveTypes[Qty?],MATCH($E333,tblMoveTypes[Movement],0)),"?")="Yes",N($F333)&lt;=0),"Qty needed",IF($A333&lt;_xlfn.MINIFS(tblShipment[Arrival Date],tblShipment[Shipment ID],$C333),"Date before arrival",IF(AND($D333&lt;&gt;"",COUNTIFS(tblShipment[Shipment ID],$C333,tblShipment[Item Code],$D333)=0),"Item not in this shipment",IF(AND($H333&lt;&gt;"",COUNTIFS(tblCouriers[Courier],$H333,tblCouriers[Market],$B333)=0),"Courier not in this market","OK")))))))))))))))</f>
        <v>OK</v>
      </c>
    </row>
    <row r="334" customFormat="false" ht="15" hidden="false" customHeight="false" outlineLevel="0" collapsed="false">
      <c r="A334" s="27" t="n">
        <v>46233</v>
      </c>
      <c r="B334" s="26" t="s">
        <v>85</v>
      </c>
      <c r="C334" s="26" t="s">
        <v>142</v>
      </c>
      <c r="D334" s="26" t="s">
        <v>88</v>
      </c>
      <c r="E334" s="26" t="s">
        <v>81</v>
      </c>
      <c r="F334" s="28" t="n">
        <v>2</v>
      </c>
      <c r="G334" s="28"/>
      <c r="H334" s="26"/>
      <c r="I334" s="26"/>
      <c r="J334" s="26" t="s">
        <v>162</v>
      </c>
      <c r="K334" s="29" t="str">
        <f aca="false">IF($A334="","",IF(COUNTIFS(tblMoveTypes[Movement],$E334)=0,"Unknown movement type",IF(COUNTIF(tblShipment[Shipment ID],$C334)=0,"Unknown shipment",IF(COUNTIFS(tblShipment[Shipment ID],$C334,tblShipment[Market],$B334)=0,"Market does not match shipment",IF(AND(IFERROR(INDEX(tblMoveTypes[Item?],MATCH($E334,tblMoveTypes[Movement],0)),"?")="Yes",$D334=""),"Item needed",IF(AND(IFERROR(INDEX(tblMoveTypes[Item?],MATCH($E334,tblMoveTypes[Movement],0)),"?")="No",$D334&lt;&gt;""),"Leave Item blank",IF(AND(IFERROR(INDEX(tblMoveTypes[Courier?],MATCH($E334,tblMoveTypes[Movement],0)),"?")="Yes",$H334=""),"Courier needed",IF(AND(IFERROR(INDEX(tblMoveTypes[Courier?],MATCH($E334,tblMoveTypes[Movement],0)),"?")="No",$H334&lt;&gt;""),"Leave Courier blank",IF(AND(IFERROR(INDEX(tblMoveTypes[Orders?],MATCH($E334,tblMoveTypes[Movement],0)),"?")="Yes",$G334=""),"Orders needed",IF(AND(IFERROR(INDEX(tblMoveTypes[Orders?],MATCH($E334,tblMoveTypes[Movement],0)),"?")="No",$G334&lt;&gt;""),"Leave Orders blank",IF(AND(IFERROR(INDEX(tblMoveTypes[Reason?],MATCH($E334,tblMoveTypes[Movement],0)),"?")="Yes",$I334=""),"Reason needed",IF(AND(IFERROR(INDEX(tblMoveTypes[Qty?],MATCH($E334,tblMoveTypes[Movement],0)),"?")="Yes",N($F334)&lt;=0),"Qty needed",IF($A334&lt;_xlfn.MINIFS(tblShipment[Arrival Date],tblShipment[Shipment ID],$C334),"Date before arrival",IF(AND($D334&lt;&gt;"",COUNTIFS(tblShipment[Shipment ID],$C334,tblShipment[Item Code],$D334)=0),"Item not in this shipment",IF(AND($H334&lt;&gt;"",COUNTIFS(tblCouriers[Courier],$H334,tblCouriers[Market],$B334)=0),"Courier not in this market","OK")))))))))))))))</f>
        <v>OK</v>
      </c>
    </row>
    <row r="335" customFormat="false" ht="15" hidden="false" customHeight="false" outlineLevel="0" collapsed="false">
      <c r="A335" s="27" t="n">
        <v>46233</v>
      </c>
      <c r="B335" s="26" t="s">
        <v>85</v>
      </c>
      <c r="C335" s="26" t="s">
        <v>142</v>
      </c>
      <c r="D335" s="26" t="s">
        <v>88</v>
      </c>
      <c r="E335" s="26" t="s">
        <v>74</v>
      </c>
      <c r="F335" s="28" t="n">
        <v>48</v>
      </c>
      <c r="G335" s="28"/>
      <c r="H335" s="26"/>
      <c r="I335" s="26"/>
      <c r="J335" s="26"/>
      <c r="K335" s="29" t="str">
        <f aca="false">IF($A335="","",IF(COUNTIFS(tblMoveTypes[Movement],$E335)=0,"Unknown movement type",IF(COUNTIF(tblShipment[Shipment ID],$C335)=0,"Unknown shipment",IF(COUNTIFS(tblShipment[Shipment ID],$C335,tblShipment[Market],$B335)=0,"Market does not match shipment",IF(AND(IFERROR(INDEX(tblMoveTypes[Item?],MATCH($E335,tblMoveTypes[Movement],0)),"?")="Yes",$D335=""),"Item needed",IF(AND(IFERROR(INDEX(tblMoveTypes[Item?],MATCH($E335,tblMoveTypes[Movement],0)),"?")="No",$D335&lt;&gt;""),"Leave Item blank",IF(AND(IFERROR(INDEX(tblMoveTypes[Courier?],MATCH($E335,tblMoveTypes[Movement],0)),"?")="Yes",$H335=""),"Courier needed",IF(AND(IFERROR(INDEX(tblMoveTypes[Courier?],MATCH($E335,tblMoveTypes[Movement],0)),"?")="No",$H335&lt;&gt;""),"Leave Courier blank",IF(AND(IFERROR(INDEX(tblMoveTypes[Orders?],MATCH($E335,tblMoveTypes[Movement],0)),"?")="Yes",$G335=""),"Orders needed",IF(AND(IFERROR(INDEX(tblMoveTypes[Orders?],MATCH($E335,tblMoveTypes[Movement],0)),"?")="No",$G335&lt;&gt;""),"Leave Orders blank",IF(AND(IFERROR(INDEX(tblMoveTypes[Reason?],MATCH($E335,tblMoveTypes[Movement],0)),"?")="Yes",$I335=""),"Reason needed",IF(AND(IFERROR(INDEX(tblMoveTypes[Qty?],MATCH($E335,tblMoveTypes[Movement],0)),"?")="Yes",N($F335)&lt;=0),"Qty needed",IF($A335&lt;_xlfn.MINIFS(tblShipment[Arrival Date],tblShipment[Shipment ID],$C335),"Date before arrival",IF(AND($D335&lt;&gt;"",COUNTIFS(tblShipment[Shipment ID],$C335,tblShipment[Item Code],$D335)=0),"Item not in this shipment",IF(AND($H335&lt;&gt;"",COUNTIFS(tblCouriers[Courier],$H335,tblCouriers[Market],$B335)=0),"Courier not in this market","OK")))))))))))))))</f>
        <v>OK</v>
      </c>
    </row>
    <row r="336" customFormat="false" ht="15" hidden="false" customHeight="false" outlineLevel="0" collapsed="false">
      <c r="A336" s="27" t="n">
        <v>46233</v>
      </c>
      <c r="B336" s="26" t="s">
        <v>85</v>
      </c>
      <c r="C336" s="26" t="s">
        <v>142</v>
      </c>
      <c r="D336" s="26" t="s">
        <v>94</v>
      </c>
      <c r="E336" s="26" t="s">
        <v>74</v>
      </c>
      <c r="F336" s="28" t="n">
        <v>60</v>
      </c>
      <c r="G336" s="28"/>
      <c r="H336" s="26"/>
      <c r="I336" s="26"/>
      <c r="J336" s="26"/>
      <c r="K336" s="29" t="str">
        <f aca="false">IF($A336="","",IF(COUNTIFS(tblMoveTypes[Movement],$E336)=0,"Unknown movement type",IF(COUNTIF(tblShipment[Shipment ID],$C336)=0,"Unknown shipment",IF(COUNTIFS(tblShipment[Shipment ID],$C336,tblShipment[Market],$B336)=0,"Market does not match shipment",IF(AND(IFERROR(INDEX(tblMoveTypes[Item?],MATCH($E336,tblMoveTypes[Movement],0)),"?")="Yes",$D336=""),"Item needed",IF(AND(IFERROR(INDEX(tblMoveTypes[Item?],MATCH($E336,tblMoveTypes[Movement],0)),"?")="No",$D336&lt;&gt;""),"Leave Item blank",IF(AND(IFERROR(INDEX(tblMoveTypes[Courier?],MATCH($E336,tblMoveTypes[Movement],0)),"?")="Yes",$H336=""),"Courier needed",IF(AND(IFERROR(INDEX(tblMoveTypes[Courier?],MATCH($E336,tblMoveTypes[Movement],0)),"?")="No",$H336&lt;&gt;""),"Leave Courier blank",IF(AND(IFERROR(INDEX(tblMoveTypes[Orders?],MATCH($E336,tblMoveTypes[Movement],0)),"?")="Yes",$G336=""),"Orders needed",IF(AND(IFERROR(INDEX(tblMoveTypes[Orders?],MATCH($E336,tblMoveTypes[Movement],0)),"?")="No",$G336&lt;&gt;""),"Leave Orders blank",IF(AND(IFERROR(INDEX(tblMoveTypes[Reason?],MATCH($E336,tblMoveTypes[Movement],0)),"?")="Yes",$I336=""),"Reason needed",IF(AND(IFERROR(INDEX(tblMoveTypes[Qty?],MATCH($E336,tblMoveTypes[Movement],0)),"?")="Yes",N($F336)&lt;=0),"Qty needed",IF($A336&lt;_xlfn.MINIFS(tblShipment[Arrival Date],tblShipment[Shipment ID],$C336),"Date before arrival",IF(AND($D336&lt;&gt;"",COUNTIFS(tblShipment[Shipment ID],$C336,tblShipment[Item Code],$D336)=0),"Item not in this shipment",IF(AND($H336&lt;&gt;"",COUNTIFS(tblCouriers[Courier],$H336,tblCouriers[Market],$B336)=0),"Courier not in this market","OK")))))))))))))))</f>
        <v>OK</v>
      </c>
    </row>
    <row r="337" customFormat="false" ht="15" hidden="false" customHeight="false" outlineLevel="0" collapsed="false">
      <c r="A337" s="27" t="n">
        <v>46233</v>
      </c>
      <c r="B337" s="26" t="s">
        <v>85</v>
      </c>
      <c r="C337" s="26" t="s">
        <v>142</v>
      </c>
      <c r="D337" s="26"/>
      <c r="E337" s="26" t="s">
        <v>98</v>
      </c>
      <c r="F337" s="28"/>
      <c r="G337" s="28" t="n">
        <v>44</v>
      </c>
      <c r="H337" s="26"/>
      <c r="I337" s="26"/>
      <c r="J337" s="26"/>
      <c r="K337" s="29" t="str">
        <f aca="false">IF($A337="","",IF(COUNTIFS(tblMoveTypes[Movement],$E337)=0,"Unknown movement type",IF(COUNTIF(tblShipment[Shipment ID],$C337)=0,"Unknown shipment",IF(COUNTIFS(tblShipment[Shipment ID],$C337,tblShipment[Market],$B337)=0,"Market does not match shipment",IF(AND(IFERROR(INDEX(tblMoveTypes[Item?],MATCH($E337,tblMoveTypes[Movement],0)),"?")="Yes",$D337=""),"Item needed",IF(AND(IFERROR(INDEX(tblMoveTypes[Item?],MATCH($E337,tblMoveTypes[Movement],0)),"?")="No",$D337&lt;&gt;""),"Leave Item blank",IF(AND(IFERROR(INDEX(tblMoveTypes[Courier?],MATCH($E337,tblMoveTypes[Movement],0)),"?")="Yes",$H337=""),"Courier needed",IF(AND(IFERROR(INDEX(tblMoveTypes[Courier?],MATCH($E337,tblMoveTypes[Movement],0)),"?")="No",$H337&lt;&gt;""),"Leave Courier blank",IF(AND(IFERROR(INDEX(tblMoveTypes[Orders?],MATCH($E337,tblMoveTypes[Movement],0)),"?")="Yes",$G337=""),"Orders needed",IF(AND(IFERROR(INDEX(tblMoveTypes[Orders?],MATCH($E337,tblMoveTypes[Movement],0)),"?")="No",$G337&lt;&gt;""),"Leave Orders blank",IF(AND(IFERROR(INDEX(tblMoveTypes[Reason?],MATCH($E337,tblMoveTypes[Movement],0)),"?")="Yes",$I337=""),"Reason needed",IF(AND(IFERROR(INDEX(tblMoveTypes[Qty?],MATCH($E337,tblMoveTypes[Movement],0)),"?")="Yes",N($F337)&lt;=0),"Qty needed",IF($A337&lt;_xlfn.MINIFS(tblShipment[Arrival Date],tblShipment[Shipment ID],$C337),"Date before arrival",IF(AND($D337&lt;&gt;"",COUNTIFS(tblShipment[Shipment ID],$C337,tblShipment[Item Code],$D337)=0),"Item not in this shipment",IF(AND($H337&lt;&gt;"",COUNTIFS(tblCouriers[Courier],$H337,tblCouriers[Market],$B337)=0),"Courier not in this market","OK")))))))))))))))</f>
        <v>OK</v>
      </c>
    </row>
    <row r="338" customFormat="false" ht="15" hidden="false" customHeight="false" outlineLevel="0" collapsed="false">
      <c r="A338" s="27" t="n">
        <v>46233</v>
      </c>
      <c r="B338" s="26" t="s">
        <v>85</v>
      </c>
      <c r="C338" s="26" t="s">
        <v>142</v>
      </c>
      <c r="D338" s="26" t="s">
        <v>76</v>
      </c>
      <c r="E338" s="26" t="s">
        <v>73</v>
      </c>
      <c r="F338" s="28" t="n">
        <v>4</v>
      </c>
      <c r="G338" s="28"/>
      <c r="H338" s="26"/>
      <c r="I338" s="26" t="s">
        <v>80</v>
      </c>
      <c r="J338" s="26"/>
      <c r="K338" s="29" t="str">
        <f aca="false">IF($A338="","",IF(COUNTIFS(tblMoveTypes[Movement],$E338)=0,"Unknown movement type",IF(COUNTIF(tblShipment[Shipment ID],$C338)=0,"Unknown shipment",IF(COUNTIFS(tblShipment[Shipment ID],$C338,tblShipment[Market],$B338)=0,"Market does not match shipment",IF(AND(IFERROR(INDEX(tblMoveTypes[Item?],MATCH($E338,tblMoveTypes[Movement],0)),"?")="Yes",$D338=""),"Item needed",IF(AND(IFERROR(INDEX(tblMoveTypes[Item?],MATCH($E338,tblMoveTypes[Movement],0)),"?")="No",$D338&lt;&gt;""),"Leave Item blank",IF(AND(IFERROR(INDEX(tblMoveTypes[Courier?],MATCH($E338,tblMoveTypes[Movement],0)),"?")="Yes",$H338=""),"Courier needed",IF(AND(IFERROR(INDEX(tblMoveTypes[Courier?],MATCH($E338,tblMoveTypes[Movement],0)),"?")="No",$H338&lt;&gt;""),"Leave Courier blank",IF(AND(IFERROR(INDEX(tblMoveTypes[Orders?],MATCH($E338,tblMoveTypes[Movement],0)),"?")="Yes",$G338=""),"Orders needed",IF(AND(IFERROR(INDEX(tblMoveTypes[Orders?],MATCH($E338,tblMoveTypes[Movement],0)),"?")="No",$G338&lt;&gt;""),"Leave Orders blank",IF(AND(IFERROR(INDEX(tblMoveTypes[Reason?],MATCH($E338,tblMoveTypes[Movement],0)),"?")="Yes",$I338=""),"Reason needed",IF(AND(IFERROR(INDEX(tblMoveTypes[Qty?],MATCH($E338,tblMoveTypes[Movement],0)),"?")="Yes",N($F338)&lt;=0),"Qty needed",IF($A338&lt;_xlfn.MINIFS(tblShipment[Arrival Date],tblShipment[Shipment ID],$C338),"Date before arrival",IF(AND($D338&lt;&gt;"",COUNTIFS(tblShipment[Shipment ID],$C338,tblShipment[Item Code],$D338)=0),"Item not in this shipment",IF(AND($H338&lt;&gt;"",COUNTIFS(tblCouriers[Courier],$H338,tblCouriers[Market],$B338)=0),"Courier not in this market","OK")))))))))))))))</f>
        <v>OK</v>
      </c>
    </row>
    <row r="339" customFormat="false" ht="15" hidden="false" customHeight="false" outlineLevel="0" collapsed="false">
      <c r="A339" s="27" t="n">
        <v>46233</v>
      </c>
      <c r="B339" s="26" t="s">
        <v>85</v>
      </c>
      <c r="C339" s="26" t="s">
        <v>142</v>
      </c>
      <c r="D339" s="26" t="s">
        <v>99</v>
      </c>
      <c r="E339" s="26" t="s">
        <v>73</v>
      </c>
      <c r="F339" s="28" t="n">
        <v>1</v>
      </c>
      <c r="G339" s="28"/>
      <c r="H339" s="26"/>
      <c r="I339" s="26" t="s">
        <v>72</v>
      </c>
      <c r="J339" s="26"/>
      <c r="K339" s="29" t="str">
        <f aca="false">IF($A339="","",IF(COUNTIFS(tblMoveTypes[Movement],$E339)=0,"Unknown movement type",IF(COUNTIF(tblShipment[Shipment ID],$C339)=0,"Unknown shipment",IF(COUNTIFS(tblShipment[Shipment ID],$C339,tblShipment[Market],$B339)=0,"Market does not match shipment",IF(AND(IFERROR(INDEX(tblMoveTypes[Item?],MATCH($E339,tblMoveTypes[Movement],0)),"?")="Yes",$D339=""),"Item needed",IF(AND(IFERROR(INDEX(tblMoveTypes[Item?],MATCH($E339,tblMoveTypes[Movement],0)),"?")="No",$D339&lt;&gt;""),"Leave Item blank",IF(AND(IFERROR(INDEX(tblMoveTypes[Courier?],MATCH($E339,tblMoveTypes[Movement],0)),"?")="Yes",$H339=""),"Courier needed",IF(AND(IFERROR(INDEX(tblMoveTypes[Courier?],MATCH($E339,tblMoveTypes[Movement],0)),"?")="No",$H339&lt;&gt;""),"Leave Courier blank",IF(AND(IFERROR(INDEX(tblMoveTypes[Orders?],MATCH($E339,tblMoveTypes[Movement],0)),"?")="Yes",$G339=""),"Orders needed",IF(AND(IFERROR(INDEX(tblMoveTypes[Orders?],MATCH($E339,tblMoveTypes[Movement],0)),"?")="No",$G339&lt;&gt;""),"Leave Orders blank",IF(AND(IFERROR(INDEX(tblMoveTypes[Reason?],MATCH($E339,tblMoveTypes[Movement],0)),"?")="Yes",$I339=""),"Reason needed",IF(AND(IFERROR(INDEX(tblMoveTypes[Qty?],MATCH($E339,tblMoveTypes[Movement],0)),"?")="Yes",N($F339)&lt;=0),"Qty needed",IF($A339&lt;_xlfn.MINIFS(tblShipment[Arrival Date],tblShipment[Shipment ID],$C339),"Date before arrival",IF(AND($D339&lt;&gt;"",COUNTIFS(tblShipment[Shipment ID],$C339,tblShipment[Item Code],$D339)=0),"Item not in this shipment",IF(AND($H339&lt;&gt;"",COUNTIFS(tblCouriers[Courier],$H339,tblCouriers[Market],$B339)=0),"Courier not in this market","OK")))))))))))))))</f>
        <v>OK</v>
      </c>
    </row>
    <row r="340" customFormat="false" ht="15" hidden="false" customHeight="false" outlineLevel="0" collapsed="false">
      <c r="A340" s="27" t="n">
        <v>46233</v>
      </c>
      <c r="B340" s="26" t="s">
        <v>85</v>
      </c>
      <c r="C340" s="26" t="s">
        <v>142</v>
      </c>
      <c r="D340" s="26" t="s">
        <v>67</v>
      </c>
      <c r="E340" s="26" t="s">
        <v>73</v>
      </c>
      <c r="F340" s="28" t="n">
        <v>2</v>
      </c>
      <c r="G340" s="28"/>
      <c r="H340" s="26"/>
      <c r="I340" s="26" t="s">
        <v>72</v>
      </c>
      <c r="J340" s="26"/>
      <c r="K340" s="29" t="str">
        <f aca="false">IF($A340="","",IF(COUNTIFS(tblMoveTypes[Movement],$E340)=0,"Unknown movement type",IF(COUNTIF(tblShipment[Shipment ID],$C340)=0,"Unknown shipment",IF(COUNTIFS(tblShipment[Shipment ID],$C340,tblShipment[Market],$B340)=0,"Market does not match shipment",IF(AND(IFERROR(INDEX(tblMoveTypes[Item?],MATCH($E340,tblMoveTypes[Movement],0)),"?")="Yes",$D340=""),"Item needed",IF(AND(IFERROR(INDEX(tblMoveTypes[Item?],MATCH($E340,tblMoveTypes[Movement],0)),"?")="No",$D340&lt;&gt;""),"Leave Item blank",IF(AND(IFERROR(INDEX(tblMoveTypes[Courier?],MATCH($E340,tblMoveTypes[Movement],0)),"?")="Yes",$H340=""),"Courier needed",IF(AND(IFERROR(INDEX(tblMoveTypes[Courier?],MATCH($E340,tblMoveTypes[Movement],0)),"?")="No",$H340&lt;&gt;""),"Leave Courier blank",IF(AND(IFERROR(INDEX(tblMoveTypes[Orders?],MATCH($E340,tblMoveTypes[Movement],0)),"?")="Yes",$G340=""),"Orders needed",IF(AND(IFERROR(INDEX(tblMoveTypes[Orders?],MATCH($E340,tblMoveTypes[Movement],0)),"?")="No",$G340&lt;&gt;""),"Leave Orders blank",IF(AND(IFERROR(INDEX(tblMoveTypes[Reason?],MATCH($E340,tblMoveTypes[Movement],0)),"?")="Yes",$I340=""),"Reason needed",IF(AND(IFERROR(INDEX(tblMoveTypes[Qty?],MATCH($E340,tblMoveTypes[Movement],0)),"?")="Yes",N($F340)&lt;=0),"Qty needed",IF($A340&lt;_xlfn.MINIFS(tblShipment[Arrival Date],tblShipment[Shipment ID],$C340),"Date before arrival",IF(AND($D340&lt;&gt;"",COUNTIFS(tblShipment[Shipment ID],$C340,tblShipment[Item Code],$D340)=0),"Item not in this shipment",IF(AND($H340&lt;&gt;"",COUNTIFS(tblCouriers[Courier],$H340,tblCouriers[Market],$B340)=0),"Courier not in this market","OK")))))))))))))))</f>
        <v>OK</v>
      </c>
    </row>
    <row r="341" customFormat="false" ht="15" hidden="false" customHeight="false" outlineLevel="0" collapsed="false">
      <c r="A341" s="27" t="n">
        <v>46233</v>
      </c>
      <c r="B341" s="26" t="s">
        <v>85</v>
      </c>
      <c r="C341" s="26" t="s">
        <v>142</v>
      </c>
      <c r="D341" s="26" t="s">
        <v>88</v>
      </c>
      <c r="E341" s="26" t="s">
        <v>73</v>
      </c>
      <c r="F341" s="28" t="n">
        <v>2</v>
      </c>
      <c r="G341" s="28"/>
      <c r="H341" s="26"/>
      <c r="I341" s="26" t="s">
        <v>80</v>
      </c>
      <c r="J341" s="26"/>
      <c r="K341" s="29" t="str">
        <f aca="false">IF($A341="","",IF(COUNTIFS(tblMoveTypes[Movement],$E341)=0,"Unknown movement type",IF(COUNTIF(tblShipment[Shipment ID],$C341)=0,"Unknown shipment",IF(COUNTIFS(tblShipment[Shipment ID],$C341,tblShipment[Market],$B341)=0,"Market does not match shipment",IF(AND(IFERROR(INDEX(tblMoveTypes[Item?],MATCH($E341,tblMoveTypes[Movement],0)),"?")="Yes",$D341=""),"Item needed",IF(AND(IFERROR(INDEX(tblMoveTypes[Item?],MATCH($E341,tblMoveTypes[Movement],0)),"?")="No",$D341&lt;&gt;""),"Leave Item blank",IF(AND(IFERROR(INDEX(tblMoveTypes[Courier?],MATCH($E341,tblMoveTypes[Movement],0)),"?")="Yes",$H341=""),"Courier needed",IF(AND(IFERROR(INDEX(tblMoveTypes[Courier?],MATCH($E341,tblMoveTypes[Movement],0)),"?")="No",$H341&lt;&gt;""),"Leave Courier blank",IF(AND(IFERROR(INDEX(tblMoveTypes[Orders?],MATCH($E341,tblMoveTypes[Movement],0)),"?")="Yes",$G341=""),"Orders needed",IF(AND(IFERROR(INDEX(tblMoveTypes[Orders?],MATCH($E341,tblMoveTypes[Movement],0)),"?")="No",$G341&lt;&gt;""),"Leave Orders blank",IF(AND(IFERROR(INDEX(tblMoveTypes[Reason?],MATCH($E341,tblMoveTypes[Movement],0)),"?")="Yes",$I341=""),"Reason needed",IF(AND(IFERROR(INDEX(tblMoveTypes[Qty?],MATCH($E341,tblMoveTypes[Movement],0)),"?")="Yes",N($F341)&lt;=0),"Qty needed",IF($A341&lt;_xlfn.MINIFS(tblShipment[Arrival Date],tblShipment[Shipment ID],$C341),"Date before arrival",IF(AND($D341&lt;&gt;"",COUNTIFS(tblShipment[Shipment ID],$C341,tblShipment[Item Code],$D341)=0),"Item not in this shipment",IF(AND($H341&lt;&gt;"",COUNTIFS(tblCouriers[Courier],$H341,tblCouriers[Market],$B341)=0),"Courier not in this market","OK")))))))))))))))</f>
        <v>OK</v>
      </c>
    </row>
    <row r="342" customFormat="false" ht="15" hidden="false" customHeight="false" outlineLevel="0" collapsed="false">
      <c r="A342" s="27" t="n">
        <v>46233</v>
      </c>
      <c r="B342" s="26" t="s">
        <v>85</v>
      </c>
      <c r="C342" s="26" t="s">
        <v>142</v>
      </c>
      <c r="D342" s="26" t="s">
        <v>94</v>
      </c>
      <c r="E342" s="26" t="s">
        <v>73</v>
      </c>
      <c r="F342" s="28" t="n">
        <v>4</v>
      </c>
      <c r="G342" s="28"/>
      <c r="H342" s="26"/>
      <c r="I342" s="26" t="s">
        <v>80</v>
      </c>
      <c r="J342" s="26"/>
      <c r="K342" s="29" t="str">
        <f aca="false">IF($A342="","",IF(COUNTIFS(tblMoveTypes[Movement],$E342)=0,"Unknown movement type",IF(COUNTIF(tblShipment[Shipment ID],$C342)=0,"Unknown shipment",IF(COUNTIFS(tblShipment[Shipment ID],$C342,tblShipment[Market],$B342)=0,"Market does not match shipment",IF(AND(IFERROR(INDEX(tblMoveTypes[Item?],MATCH($E342,tblMoveTypes[Movement],0)),"?")="Yes",$D342=""),"Item needed",IF(AND(IFERROR(INDEX(tblMoveTypes[Item?],MATCH($E342,tblMoveTypes[Movement],0)),"?")="No",$D342&lt;&gt;""),"Leave Item blank",IF(AND(IFERROR(INDEX(tblMoveTypes[Courier?],MATCH($E342,tblMoveTypes[Movement],0)),"?")="Yes",$H342=""),"Courier needed",IF(AND(IFERROR(INDEX(tblMoveTypes[Courier?],MATCH($E342,tblMoveTypes[Movement],0)),"?")="No",$H342&lt;&gt;""),"Leave Courier blank",IF(AND(IFERROR(INDEX(tblMoveTypes[Orders?],MATCH($E342,tblMoveTypes[Movement],0)),"?")="Yes",$G342=""),"Orders needed",IF(AND(IFERROR(INDEX(tblMoveTypes[Orders?],MATCH($E342,tblMoveTypes[Movement],0)),"?")="No",$G342&lt;&gt;""),"Leave Orders blank",IF(AND(IFERROR(INDEX(tblMoveTypes[Reason?],MATCH($E342,tblMoveTypes[Movement],0)),"?")="Yes",$I342=""),"Reason needed",IF(AND(IFERROR(INDEX(tblMoveTypes[Qty?],MATCH($E342,tblMoveTypes[Movement],0)),"?")="Yes",N($F342)&lt;=0),"Qty needed",IF($A342&lt;_xlfn.MINIFS(tblShipment[Arrival Date],tblShipment[Shipment ID],$C342),"Date before arrival",IF(AND($D342&lt;&gt;"",COUNTIFS(tblShipment[Shipment ID],$C342,tblShipment[Item Code],$D342)=0),"Item not in this shipment",IF(AND($H342&lt;&gt;"",COUNTIFS(tblCouriers[Courier],$H342,tblCouriers[Market],$B342)=0),"Courier not in this market","OK")))))))))))))))</f>
        <v>OK</v>
      </c>
    </row>
    <row r="343" customFormat="false" ht="15" hidden="false" customHeight="false" outlineLevel="0" collapsed="false">
      <c r="A343" s="27" t="n">
        <v>46233</v>
      </c>
      <c r="B343" s="26" t="s">
        <v>85</v>
      </c>
      <c r="C343" s="26" t="s">
        <v>142</v>
      </c>
      <c r="D343" s="26" t="s">
        <v>76</v>
      </c>
      <c r="E343" s="26" t="s">
        <v>93</v>
      </c>
      <c r="F343" s="28" t="n">
        <v>58</v>
      </c>
      <c r="G343" s="28"/>
      <c r="H343" s="26" t="s">
        <v>91</v>
      </c>
      <c r="I343" s="26"/>
      <c r="J343" s="26"/>
      <c r="K343" s="29" t="str">
        <f aca="false">IF($A343="","",IF(COUNTIFS(tblMoveTypes[Movement],$E343)=0,"Unknown movement type",IF(COUNTIF(tblShipment[Shipment ID],$C343)=0,"Unknown shipment",IF(COUNTIFS(tblShipment[Shipment ID],$C343,tblShipment[Market],$B343)=0,"Market does not match shipment",IF(AND(IFERROR(INDEX(tblMoveTypes[Item?],MATCH($E343,tblMoveTypes[Movement],0)),"?")="Yes",$D343=""),"Item needed",IF(AND(IFERROR(INDEX(tblMoveTypes[Item?],MATCH($E343,tblMoveTypes[Movement],0)),"?")="No",$D343&lt;&gt;""),"Leave Item blank",IF(AND(IFERROR(INDEX(tblMoveTypes[Courier?],MATCH($E343,tblMoveTypes[Movement],0)),"?")="Yes",$H343=""),"Courier needed",IF(AND(IFERROR(INDEX(tblMoveTypes[Courier?],MATCH($E343,tblMoveTypes[Movement],0)),"?")="No",$H343&lt;&gt;""),"Leave Courier blank",IF(AND(IFERROR(INDEX(tblMoveTypes[Orders?],MATCH($E343,tblMoveTypes[Movement],0)),"?")="Yes",$G343=""),"Orders needed",IF(AND(IFERROR(INDEX(tblMoveTypes[Orders?],MATCH($E343,tblMoveTypes[Movement],0)),"?")="No",$G343&lt;&gt;""),"Leave Orders blank",IF(AND(IFERROR(INDEX(tblMoveTypes[Reason?],MATCH($E343,tblMoveTypes[Movement],0)),"?")="Yes",$I343=""),"Reason needed",IF(AND(IFERROR(INDEX(tblMoveTypes[Qty?],MATCH($E343,tblMoveTypes[Movement],0)),"?")="Yes",N($F343)&lt;=0),"Qty needed",IF($A343&lt;_xlfn.MINIFS(tblShipment[Arrival Date],tblShipment[Shipment ID],$C343),"Date before arrival",IF(AND($D343&lt;&gt;"",COUNTIFS(tblShipment[Shipment ID],$C343,tblShipment[Item Code],$D343)=0),"Item not in this shipment",IF(AND($H343&lt;&gt;"",COUNTIFS(tblCouriers[Courier],$H343,tblCouriers[Market],$B343)=0),"Courier not in this market","OK")))))))))))))))</f>
        <v>OK</v>
      </c>
    </row>
    <row r="344" customFormat="false" ht="15" hidden="false" customHeight="false" outlineLevel="0" collapsed="false">
      <c r="A344" s="27" t="n">
        <v>46233</v>
      </c>
      <c r="B344" s="26" t="s">
        <v>85</v>
      </c>
      <c r="C344" s="26" t="s">
        <v>142</v>
      </c>
      <c r="D344" s="26" t="s">
        <v>76</v>
      </c>
      <c r="E344" s="26" t="s">
        <v>93</v>
      </c>
      <c r="F344" s="28" t="n">
        <v>38</v>
      </c>
      <c r="G344" s="28"/>
      <c r="H344" s="26" t="s">
        <v>96</v>
      </c>
      <c r="I344" s="26"/>
      <c r="J344" s="26"/>
      <c r="K344" s="29" t="str">
        <f aca="false">IF($A344="","",IF(COUNTIFS(tblMoveTypes[Movement],$E344)=0,"Unknown movement type",IF(COUNTIF(tblShipment[Shipment ID],$C344)=0,"Unknown shipment",IF(COUNTIFS(tblShipment[Shipment ID],$C344,tblShipment[Market],$B344)=0,"Market does not match shipment",IF(AND(IFERROR(INDEX(tblMoveTypes[Item?],MATCH($E344,tblMoveTypes[Movement],0)),"?")="Yes",$D344=""),"Item needed",IF(AND(IFERROR(INDEX(tblMoveTypes[Item?],MATCH($E344,tblMoveTypes[Movement],0)),"?")="No",$D344&lt;&gt;""),"Leave Item blank",IF(AND(IFERROR(INDEX(tblMoveTypes[Courier?],MATCH($E344,tblMoveTypes[Movement],0)),"?")="Yes",$H344=""),"Courier needed",IF(AND(IFERROR(INDEX(tblMoveTypes[Courier?],MATCH($E344,tblMoveTypes[Movement],0)),"?")="No",$H344&lt;&gt;""),"Leave Courier blank",IF(AND(IFERROR(INDEX(tblMoveTypes[Orders?],MATCH($E344,tblMoveTypes[Movement],0)),"?")="Yes",$G344=""),"Orders needed",IF(AND(IFERROR(INDEX(tblMoveTypes[Orders?],MATCH($E344,tblMoveTypes[Movement],0)),"?")="No",$G344&lt;&gt;""),"Leave Orders blank",IF(AND(IFERROR(INDEX(tblMoveTypes[Reason?],MATCH($E344,tblMoveTypes[Movement],0)),"?")="Yes",$I344=""),"Reason needed",IF(AND(IFERROR(INDEX(tblMoveTypes[Qty?],MATCH($E344,tblMoveTypes[Movement],0)),"?")="Yes",N($F344)&lt;=0),"Qty needed",IF($A344&lt;_xlfn.MINIFS(tblShipment[Arrival Date],tblShipment[Shipment ID],$C344),"Date before arrival",IF(AND($D344&lt;&gt;"",COUNTIFS(tblShipment[Shipment ID],$C344,tblShipment[Item Code],$D344)=0),"Item not in this shipment",IF(AND($H344&lt;&gt;"",COUNTIFS(tblCouriers[Courier],$H344,tblCouriers[Market],$B344)=0),"Courier not in this market","OK")))))))))))))))</f>
        <v>OK</v>
      </c>
    </row>
    <row r="345" customFormat="false" ht="15" hidden="false" customHeight="false" outlineLevel="0" collapsed="false">
      <c r="A345" s="27" t="n">
        <v>46233</v>
      </c>
      <c r="B345" s="26" t="s">
        <v>85</v>
      </c>
      <c r="C345" s="26" t="s">
        <v>142</v>
      </c>
      <c r="D345" s="26" t="s">
        <v>99</v>
      </c>
      <c r="E345" s="26" t="s">
        <v>93</v>
      </c>
      <c r="F345" s="28" t="n">
        <v>23</v>
      </c>
      <c r="G345" s="28"/>
      <c r="H345" s="26" t="s">
        <v>91</v>
      </c>
      <c r="I345" s="26"/>
      <c r="J345" s="26"/>
      <c r="K345" s="29" t="str">
        <f aca="false">IF($A345="","",IF(COUNTIFS(tblMoveTypes[Movement],$E345)=0,"Unknown movement type",IF(COUNTIF(tblShipment[Shipment ID],$C345)=0,"Unknown shipment",IF(COUNTIFS(tblShipment[Shipment ID],$C345,tblShipment[Market],$B345)=0,"Market does not match shipment",IF(AND(IFERROR(INDEX(tblMoveTypes[Item?],MATCH($E345,tblMoveTypes[Movement],0)),"?")="Yes",$D345=""),"Item needed",IF(AND(IFERROR(INDEX(tblMoveTypes[Item?],MATCH($E345,tblMoveTypes[Movement],0)),"?")="No",$D345&lt;&gt;""),"Leave Item blank",IF(AND(IFERROR(INDEX(tblMoveTypes[Courier?],MATCH($E345,tblMoveTypes[Movement],0)),"?")="Yes",$H345=""),"Courier needed",IF(AND(IFERROR(INDEX(tblMoveTypes[Courier?],MATCH($E345,tblMoveTypes[Movement],0)),"?")="No",$H345&lt;&gt;""),"Leave Courier blank",IF(AND(IFERROR(INDEX(tblMoveTypes[Orders?],MATCH($E345,tblMoveTypes[Movement],0)),"?")="Yes",$G345=""),"Orders needed",IF(AND(IFERROR(INDEX(tblMoveTypes[Orders?],MATCH($E345,tblMoveTypes[Movement],0)),"?")="No",$G345&lt;&gt;""),"Leave Orders blank",IF(AND(IFERROR(INDEX(tblMoveTypes[Reason?],MATCH($E345,tblMoveTypes[Movement],0)),"?")="Yes",$I345=""),"Reason needed",IF(AND(IFERROR(INDEX(tblMoveTypes[Qty?],MATCH($E345,tblMoveTypes[Movement],0)),"?")="Yes",N($F345)&lt;=0),"Qty needed",IF($A345&lt;_xlfn.MINIFS(tblShipment[Arrival Date],tblShipment[Shipment ID],$C345),"Date before arrival",IF(AND($D345&lt;&gt;"",COUNTIFS(tblShipment[Shipment ID],$C345,tblShipment[Item Code],$D345)=0),"Item not in this shipment",IF(AND($H345&lt;&gt;"",COUNTIFS(tblCouriers[Courier],$H345,tblCouriers[Market],$B345)=0),"Courier not in this market","OK")))))))))))))))</f>
        <v>OK</v>
      </c>
    </row>
    <row r="346" customFormat="false" ht="15" hidden="false" customHeight="false" outlineLevel="0" collapsed="false">
      <c r="A346" s="27" t="n">
        <v>46233</v>
      </c>
      <c r="B346" s="26" t="s">
        <v>85</v>
      </c>
      <c r="C346" s="26" t="s">
        <v>142</v>
      </c>
      <c r="D346" s="26" t="s">
        <v>99</v>
      </c>
      <c r="E346" s="26" t="s">
        <v>93</v>
      </c>
      <c r="F346" s="28" t="n">
        <v>16</v>
      </c>
      <c r="G346" s="28"/>
      <c r="H346" s="26" t="s">
        <v>96</v>
      </c>
      <c r="I346" s="26"/>
      <c r="J346" s="26"/>
      <c r="K346" s="29" t="str">
        <f aca="false">IF($A346="","",IF(COUNTIFS(tblMoveTypes[Movement],$E346)=0,"Unknown movement type",IF(COUNTIF(tblShipment[Shipment ID],$C346)=0,"Unknown shipment",IF(COUNTIFS(tblShipment[Shipment ID],$C346,tblShipment[Market],$B346)=0,"Market does not match shipment",IF(AND(IFERROR(INDEX(tblMoveTypes[Item?],MATCH($E346,tblMoveTypes[Movement],0)),"?")="Yes",$D346=""),"Item needed",IF(AND(IFERROR(INDEX(tblMoveTypes[Item?],MATCH($E346,tblMoveTypes[Movement],0)),"?")="No",$D346&lt;&gt;""),"Leave Item blank",IF(AND(IFERROR(INDEX(tblMoveTypes[Courier?],MATCH($E346,tblMoveTypes[Movement],0)),"?")="Yes",$H346=""),"Courier needed",IF(AND(IFERROR(INDEX(tblMoveTypes[Courier?],MATCH($E346,tblMoveTypes[Movement],0)),"?")="No",$H346&lt;&gt;""),"Leave Courier blank",IF(AND(IFERROR(INDEX(tblMoveTypes[Orders?],MATCH($E346,tblMoveTypes[Movement],0)),"?")="Yes",$G346=""),"Orders needed",IF(AND(IFERROR(INDEX(tblMoveTypes[Orders?],MATCH($E346,tblMoveTypes[Movement],0)),"?")="No",$G346&lt;&gt;""),"Leave Orders blank",IF(AND(IFERROR(INDEX(tblMoveTypes[Reason?],MATCH($E346,tblMoveTypes[Movement],0)),"?")="Yes",$I346=""),"Reason needed",IF(AND(IFERROR(INDEX(tblMoveTypes[Qty?],MATCH($E346,tblMoveTypes[Movement],0)),"?")="Yes",N($F346)&lt;=0),"Qty needed",IF($A346&lt;_xlfn.MINIFS(tblShipment[Arrival Date],tblShipment[Shipment ID],$C346),"Date before arrival",IF(AND($D346&lt;&gt;"",COUNTIFS(tblShipment[Shipment ID],$C346,tblShipment[Item Code],$D346)=0),"Item not in this shipment",IF(AND($H346&lt;&gt;"",COUNTIFS(tblCouriers[Courier],$H346,tblCouriers[Market],$B346)=0),"Courier not in this market","OK")))))))))))))))</f>
        <v>OK</v>
      </c>
    </row>
    <row r="347" customFormat="false" ht="15" hidden="false" customHeight="false" outlineLevel="0" collapsed="false">
      <c r="A347" s="27" t="n">
        <v>46233</v>
      </c>
      <c r="B347" s="26" t="s">
        <v>85</v>
      </c>
      <c r="C347" s="26" t="s">
        <v>142</v>
      </c>
      <c r="D347" s="26" t="s">
        <v>67</v>
      </c>
      <c r="E347" s="26" t="s">
        <v>93</v>
      </c>
      <c r="F347" s="28" t="n">
        <v>33</v>
      </c>
      <c r="G347" s="28"/>
      <c r="H347" s="26" t="s">
        <v>91</v>
      </c>
      <c r="I347" s="26"/>
      <c r="J347" s="26"/>
      <c r="K347" s="29" t="str">
        <f aca="false">IF($A347="","",IF(COUNTIFS(tblMoveTypes[Movement],$E347)=0,"Unknown movement type",IF(COUNTIF(tblShipment[Shipment ID],$C347)=0,"Unknown shipment",IF(COUNTIFS(tblShipment[Shipment ID],$C347,tblShipment[Market],$B347)=0,"Market does not match shipment",IF(AND(IFERROR(INDEX(tblMoveTypes[Item?],MATCH($E347,tblMoveTypes[Movement],0)),"?")="Yes",$D347=""),"Item needed",IF(AND(IFERROR(INDEX(tblMoveTypes[Item?],MATCH($E347,tblMoveTypes[Movement],0)),"?")="No",$D347&lt;&gt;""),"Leave Item blank",IF(AND(IFERROR(INDEX(tblMoveTypes[Courier?],MATCH($E347,tblMoveTypes[Movement],0)),"?")="Yes",$H347=""),"Courier needed",IF(AND(IFERROR(INDEX(tblMoveTypes[Courier?],MATCH($E347,tblMoveTypes[Movement],0)),"?")="No",$H347&lt;&gt;""),"Leave Courier blank",IF(AND(IFERROR(INDEX(tblMoveTypes[Orders?],MATCH($E347,tblMoveTypes[Movement],0)),"?")="Yes",$G347=""),"Orders needed",IF(AND(IFERROR(INDEX(tblMoveTypes[Orders?],MATCH($E347,tblMoveTypes[Movement],0)),"?")="No",$G347&lt;&gt;""),"Leave Orders blank",IF(AND(IFERROR(INDEX(tblMoveTypes[Reason?],MATCH($E347,tblMoveTypes[Movement],0)),"?")="Yes",$I347=""),"Reason needed",IF(AND(IFERROR(INDEX(tblMoveTypes[Qty?],MATCH($E347,tblMoveTypes[Movement],0)),"?")="Yes",N($F347)&lt;=0),"Qty needed",IF($A347&lt;_xlfn.MINIFS(tblShipment[Arrival Date],tblShipment[Shipment ID],$C347),"Date before arrival",IF(AND($D347&lt;&gt;"",COUNTIFS(tblShipment[Shipment ID],$C347,tblShipment[Item Code],$D347)=0),"Item not in this shipment",IF(AND($H347&lt;&gt;"",COUNTIFS(tblCouriers[Courier],$H347,tblCouriers[Market],$B347)=0),"Courier not in this market","OK")))))))))))))))</f>
        <v>OK</v>
      </c>
    </row>
    <row r="348" customFormat="false" ht="15" hidden="false" customHeight="false" outlineLevel="0" collapsed="false">
      <c r="A348" s="27" t="n">
        <v>46233</v>
      </c>
      <c r="B348" s="26" t="s">
        <v>85</v>
      </c>
      <c r="C348" s="26" t="s">
        <v>142</v>
      </c>
      <c r="D348" s="26" t="s">
        <v>67</v>
      </c>
      <c r="E348" s="26" t="s">
        <v>93</v>
      </c>
      <c r="F348" s="28" t="n">
        <v>22</v>
      </c>
      <c r="G348" s="28"/>
      <c r="H348" s="26" t="s">
        <v>96</v>
      </c>
      <c r="I348" s="26"/>
      <c r="J348" s="26"/>
      <c r="K348" s="29" t="str">
        <f aca="false">IF($A348="","",IF(COUNTIFS(tblMoveTypes[Movement],$E348)=0,"Unknown movement type",IF(COUNTIF(tblShipment[Shipment ID],$C348)=0,"Unknown shipment",IF(COUNTIFS(tblShipment[Shipment ID],$C348,tblShipment[Market],$B348)=0,"Market does not match shipment",IF(AND(IFERROR(INDEX(tblMoveTypes[Item?],MATCH($E348,tblMoveTypes[Movement],0)),"?")="Yes",$D348=""),"Item needed",IF(AND(IFERROR(INDEX(tblMoveTypes[Item?],MATCH($E348,tblMoveTypes[Movement],0)),"?")="No",$D348&lt;&gt;""),"Leave Item blank",IF(AND(IFERROR(INDEX(tblMoveTypes[Courier?],MATCH($E348,tblMoveTypes[Movement],0)),"?")="Yes",$H348=""),"Courier needed",IF(AND(IFERROR(INDEX(tblMoveTypes[Courier?],MATCH($E348,tblMoveTypes[Movement],0)),"?")="No",$H348&lt;&gt;""),"Leave Courier blank",IF(AND(IFERROR(INDEX(tblMoveTypes[Orders?],MATCH($E348,tblMoveTypes[Movement],0)),"?")="Yes",$G348=""),"Orders needed",IF(AND(IFERROR(INDEX(tblMoveTypes[Orders?],MATCH($E348,tblMoveTypes[Movement],0)),"?")="No",$G348&lt;&gt;""),"Leave Orders blank",IF(AND(IFERROR(INDEX(tblMoveTypes[Reason?],MATCH($E348,tblMoveTypes[Movement],0)),"?")="Yes",$I348=""),"Reason needed",IF(AND(IFERROR(INDEX(tblMoveTypes[Qty?],MATCH($E348,tblMoveTypes[Movement],0)),"?")="Yes",N($F348)&lt;=0),"Qty needed",IF($A348&lt;_xlfn.MINIFS(tblShipment[Arrival Date],tblShipment[Shipment ID],$C348),"Date before arrival",IF(AND($D348&lt;&gt;"",COUNTIFS(tblShipment[Shipment ID],$C348,tblShipment[Item Code],$D348)=0),"Item not in this shipment",IF(AND($H348&lt;&gt;"",COUNTIFS(tblCouriers[Courier],$H348,tblCouriers[Market],$B348)=0),"Courier not in this market","OK")))))))))))))))</f>
        <v>OK</v>
      </c>
    </row>
    <row r="349" customFormat="false" ht="15" hidden="false" customHeight="false" outlineLevel="0" collapsed="false">
      <c r="A349" s="27" t="n">
        <v>46233</v>
      </c>
      <c r="B349" s="26" t="s">
        <v>85</v>
      </c>
      <c r="C349" s="26" t="s">
        <v>142</v>
      </c>
      <c r="D349" s="26" t="s">
        <v>88</v>
      </c>
      <c r="E349" s="26" t="s">
        <v>93</v>
      </c>
      <c r="F349" s="28" t="n">
        <v>28</v>
      </c>
      <c r="G349" s="28"/>
      <c r="H349" s="26" t="s">
        <v>91</v>
      </c>
      <c r="I349" s="26"/>
      <c r="J349" s="26"/>
      <c r="K349" s="29" t="str">
        <f aca="false">IF($A349="","",IF(COUNTIFS(tblMoveTypes[Movement],$E349)=0,"Unknown movement type",IF(COUNTIF(tblShipment[Shipment ID],$C349)=0,"Unknown shipment",IF(COUNTIFS(tblShipment[Shipment ID],$C349,tblShipment[Market],$B349)=0,"Market does not match shipment",IF(AND(IFERROR(INDEX(tblMoveTypes[Item?],MATCH($E349,tblMoveTypes[Movement],0)),"?")="Yes",$D349=""),"Item needed",IF(AND(IFERROR(INDEX(tblMoveTypes[Item?],MATCH($E349,tblMoveTypes[Movement],0)),"?")="No",$D349&lt;&gt;""),"Leave Item blank",IF(AND(IFERROR(INDEX(tblMoveTypes[Courier?],MATCH($E349,tblMoveTypes[Movement],0)),"?")="Yes",$H349=""),"Courier needed",IF(AND(IFERROR(INDEX(tblMoveTypes[Courier?],MATCH($E349,tblMoveTypes[Movement],0)),"?")="No",$H349&lt;&gt;""),"Leave Courier blank",IF(AND(IFERROR(INDEX(tblMoveTypes[Orders?],MATCH($E349,tblMoveTypes[Movement],0)),"?")="Yes",$G349=""),"Orders needed",IF(AND(IFERROR(INDEX(tblMoveTypes[Orders?],MATCH($E349,tblMoveTypes[Movement],0)),"?")="No",$G349&lt;&gt;""),"Leave Orders blank",IF(AND(IFERROR(INDEX(tblMoveTypes[Reason?],MATCH($E349,tblMoveTypes[Movement],0)),"?")="Yes",$I349=""),"Reason needed",IF(AND(IFERROR(INDEX(tblMoveTypes[Qty?],MATCH($E349,tblMoveTypes[Movement],0)),"?")="Yes",N($F349)&lt;=0),"Qty needed",IF($A349&lt;_xlfn.MINIFS(tblShipment[Arrival Date],tblShipment[Shipment ID],$C349),"Date before arrival",IF(AND($D349&lt;&gt;"",COUNTIFS(tblShipment[Shipment ID],$C349,tblShipment[Item Code],$D349)=0),"Item not in this shipment",IF(AND($H349&lt;&gt;"",COUNTIFS(tblCouriers[Courier],$H349,tblCouriers[Market],$B349)=0),"Courier not in this market","OK")))))))))))))))</f>
        <v>OK</v>
      </c>
    </row>
    <row r="350" customFormat="false" ht="15" hidden="false" customHeight="false" outlineLevel="0" collapsed="false">
      <c r="A350" s="27" t="n">
        <v>46233</v>
      </c>
      <c r="B350" s="26" t="s">
        <v>85</v>
      </c>
      <c r="C350" s="26" t="s">
        <v>142</v>
      </c>
      <c r="D350" s="26" t="s">
        <v>88</v>
      </c>
      <c r="E350" s="26" t="s">
        <v>93</v>
      </c>
      <c r="F350" s="28" t="n">
        <v>18</v>
      </c>
      <c r="G350" s="28"/>
      <c r="H350" s="26" t="s">
        <v>96</v>
      </c>
      <c r="I350" s="26"/>
      <c r="J350" s="26"/>
      <c r="K350" s="29" t="str">
        <f aca="false">IF($A350="","",IF(COUNTIFS(tblMoveTypes[Movement],$E350)=0,"Unknown movement type",IF(COUNTIF(tblShipment[Shipment ID],$C350)=0,"Unknown shipment",IF(COUNTIFS(tblShipment[Shipment ID],$C350,tblShipment[Market],$B350)=0,"Market does not match shipment",IF(AND(IFERROR(INDEX(tblMoveTypes[Item?],MATCH($E350,tblMoveTypes[Movement],0)),"?")="Yes",$D350=""),"Item needed",IF(AND(IFERROR(INDEX(tblMoveTypes[Item?],MATCH($E350,tblMoveTypes[Movement],0)),"?")="No",$D350&lt;&gt;""),"Leave Item blank",IF(AND(IFERROR(INDEX(tblMoveTypes[Courier?],MATCH($E350,tblMoveTypes[Movement],0)),"?")="Yes",$H350=""),"Courier needed",IF(AND(IFERROR(INDEX(tblMoveTypes[Courier?],MATCH($E350,tblMoveTypes[Movement],0)),"?")="No",$H350&lt;&gt;""),"Leave Courier blank",IF(AND(IFERROR(INDEX(tblMoveTypes[Orders?],MATCH($E350,tblMoveTypes[Movement],0)),"?")="Yes",$G350=""),"Orders needed",IF(AND(IFERROR(INDEX(tblMoveTypes[Orders?],MATCH($E350,tblMoveTypes[Movement],0)),"?")="No",$G350&lt;&gt;""),"Leave Orders blank",IF(AND(IFERROR(INDEX(tblMoveTypes[Reason?],MATCH($E350,tblMoveTypes[Movement],0)),"?")="Yes",$I350=""),"Reason needed",IF(AND(IFERROR(INDEX(tblMoveTypes[Qty?],MATCH($E350,tblMoveTypes[Movement],0)),"?")="Yes",N($F350)&lt;=0),"Qty needed",IF($A350&lt;_xlfn.MINIFS(tblShipment[Arrival Date],tblShipment[Shipment ID],$C350),"Date before arrival",IF(AND($D350&lt;&gt;"",COUNTIFS(tblShipment[Shipment ID],$C350,tblShipment[Item Code],$D350)=0),"Item not in this shipment",IF(AND($H350&lt;&gt;"",COUNTIFS(tblCouriers[Courier],$H350,tblCouriers[Market],$B350)=0),"Courier not in this market","OK")))))))))))))))</f>
        <v>OK</v>
      </c>
    </row>
    <row r="351" customFormat="false" ht="15" hidden="false" customHeight="false" outlineLevel="0" collapsed="false">
      <c r="A351" s="27" t="n">
        <v>46233</v>
      </c>
      <c r="B351" s="26" t="s">
        <v>85</v>
      </c>
      <c r="C351" s="26" t="s">
        <v>142</v>
      </c>
      <c r="D351" s="26" t="s">
        <v>94</v>
      </c>
      <c r="E351" s="26" t="s">
        <v>93</v>
      </c>
      <c r="F351" s="28" t="n">
        <v>34</v>
      </c>
      <c r="G351" s="28"/>
      <c r="H351" s="26" t="s">
        <v>91</v>
      </c>
      <c r="I351" s="26"/>
      <c r="J351" s="26"/>
      <c r="K351" s="29" t="str">
        <f aca="false">IF($A351="","",IF(COUNTIFS(tblMoveTypes[Movement],$E351)=0,"Unknown movement type",IF(COUNTIF(tblShipment[Shipment ID],$C351)=0,"Unknown shipment",IF(COUNTIFS(tblShipment[Shipment ID],$C351,tblShipment[Market],$B351)=0,"Market does not match shipment",IF(AND(IFERROR(INDEX(tblMoveTypes[Item?],MATCH($E351,tblMoveTypes[Movement],0)),"?")="Yes",$D351=""),"Item needed",IF(AND(IFERROR(INDEX(tblMoveTypes[Item?],MATCH($E351,tblMoveTypes[Movement],0)),"?")="No",$D351&lt;&gt;""),"Leave Item blank",IF(AND(IFERROR(INDEX(tblMoveTypes[Courier?],MATCH($E351,tblMoveTypes[Movement],0)),"?")="Yes",$H351=""),"Courier needed",IF(AND(IFERROR(INDEX(tblMoveTypes[Courier?],MATCH($E351,tblMoveTypes[Movement],0)),"?")="No",$H351&lt;&gt;""),"Leave Courier blank",IF(AND(IFERROR(INDEX(tblMoveTypes[Orders?],MATCH($E351,tblMoveTypes[Movement],0)),"?")="Yes",$G351=""),"Orders needed",IF(AND(IFERROR(INDEX(tblMoveTypes[Orders?],MATCH($E351,tblMoveTypes[Movement],0)),"?")="No",$G351&lt;&gt;""),"Leave Orders blank",IF(AND(IFERROR(INDEX(tblMoveTypes[Reason?],MATCH($E351,tblMoveTypes[Movement],0)),"?")="Yes",$I351=""),"Reason needed",IF(AND(IFERROR(INDEX(tblMoveTypes[Qty?],MATCH($E351,tblMoveTypes[Movement],0)),"?")="Yes",N($F351)&lt;=0),"Qty needed",IF($A351&lt;_xlfn.MINIFS(tblShipment[Arrival Date],tblShipment[Shipment ID],$C351),"Date before arrival",IF(AND($D351&lt;&gt;"",COUNTIFS(tblShipment[Shipment ID],$C351,tblShipment[Item Code],$D351)=0),"Item not in this shipment",IF(AND($H351&lt;&gt;"",COUNTIFS(tblCouriers[Courier],$H351,tblCouriers[Market],$B351)=0),"Courier not in this market","OK")))))))))))))))</f>
        <v>OK</v>
      </c>
    </row>
    <row r="352" customFormat="false" ht="15" hidden="false" customHeight="false" outlineLevel="0" collapsed="false">
      <c r="A352" s="27" t="n">
        <v>46233</v>
      </c>
      <c r="B352" s="26" t="s">
        <v>85</v>
      </c>
      <c r="C352" s="26" t="s">
        <v>142</v>
      </c>
      <c r="D352" s="26" t="s">
        <v>94</v>
      </c>
      <c r="E352" s="26" t="s">
        <v>93</v>
      </c>
      <c r="F352" s="28" t="n">
        <v>22</v>
      </c>
      <c r="G352" s="28"/>
      <c r="H352" s="26" t="s">
        <v>96</v>
      </c>
      <c r="I352" s="26"/>
      <c r="J352" s="26"/>
      <c r="K352" s="29" t="str">
        <f aca="false">IF($A352="","",IF(COUNTIFS(tblMoveTypes[Movement],$E352)=0,"Unknown movement type",IF(COUNTIF(tblShipment[Shipment ID],$C352)=0,"Unknown shipment",IF(COUNTIFS(tblShipment[Shipment ID],$C352,tblShipment[Market],$B352)=0,"Market does not match shipment",IF(AND(IFERROR(INDEX(tblMoveTypes[Item?],MATCH($E352,tblMoveTypes[Movement],0)),"?")="Yes",$D352=""),"Item needed",IF(AND(IFERROR(INDEX(tblMoveTypes[Item?],MATCH($E352,tblMoveTypes[Movement],0)),"?")="No",$D352&lt;&gt;""),"Leave Item blank",IF(AND(IFERROR(INDEX(tblMoveTypes[Courier?],MATCH($E352,tblMoveTypes[Movement],0)),"?")="Yes",$H352=""),"Courier needed",IF(AND(IFERROR(INDEX(tblMoveTypes[Courier?],MATCH($E352,tblMoveTypes[Movement],0)),"?")="No",$H352&lt;&gt;""),"Leave Courier blank",IF(AND(IFERROR(INDEX(tblMoveTypes[Orders?],MATCH($E352,tblMoveTypes[Movement],0)),"?")="Yes",$G352=""),"Orders needed",IF(AND(IFERROR(INDEX(tblMoveTypes[Orders?],MATCH($E352,tblMoveTypes[Movement],0)),"?")="No",$G352&lt;&gt;""),"Leave Orders blank",IF(AND(IFERROR(INDEX(tblMoveTypes[Reason?],MATCH($E352,tblMoveTypes[Movement],0)),"?")="Yes",$I352=""),"Reason needed",IF(AND(IFERROR(INDEX(tblMoveTypes[Qty?],MATCH($E352,tblMoveTypes[Movement],0)),"?")="Yes",N($F352)&lt;=0),"Qty needed",IF($A352&lt;_xlfn.MINIFS(tblShipment[Arrival Date],tblShipment[Shipment ID],$C352),"Date before arrival",IF(AND($D352&lt;&gt;"",COUNTIFS(tblShipment[Shipment ID],$C352,tblShipment[Item Code],$D352)=0),"Item not in this shipment",IF(AND($H352&lt;&gt;"",COUNTIFS(tblCouriers[Courier],$H352,tblCouriers[Market],$B352)=0),"Courier not in this market","OK")))))))))))))))</f>
        <v>OK</v>
      </c>
    </row>
    <row r="353" customFormat="false" ht="15" hidden="false" customHeight="false" outlineLevel="0" collapsed="false">
      <c r="A353" s="27" t="n">
        <v>46233</v>
      </c>
      <c r="B353" s="26" t="s">
        <v>85</v>
      </c>
      <c r="C353" s="26" t="s">
        <v>142</v>
      </c>
      <c r="D353" s="26"/>
      <c r="E353" s="26" t="s">
        <v>104</v>
      </c>
      <c r="F353" s="28"/>
      <c r="G353" s="28" t="n">
        <v>27</v>
      </c>
      <c r="H353" s="26" t="s">
        <v>91</v>
      </c>
      <c r="I353" s="26"/>
      <c r="J353" s="26"/>
      <c r="K353" s="29" t="str">
        <f aca="false">IF($A353="","",IF(COUNTIFS(tblMoveTypes[Movement],$E353)=0,"Unknown movement type",IF(COUNTIF(tblShipment[Shipment ID],$C353)=0,"Unknown shipment",IF(COUNTIFS(tblShipment[Shipment ID],$C353,tblShipment[Market],$B353)=0,"Market does not match shipment",IF(AND(IFERROR(INDEX(tblMoveTypes[Item?],MATCH($E353,tblMoveTypes[Movement],0)),"?")="Yes",$D353=""),"Item needed",IF(AND(IFERROR(INDEX(tblMoveTypes[Item?],MATCH($E353,tblMoveTypes[Movement],0)),"?")="No",$D353&lt;&gt;""),"Leave Item blank",IF(AND(IFERROR(INDEX(tblMoveTypes[Courier?],MATCH($E353,tblMoveTypes[Movement],0)),"?")="Yes",$H353=""),"Courier needed",IF(AND(IFERROR(INDEX(tblMoveTypes[Courier?],MATCH($E353,tblMoveTypes[Movement],0)),"?")="No",$H353&lt;&gt;""),"Leave Courier blank",IF(AND(IFERROR(INDEX(tblMoveTypes[Orders?],MATCH($E353,tblMoveTypes[Movement],0)),"?")="Yes",$G353=""),"Orders needed",IF(AND(IFERROR(INDEX(tblMoveTypes[Orders?],MATCH($E353,tblMoveTypes[Movement],0)),"?")="No",$G353&lt;&gt;""),"Leave Orders blank",IF(AND(IFERROR(INDEX(tblMoveTypes[Reason?],MATCH($E353,tblMoveTypes[Movement],0)),"?")="Yes",$I353=""),"Reason needed",IF(AND(IFERROR(INDEX(tblMoveTypes[Qty?],MATCH($E353,tblMoveTypes[Movement],0)),"?")="Yes",N($F353)&lt;=0),"Qty needed",IF($A353&lt;_xlfn.MINIFS(tblShipment[Arrival Date],tblShipment[Shipment ID],$C353),"Date before arrival",IF(AND($D353&lt;&gt;"",COUNTIFS(tblShipment[Shipment ID],$C353,tblShipment[Item Code],$D353)=0),"Item not in this shipment",IF(AND($H353&lt;&gt;"",COUNTIFS(tblCouriers[Courier],$H353,tblCouriers[Market],$B353)=0),"Courier not in this market","OK")))))))))))))))</f>
        <v>OK</v>
      </c>
    </row>
    <row r="354" customFormat="false" ht="15" hidden="false" customHeight="false" outlineLevel="0" collapsed="false">
      <c r="A354" s="27" t="n">
        <v>46233</v>
      </c>
      <c r="B354" s="26" t="s">
        <v>85</v>
      </c>
      <c r="C354" s="26" t="s">
        <v>142</v>
      </c>
      <c r="D354" s="26"/>
      <c r="E354" s="26" t="s">
        <v>106</v>
      </c>
      <c r="F354" s="28" t="n">
        <v>81</v>
      </c>
      <c r="G354" s="28" t="n">
        <v>12</v>
      </c>
      <c r="H354" s="26" t="s">
        <v>91</v>
      </c>
      <c r="I354" s="26"/>
      <c r="J354" s="26"/>
      <c r="K354" s="29" t="str">
        <f aca="false">IF($A354="","",IF(COUNTIFS(tblMoveTypes[Movement],$E354)=0,"Unknown movement type",IF(COUNTIF(tblShipment[Shipment ID],$C354)=0,"Unknown shipment",IF(COUNTIFS(tblShipment[Shipment ID],$C354,tblShipment[Market],$B354)=0,"Market does not match shipment",IF(AND(IFERROR(INDEX(tblMoveTypes[Item?],MATCH($E354,tblMoveTypes[Movement],0)),"?")="Yes",$D354=""),"Item needed",IF(AND(IFERROR(INDEX(tblMoveTypes[Item?],MATCH($E354,tblMoveTypes[Movement],0)),"?")="No",$D354&lt;&gt;""),"Leave Item blank",IF(AND(IFERROR(INDEX(tblMoveTypes[Courier?],MATCH($E354,tblMoveTypes[Movement],0)),"?")="Yes",$H354=""),"Courier needed",IF(AND(IFERROR(INDEX(tblMoveTypes[Courier?],MATCH($E354,tblMoveTypes[Movement],0)),"?")="No",$H354&lt;&gt;""),"Leave Courier blank",IF(AND(IFERROR(INDEX(tblMoveTypes[Orders?],MATCH($E354,tblMoveTypes[Movement],0)),"?")="Yes",$G354=""),"Orders needed",IF(AND(IFERROR(INDEX(tblMoveTypes[Orders?],MATCH($E354,tblMoveTypes[Movement],0)),"?")="No",$G354&lt;&gt;""),"Leave Orders blank",IF(AND(IFERROR(INDEX(tblMoveTypes[Reason?],MATCH($E354,tblMoveTypes[Movement],0)),"?")="Yes",$I354=""),"Reason needed",IF(AND(IFERROR(INDEX(tblMoveTypes[Qty?],MATCH($E354,tblMoveTypes[Movement],0)),"?")="Yes",N($F354)&lt;=0),"Qty needed",IF($A354&lt;_xlfn.MINIFS(tblShipment[Arrival Date],tblShipment[Shipment ID],$C354),"Date before arrival",IF(AND($D354&lt;&gt;"",COUNTIFS(tblShipment[Shipment ID],$C354,tblShipment[Item Code],$D354)=0),"Item not in this shipment",IF(AND($H354&lt;&gt;"",COUNTIFS(tblCouriers[Courier],$H354,tblCouriers[Market],$B354)=0),"Courier not in this market","OK")))))))))))))))</f>
        <v>OK</v>
      </c>
    </row>
    <row r="355" customFormat="false" ht="15" hidden="false" customHeight="false" outlineLevel="0" collapsed="false">
      <c r="A355" s="27" t="n">
        <v>46233</v>
      </c>
      <c r="B355" s="26" t="s">
        <v>85</v>
      </c>
      <c r="C355" s="26" t="s">
        <v>142</v>
      </c>
      <c r="D355" s="26"/>
      <c r="E355" s="26" t="s">
        <v>104</v>
      </c>
      <c r="F355" s="28"/>
      <c r="G355" s="28" t="n">
        <v>17</v>
      </c>
      <c r="H355" s="26" t="s">
        <v>96</v>
      </c>
      <c r="I355" s="26"/>
      <c r="J355" s="26"/>
      <c r="K355" s="29" t="str">
        <f aca="false">IF($A355="","",IF(COUNTIFS(tblMoveTypes[Movement],$E355)=0,"Unknown movement type",IF(COUNTIF(tblShipment[Shipment ID],$C355)=0,"Unknown shipment",IF(COUNTIFS(tblShipment[Shipment ID],$C355,tblShipment[Market],$B355)=0,"Market does not match shipment",IF(AND(IFERROR(INDEX(tblMoveTypes[Item?],MATCH($E355,tblMoveTypes[Movement],0)),"?")="Yes",$D355=""),"Item needed",IF(AND(IFERROR(INDEX(tblMoveTypes[Item?],MATCH($E355,tblMoveTypes[Movement],0)),"?")="No",$D355&lt;&gt;""),"Leave Item blank",IF(AND(IFERROR(INDEX(tblMoveTypes[Courier?],MATCH($E355,tblMoveTypes[Movement],0)),"?")="Yes",$H355=""),"Courier needed",IF(AND(IFERROR(INDEX(tblMoveTypes[Courier?],MATCH($E355,tblMoveTypes[Movement],0)),"?")="No",$H355&lt;&gt;""),"Leave Courier blank",IF(AND(IFERROR(INDEX(tblMoveTypes[Orders?],MATCH($E355,tblMoveTypes[Movement],0)),"?")="Yes",$G355=""),"Orders needed",IF(AND(IFERROR(INDEX(tblMoveTypes[Orders?],MATCH($E355,tblMoveTypes[Movement],0)),"?")="No",$G355&lt;&gt;""),"Leave Orders blank",IF(AND(IFERROR(INDEX(tblMoveTypes[Reason?],MATCH($E355,tblMoveTypes[Movement],0)),"?")="Yes",$I355=""),"Reason needed",IF(AND(IFERROR(INDEX(tblMoveTypes[Qty?],MATCH($E355,tblMoveTypes[Movement],0)),"?")="Yes",N($F355)&lt;=0),"Qty needed",IF($A355&lt;_xlfn.MINIFS(tblShipment[Arrival Date],tblShipment[Shipment ID],$C355),"Date before arrival",IF(AND($D355&lt;&gt;"",COUNTIFS(tblShipment[Shipment ID],$C355,tblShipment[Item Code],$D355)=0),"Item not in this shipment",IF(AND($H355&lt;&gt;"",COUNTIFS(tblCouriers[Courier],$H355,tblCouriers[Market],$B355)=0),"Courier not in this market","OK")))))))))))))))</f>
        <v>OK</v>
      </c>
    </row>
    <row r="356" customFormat="false" ht="15" hidden="false" customHeight="false" outlineLevel="0" collapsed="false">
      <c r="A356" s="27" t="n">
        <v>46233</v>
      </c>
      <c r="B356" s="26" t="s">
        <v>85</v>
      </c>
      <c r="C356" s="26" t="s">
        <v>142</v>
      </c>
      <c r="D356" s="26"/>
      <c r="E356" s="26" t="s">
        <v>106</v>
      </c>
      <c r="F356" s="28" t="n">
        <v>58</v>
      </c>
      <c r="G356" s="28" t="n">
        <v>8</v>
      </c>
      <c r="H356" s="26" t="s">
        <v>96</v>
      </c>
      <c r="I356" s="26"/>
      <c r="J356" s="26"/>
      <c r="K356" s="29" t="str">
        <f aca="false">IF($A356="","",IF(COUNTIFS(tblMoveTypes[Movement],$E356)=0,"Unknown movement type",IF(COUNTIF(tblShipment[Shipment ID],$C356)=0,"Unknown shipment",IF(COUNTIFS(tblShipment[Shipment ID],$C356,tblShipment[Market],$B356)=0,"Market does not match shipment",IF(AND(IFERROR(INDEX(tblMoveTypes[Item?],MATCH($E356,tblMoveTypes[Movement],0)),"?")="Yes",$D356=""),"Item needed",IF(AND(IFERROR(INDEX(tblMoveTypes[Item?],MATCH($E356,tblMoveTypes[Movement],0)),"?")="No",$D356&lt;&gt;""),"Leave Item blank",IF(AND(IFERROR(INDEX(tblMoveTypes[Courier?],MATCH($E356,tblMoveTypes[Movement],0)),"?")="Yes",$H356=""),"Courier needed",IF(AND(IFERROR(INDEX(tblMoveTypes[Courier?],MATCH($E356,tblMoveTypes[Movement],0)),"?")="No",$H356&lt;&gt;""),"Leave Courier blank",IF(AND(IFERROR(INDEX(tblMoveTypes[Orders?],MATCH($E356,tblMoveTypes[Movement],0)),"?")="Yes",$G356=""),"Orders needed",IF(AND(IFERROR(INDEX(tblMoveTypes[Orders?],MATCH($E356,tblMoveTypes[Movement],0)),"?")="No",$G356&lt;&gt;""),"Leave Orders blank",IF(AND(IFERROR(INDEX(tblMoveTypes[Reason?],MATCH($E356,tblMoveTypes[Movement],0)),"?")="Yes",$I356=""),"Reason needed",IF(AND(IFERROR(INDEX(tblMoveTypes[Qty?],MATCH($E356,tblMoveTypes[Movement],0)),"?")="Yes",N($F356)&lt;=0),"Qty needed",IF($A356&lt;_xlfn.MINIFS(tblShipment[Arrival Date],tblShipment[Shipment ID],$C356),"Date before arrival",IF(AND($D356&lt;&gt;"",COUNTIFS(tblShipment[Shipment ID],$C356,tblShipment[Item Code],$D356)=0),"Item not in this shipment",IF(AND($H356&lt;&gt;"",COUNTIFS(tblCouriers[Courier],$H356,tblCouriers[Market],$B356)=0),"Courier not in this market","OK")))))))))))))))</f>
        <v>OK</v>
      </c>
    </row>
    <row r="357" customFormat="false" ht="15" hidden="false" customHeight="false" outlineLevel="0" collapsed="false">
      <c r="A357" s="27" t="n">
        <v>46233</v>
      </c>
      <c r="B357" s="26" t="s">
        <v>78</v>
      </c>
      <c r="C357" s="26" t="s">
        <v>133</v>
      </c>
      <c r="D357" s="26"/>
      <c r="E357" s="26" t="s">
        <v>106</v>
      </c>
      <c r="F357" s="28" t="n">
        <v>53</v>
      </c>
      <c r="G357" s="28" t="n">
        <v>8</v>
      </c>
      <c r="H357" s="26" t="s">
        <v>79</v>
      </c>
      <c r="I357" s="26"/>
      <c r="J357" s="26"/>
      <c r="K357" s="29" t="str">
        <f aca="false">IF($A357="","",IF(COUNTIFS(tblMoveTypes[Movement],$E357)=0,"Unknown movement type",IF(COUNTIF(tblShipment[Shipment ID],$C357)=0,"Unknown shipment",IF(COUNTIFS(tblShipment[Shipment ID],$C357,tblShipment[Market],$B357)=0,"Market does not match shipment",IF(AND(IFERROR(INDEX(tblMoveTypes[Item?],MATCH($E357,tblMoveTypes[Movement],0)),"?")="Yes",$D357=""),"Item needed",IF(AND(IFERROR(INDEX(tblMoveTypes[Item?],MATCH($E357,tblMoveTypes[Movement],0)),"?")="No",$D357&lt;&gt;""),"Leave Item blank",IF(AND(IFERROR(INDEX(tblMoveTypes[Courier?],MATCH($E357,tblMoveTypes[Movement],0)),"?")="Yes",$H357=""),"Courier needed",IF(AND(IFERROR(INDEX(tblMoveTypes[Courier?],MATCH($E357,tblMoveTypes[Movement],0)),"?")="No",$H357&lt;&gt;""),"Leave Courier blank",IF(AND(IFERROR(INDEX(tblMoveTypes[Orders?],MATCH($E357,tblMoveTypes[Movement],0)),"?")="Yes",$G357=""),"Orders needed",IF(AND(IFERROR(INDEX(tblMoveTypes[Orders?],MATCH($E357,tblMoveTypes[Movement],0)),"?")="No",$G357&lt;&gt;""),"Leave Orders blank",IF(AND(IFERROR(INDEX(tblMoveTypes[Reason?],MATCH($E357,tblMoveTypes[Movement],0)),"?")="Yes",$I357=""),"Reason needed",IF(AND(IFERROR(INDEX(tblMoveTypes[Qty?],MATCH($E357,tblMoveTypes[Movement],0)),"?")="Yes",N($F357)&lt;=0),"Qty needed",IF($A357&lt;_xlfn.MINIFS(tblShipment[Arrival Date],tblShipment[Shipment ID],$C357),"Date before arrival",IF(AND($D357&lt;&gt;"",COUNTIFS(tblShipment[Shipment ID],$C357,tblShipment[Item Code],$D357)=0),"Item not in this shipment",IF(AND($H357&lt;&gt;"",COUNTIFS(tblCouriers[Courier],$H357,tblCouriers[Market],$B357)=0),"Courier not in this market","OK")))))))))))))))</f>
        <v>OK</v>
      </c>
    </row>
    <row r="358" customFormat="false" ht="15" hidden="false" customHeight="false" outlineLevel="0" collapsed="false">
      <c r="A358" s="27" t="n">
        <v>46233</v>
      </c>
      <c r="B358" s="26" t="s">
        <v>78</v>
      </c>
      <c r="C358" s="26" t="s">
        <v>133</v>
      </c>
      <c r="D358" s="26" t="s">
        <v>94</v>
      </c>
      <c r="E358" s="26" t="s">
        <v>93</v>
      </c>
      <c r="F358" s="28" t="n">
        <v>5</v>
      </c>
      <c r="G358" s="28"/>
      <c r="H358" s="26" t="s">
        <v>79</v>
      </c>
      <c r="I358" s="26"/>
      <c r="J358" s="26"/>
      <c r="K358" s="29" t="str">
        <f aca="false">IF($A358="","",IF(COUNTIFS(tblMoveTypes[Movement],$E358)=0,"Unknown movement type",IF(COUNTIF(tblShipment[Shipment ID],$C358)=0,"Unknown shipment",IF(COUNTIFS(tblShipment[Shipment ID],$C358,tblShipment[Market],$B358)=0,"Market does not match shipment",IF(AND(IFERROR(INDEX(tblMoveTypes[Item?],MATCH($E358,tblMoveTypes[Movement],0)),"?")="Yes",$D358=""),"Item needed",IF(AND(IFERROR(INDEX(tblMoveTypes[Item?],MATCH($E358,tblMoveTypes[Movement],0)),"?")="No",$D358&lt;&gt;""),"Leave Item blank",IF(AND(IFERROR(INDEX(tblMoveTypes[Courier?],MATCH($E358,tblMoveTypes[Movement],0)),"?")="Yes",$H358=""),"Courier needed",IF(AND(IFERROR(INDEX(tblMoveTypes[Courier?],MATCH($E358,tblMoveTypes[Movement],0)),"?")="No",$H358&lt;&gt;""),"Leave Courier blank",IF(AND(IFERROR(INDEX(tblMoveTypes[Orders?],MATCH($E358,tblMoveTypes[Movement],0)),"?")="Yes",$G358=""),"Orders needed",IF(AND(IFERROR(INDEX(tblMoveTypes[Orders?],MATCH($E358,tblMoveTypes[Movement],0)),"?")="No",$G358&lt;&gt;""),"Leave Orders blank",IF(AND(IFERROR(INDEX(tblMoveTypes[Reason?],MATCH($E358,tblMoveTypes[Movement],0)),"?")="Yes",$I358=""),"Reason needed",IF(AND(IFERROR(INDEX(tblMoveTypes[Qty?],MATCH($E358,tblMoveTypes[Movement],0)),"?")="Yes",N($F358)&lt;=0),"Qty needed",IF($A358&lt;_xlfn.MINIFS(tblShipment[Arrival Date],tblShipment[Shipment ID],$C358),"Date before arrival",IF(AND($D358&lt;&gt;"",COUNTIFS(tblShipment[Shipment ID],$C358,tblShipment[Item Code],$D358)=0),"Item not in this shipment",IF(AND($H358&lt;&gt;"",COUNTIFS(tblCouriers[Courier],$H358,tblCouriers[Market],$B358)=0),"Courier not in this market","OK")))))))))))))))</f>
        <v>OK</v>
      </c>
    </row>
    <row r="359" customFormat="false" ht="15" hidden="false" customHeight="false" outlineLevel="0" collapsed="false">
      <c r="A359" s="27" t="n">
        <v>46233</v>
      </c>
      <c r="B359" s="26" t="s">
        <v>78</v>
      </c>
      <c r="C359" s="26" t="s">
        <v>133</v>
      </c>
      <c r="D359" s="26"/>
      <c r="E359" s="26" t="s">
        <v>104</v>
      </c>
      <c r="F359" s="28"/>
      <c r="G359" s="28" t="n">
        <v>1</v>
      </c>
      <c r="H359" s="26" t="s">
        <v>79</v>
      </c>
      <c r="I359" s="26"/>
      <c r="J359" s="26"/>
      <c r="K359" s="29" t="str">
        <f aca="false">IF($A359="","",IF(COUNTIFS(tblMoveTypes[Movement],$E359)=0,"Unknown movement type",IF(COUNTIF(tblShipment[Shipment ID],$C359)=0,"Unknown shipment",IF(COUNTIFS(tblShipment[Shipment ID],$C359,tblShipment[Market],$B359)=0,"Market does not match shipment",IF(AND(IFERROR(INDEX(tblMoveTypes[Item?],MATCH($E359,tblMoveTypes[Movement],0)),"?")="Yes",$D359=""),"Item needed",IF(AND(IFERROR(INDEX(tblMoveTypes[Item?],MATCH($E359,tblMoveTypes[Movement],0)),"?")="No",$D359&lt;&gt;""),"Leave Item blank",IF(AND(IFERROR(INDEX(tblMoveTypes[Courier?],MATCH($E359,tblMoveTypes[Movement],0)),"?")="Yes",$H359=""),"Courier needed",IF(AND(IFERROR(INDEX(tblMoveTypes[Courier?],MATCH($E359,tblMoveTypes[Movement],0)),"?")="No",$H359&lt;&gt;""),"Leave Courier blank",IF(AND(IFERROR(INDEX(tblMoveTypes[Orders?],MATCH($E359,tblMoveTypes[Movement],0)),"?")="Yes",$G359=""),"Orders needed",IF(AND(IFERROR(INDEX(tblMoveTypes[Orders?],MATCH($E359,tblMoveTypes[Movement],0)),"?")="No",$G359&lt;&gt;""),"Leave Orders blank",IF(AND(IFERROR(INDEX(tblMoveTypes[Reason?],MATCH($E359,tblMoveTypes[Movement],0)),"?")="Yes",$I359=""),"Reason needed",IF(AND(IFERROR(INDEX(tblMoveTypes[Qty?],MATCH($E359,tblMoveTypes[Movement],0)),"?")="Yes",N($F359)&lt;=0),"Qty needed",IF($A359&lt;_xlfn.MINIFS(tblShipment[Arrival Date],tblShipment[Shipment ID],$C359),"Date before arrival",IF(AND($D359&lt;&gt;"",COUNTIFS(tblShipment[Shipment ID],$C359,tblShipment[Item Code],$D359)=0),"Item not in this shipment",IF(AND($H359&lt;&gt;"",COUNTIFS(tblCouriers[Courier],$H359,tblCouriers[Market],$B359)=0),"Courier not in this market","OK")))))))))))))))</f>
        <v>OK</v>
      </c>
    </row>
    <row r="360" customFormat="false" ht="15" hidden="false" customHeight="false" outlineLevel="0" collapsed="false">
      <c r="A360" s="27" t="n">
        <v>46233</v>
      </c>
      <c r="B360" s="26" t="s">
        <v>78</v>
      </c>
      <c r="C360" s="26" t="s">
        <v>133</v>
      </c>
      <c r="D360" s="26" t="s">
        <v>99</v>
      </c>
      <c r="E360" s="26" t="s">
        <v>93</v>
      </c>
      <c r="F360" s="28" t="n">
        <v>5</v>
      </c>
      <c r="G360" s="28"/>
      <c r="H360" s="26" t="s">
        <v>79</v>
      </c>
      <c r="I360" s="26"/>
      <c r="J360" s="26"/>
      <c r="K360" s="29" t="str">
        <f aca="false">IF($A360="","",IF(COUNTIFS(tblMoveTypes[Movement],$E360)=0,"Unknown movement type",IF(COUNTIF(tblShipment[Shipment ID],$C360)=0,"Unknown shipment",IF(COUNTIFS(tblShipment[Shipment ID],$C360,tblShipment[Market],$B360)=0,"Market does not match shipment",IF(AND(IFERROR(INDEX(tblMoveTypes[Item?],MATCH($E360,tblMoveTypes[Movement],0)),"?")="Yes",$D360=""),"Item needed",IF(AND(IFERROR(INDEX(tblMoveTypes[Item?],MATCH($E360,tblMoveTypes[Movement],0)),"?")="No",$D360&lt;&gt;""),"Leave Item blank",IF(AND(IFERROR(INDEX(tblMoveTypes[Courier?],MATCH($E360,tblMoveTypes[Movement],0)),"?")="Yes",$H360=""),"Courier needed",IF(AND(IFERROR(INDEX(tblMoveTypes[Courier?],MATCH($E360,tblMoveTypes[Movement],0)),"?")="No",$H360&lt;&gt;""),"Leave Courier blank",IF(AND(IFERROR(INDEX(tblMoveTypes[Orders?],MATCH($E360,tblMoveTypes[Movement],0)),"?")="Yes",$G360=""),"Orders needed",IF(AND(IFERROR(INDEX(tblMoveTypes[Orders?],MATCH($E360,tblMoveTypes[Movement],0)),"?")="No",$G360&lt;&gt;""),"Leave Orders blank",IF(AND(IFERROR(INDEX(tblMoveTypes[Reason?],MATCH($E360,tblMoveTypes[Movement],0)),"?")="Yes",$I360=""),"Reason needed",IF(AND(IFERROR(INDEX(tblMoveTypes[Qty?],MATCH($E360,tblMoveTypes[Movement],0)),"?")="Yes",N($F360)&lt;=0),"Qty needed",IF($A360&lt;_xlfn.MINIFS(tblShipment[Arrival Date],tblShipment[Shipment ID],$C360),"Date before arrival",IF(AND($D360&lt;&gt;"",COUNTIFS(tblShipment[Shipment ID],$C360,tblShipment[Item Code],$D360)=0),"Item not in this shipment",IF(AND($H360&lt;&gt;"",COUNTIFS(tblCouriers[Courier],$H360,tblCouriers[Market],$B360)=0),"Courier not in this market","OK")))))))))))))))</f>
        <v>OK</v>
      </c>
    </row>
    <row r="361" customFormat="false" ht="15" hidden="false" customHeight="false" outlineLevel="0" collapsed="false">
      <c r="A361" s="27" t="n">
        <v>46233</v>
      </c>
      <c r="B361" s="26" t="s">
        <v>78</v>
      </c>
      <c r="C361" s="26" t="s">
        <v>133</v>
      </c>
      <c r="D361" s="26"/>
      <c r="E361" s="26" t="s">
        <v>104</v>
      </c>
      <c r="F361" s="28"/>
      <c r="G361" s="28" t="n">
        <v>1</v>
      </c>
      <c r="H361" s="26" t="s">
        <v>79</v>
      </c>
      <c r="I361" s="26"/>
      <c r="J361" s="26"/>
      <c r="K361" s="29" t="str">
        <f aca="false">IF($A361="","",IF(COUNTIFS(tblMoveTypes[Movement],$E361)=0,"Unknown movement type",IF(COUNTIF(tblShipment[Shipment ID],$C361)=0,"Unknown shipment",IF(COUNTIFS(tblShipment[Shipment ID],$C361,tblShipment[Market],$B361)=0,"Market does not match shipment",IF(AND(IFERROR(INDEX(tblMoveTypes[Item?],MATCH($E361,tblMoveTypes[Movement],0)),"?")="Yes",$D361=""),"Item needed",IF(AND(IFERROR(INDEX(tblMoveTypes[Item?],MATCH($E361,tblMoveTypes[Movement],0)),"?")="No",$D361&lt;&gt;""),"Leave Item blank",IF(AND(IFERROR(INDEX(tblMoveTypes[Courier?],MATCH($E361,tblMoveTypes[Movement],0)),"?")="Yes",$H361=""),"Courier needed",IF(AND(IFERROR(INDEX(tblMoveTypes[Courier?],MATCH($E361,tblMoveTypes[Movement],0)),"?")="No",$H361&lt;&gt;""),"Leave Courier blank",IF(AND(IFERROR(INDEX(tblMoveTypes[Orders?],MATCH($E361,tblMoveTypes[Movement],0)),"?")="Yes",$G361=""),"Orders needed",IF(AND(IFERROR(INDEX(tblMoveTypes[Orders?],MATCH($E361,tblMoveTypes[Movement],0)),"?")="No",$G361&lt;&gt;""),"Leave Orders blank",IF(AND(IFERROR(INDEX(tblMoveTypes[Reason?],MATCH($E361,tblMoveTypes[Movement],0)),"?")="Yes",$I361=""),"Reason needed",IF(AND(IFERROR(INDEX(tblMoveTypes[Qty?],MATCH($E361,tblMoveTypes[Movement],0)),"?")="Yes",N($F361)&lt;=0),"Qty needed",IF($A361&lt;_xlfn.MINIFS(tblShipment[Arrival Date],tblShipment[Shipment ID],$C361),"Date before arrival",IF(AND($D361&lt;&gt;"",COUNTIFS(tblShipment[Shipment ID],$C361,tblShipment[Item Code],$D361)=0),"Item not in this shipment",IF(AND($H361&lt;&gt;"",COUNTIFS(tblCouriers[Courier],$H361,tblCouriers[Market],$B361)=0),"Courier not in this market","OK")))))))))))))))</f>
        <v>OK</v>
      </c>
    </row>
    <row r="362" customFormat="false" ht="15" hidden="false" customHeight="false" outlineLevel="0" collapsed="false">
      <c r="A362" s="27" t="n">
        <v>46233</v>
      </c>
      <c r="B362" s="26" t="s">
        <v>78</v>
      </c>
      <c r="C362" s="26" t="s">
        <v>134</v>
      </c>
      <c r="D362" s="26" t="s">
        <v>76</v>
      </c>
      <c r="E362" s="26" t="s">
        <v>74</v>
      </c>
      <c r="F362" s="28" t="n">
        <v>60</v>
      </c>
      <c r="G362" s="28"/>
      <c r="H362" s="26"/>
      <c r="I362" s="26"/>
      <c r="J362" s="26"/>
      <c r="K362" s="29" t="str">
        <f aca="false">IF($A362="","",IF(COUNTIFS(tblMoveTypes[Movement],$E362)=0,"Unknown movement type",IF(COUNTIF(tblShipment[Shipment ID],$C362)=0,"Unknown shipment",IF(COUNTIFS(tblShipment[Shipment ID],$C362,tblShipment[Market],$B362)=0,"Market does not match shipment",IF(AND(IFERROR(INDEX(tblMoveTypes[Item?],MATCH($E362,tblMoveTypes[Movement],0)),"?")="Yes",$D362=""),"Item needed",IF(AND(IFERROR(INDEX(tblMoveTypes[Item?],MATCH($E362,tblMoveTypes[Movement],0)),"?")="No",$D362&lt;&gt;""),"Leave Item blank",IF(AND(IFERROR(INDEX(tblMoveTypes[Courier?],MATCH($E362,tblMoveTypes[Movement],0)),"?")="Yes",$H362=""),"Courier needed",IF(AND(IFERROR(INDEX(tblMoveTypes[Courier?],MATCH($E362,tblMoveTypes[Movement],0)),"?")="No",$H362&lt;&gt;""),"Leave Courier blank",IF(AND(IFERROR(INDEX(tblMoveTypes[Orders?],MATCH($E362,tblMoveTypes[Movement],0)),"?")="Yes",$G362=""),"Orders needed",IF(AND(IFERROR(INDEX(tblMoveTypes[Orders?],MATCH($E362,tblMoveTypes[Movement],0)),"?")="No",$G362&lt;&gt;""),"Leave Orders blank",IF(AND(IFERROR(INDEX(tblMoveTypes[Reason?],MATCH($E362,tblMoveTypes[Movement],0)),"?")="Yes",$I362=""),"Reason needed",IF(AND(IFERROR(INDEX(tblMoveTypes[Qty?],MATCH($E362,tblMoveTypes[Movement],0)),"?")="Yes",N($F362)&lt;=0),"Qty needed",IF($A362&lt;_xlfn.MINIFS(tblShipment[Arrival Date],tblShipment[Shipment ID],$C362),"Date before arrival",IF(AND($D362&lt;&gt;"",COUNTIFS(tblShipment[Shipment ID],$C362,tblShipment[Item Code],$D362)=0),"Item not in this shipment",IF(AND($H362&lt;&gt;"",COUNTIFS(tblCouriers[Courier],$H362,tblCouriers[Market],$B362)=0),"Courier not in this market","OK")))))))))))))))</f>
        <v>OK</v>
      </c>
    </row>
    <row r="363" customFormat="false" ht="15" hidden="false" customHeight="false" outlineLevel="0" collapsed="false">
      <c r="A363" s="27" t="n">
        <v>46233</v>
      </c>
      <c r="B363" s="26" t="s">
        <v>78</v>
      </c>
      <c r="C363" s="26" t="s">
        <v>134</v>
      </c>
      <c r="D363" s="26" t="s">
        <v>99</v>
      </c>
      <c r="E363" s="26" t="s">
        <v>74</v>
      </c>
      <c r="F363" s="28" t="n">
        <v>80</v>
      </c>
      <c r="G363" s="28"/>
      <c r="H363" s="26"/>
      <c r="I363" s="26"/>
      <c r="J363" s="26"/>
      <c r="K363" s="29" t="str">
        <f aca="false">IF($A363="","",IF(COUNTIFS(tblMoveTypes[Movement],$E363)=0,"Unknown movement type",IF(COUNTIF(tblShipment[Shipment ID],$C363)=0,"Unknown shipment",IF(COUNTIFS(tblShipment[Shipment ID],$C363,tblShipment[Market],$B363)=0,"Market does not match shipment",IF(AND(IFERROR(INDEX(tblMoveTypes[Item?],MATCH($E363,tblMoveTypes[Movement],0)),"?")="Yes",$D363=""),"Item needed",IF(AND(IFERROR(INDEX(tblMoveTypes[Item?],MATCH($E363,tblMoveTypes[Movement],0)),"?")="No",$D363&lt;&gt;""),"Leave Item blank",IF(AND(IFERROR(INDEX(tblMoveTypes[Courier?],MATCH($E363,tblMoveTypes[Movement],0)),"?")="Yes",$H363=""),"Courier needed",IF(AND(IFERROR(INDEX(tblMoveTypes[Courier?],MATCH($E363,tblMoveTypes[Movement],0)),"?")="No",$H363&lt;&gt;""),"Leave Courier blank",IF(AND(IFERROR(INDEX(tblMoveTypes[Orders?],MATCH($E363,tblMoveTypes[Movement],0)),"?")="Yes",$G363=""),"Orders needed",IF(AND(IFERROR(INDEX(tblMoveTypes[Orders?],MATCH($E363,tblMoveTypes[Movement],0)),"?")="No",$G363&lt;&gt;""),"Leave Orders blank",IF(AND(IFERROR(INDEX(tblMoveTypes[Reason?],MATCH($E363,tblMoveTypes[Movement],0)),"?")="Yes",$I363=""),"Reason needed",IF(AND(IFERROR(INDEX(tblMoveTypes[Qty?],MATCH($E363,tblMoveTypes[Movement],0)),"?")="Yes",N($F363)&lt;=0),"Qty needed",IF($A363&lt;_xlfn.MINIFS(tblShipment[Arrival Date],tblShipment[Shipment ID],$C363),"Date before arrival",IF(AND($D363&lt;&gt;"",COUNTIFS(tblShipment[Shipment ID],$C363,tblShipment[Item Code],$D363)=0),"Item not in this shipment",IF(AND($H363&lt;&gt;"",COUNTIFS(tblCouriers[Courier],$H363,tblCouriers[Market],$B363)=0),"Courier not in this market","OK")))))))))))))))</f>
        <v>OK</v>
      </c>
    </row>
    <row r="364" customFormat="false" ht="15" hidden="false" customHeight="false" outlineLevel="0" collapsed="false">
      <c r="A364" s="27" t="n">
        <v>46233</v>
      </c>
      <c r="B364" s="26" t="s">
        <v>78</v>
      </c>
      <c r="C364" s="26" t="s">
        <v>134</v>
      </c>
      <c r="D364" s="26" t="s">
        <v>88</v>
      </c>
      <c r="E364" s="26" t="s">
        <v>74</v>
      </c>
      <c r="F364" s="28" t="n">
        <v>50</v>
      </c>
      <c r="G364" s="28"/>
      <c r="H364" s="26"/>
      <c r="I364" s="26"/>
      <c r="J364" s="26"/>
      <c r="K364" s="29" t="str">
        <f aca="false">IF($A364="","",IF(COUNTIFS(tblMoveTypes[Movement],$E364)=0,"Unknown movement type",IF(COUNTIF(tblShipment[Shipment ID],$C364)=0,"Unknown shipment",IF(COUNTIFS(tblShipment[Shipment ID],$C364,tblShipment[Market],$B364)=0,"Market does not match shipment",IF(AND(IFERROR(INDEX(tblMoveTypes[Item?],MATCH($E364,tblMoveTypes[Movement],0)),"?")="Yes",$D364=""),"Item needed",IF(AND(IFERROR(INDEX(tblMoveTypes[Item?],MATCH($E364,tblMoveTypes[Movement],0)),"?")="No",$D364&lt;&gt;""),"Leave Item blank",IF(AND(IFERROR(INDEX(tblMoveTypes[Courier?],MATCH($E364,tblMoveTypes[Movement],0)),"?")="Yes",$H364=""),"Courier needed",IF(AND(IFERROR(INDEX(tblMoveTypes[Courier?],MATCH($E364,tblMoveTypes[Movement],0)),"?")="No",$H364&lt;&gt;""),"Leave Courier blank",IF(AND(IFERROR(INDEX(tblMoveTypes[Orders?],MATCH($E364,tblMoveTypes[Movement],0)),"?")="Yes",$G364=""),"Orders needed",IF(AND(IFERROR(INDEX(tblMoveTypes[Orders?],MATCH($E364,tblMoveTypes[Movement],0)),"?")="No",$G364&lt;&gt;""),"Leave Orders blank",IF(AND(IFERROR(INDEX(tblMoveTypes[Reason?],MATCH($E364,tblMoveTypes[Movement],0)),"?")="Yes",$I364=""),"Reason needed",IF(AND(IFERROR(INDEX(tblMoveTypes[Qty?],MATCH($E364,tblMoveTypes[Movement],0)),"?")="Yes",N($F364)&lt;=0),"Qty needed",IF($A364&lt;_xlfn.MINIFS(tblShipment[Arrival Date],tblShipment[Shipment ID],$C364),"Date before arrival",IF(AND($D364&lt;&gt;"",COUNTIFS(tblShipment[Shipment ID],$C364,tblShipment[Item Code],$D364)=0),"Item not in this shipment",IF(AND($H364&lt;&gt;"",COUNTIFS(tblCouriers[Courier],$H364,tblCouriers[Market],$B364)=0),"Courier not in this market","OK")))))))))))))))</f>
        <v>OK</v>
      </c>
    </row>
    <row r="365" customFormat="false" ht="15" hidden="false" customHeight="false" outlineLevel="0" collapsed="false">
      <c r="A365" s="27" t="n">
        <v>46233</v>
      </c>
      <c r="B365" s="26" t="s">
        <v>78</v>
      </c>
      <c r="C365" s="26" t="s">
        <v>134</v>
      </c>
      <c r="D365" s="26" t="s">
        <v>83</v>
      </c>
      <c r="E365" s="26" t="s">
        <v>74</v>
      </c>
      <c r="F365" s="28" t="n">
        <v>60</v>
      </c>
      <c r="G365" s="28"/>
      <c r="H365" s="26"/>
      <c r="I365" s="26"/>
      <c r="J365" s="26"/>
      <c r="K365" s="29" t="str">
        <f aca="false">IF($A365="","",IF(COUNTIFS(tblMoveTypes[Movement],$E365)=0,"Unknown movement type",IF(COUNTIF(tblShipment[Shipment ID],$C365)=0,"Unknown shipment",IF(COUNTIFS(tblShipment[Shipment ID],$C365,tblShipment[Market],$B365)=0,"Market does not match shipment",IF(AND(IFERROR(INDEX(tblMoveTypes[Item?],MATCH($E365,tblMoveTypes[Movement],0)),"?")="Yes",$D365=""),"Item needed",IF(AND(IFERROR(INDEX(tblMoveTypes[Item?],MATCH($E365,tblMoveTypes[Movement],0)),"?")="No",$D365&lt;&gt;""),"Leave Item blank",IF(AND(IFERROR(INDEX(tblMoveTypes[Courier?],MATCH($E365,tblMoveTypes[Movement],0)),"?")="Yes",$H365=""),"Courier needed",IF(AND(IFERROR(INDEX(tblMoveTypes[Courier?],MATCH($E365,tblMoveTypes[Movement],0)),"?")="No",$H365&lt;&gt;""),"Leave Courier blank",IF(AND(IFERROR(INDEX(tblMoveTypes[Orders?],MATCH($E365,tblMoveTypes[Movement],0)),"?")="Yes",$G365=""),"Orders needed",IF(AND(IFERROR(INDEX(tblMoveTypes[Orders?],MATCH($E365,tblMoveTypes[Movement],0)),"?")="No",$G365&lt;&gt;""),"Leave Orders blank",IF(AND(IFERROR(INDEX(tblMoveTypes[Reason?],MATCH($E365,tblMoveTypes[Movement],0)),"?")="Yes",$I365=""),"Reason needed",IF(AND(IFERROR(INDEX(tblMoveTypes[Qty?],MATCH($E365,tblMoveTypes[Movement],0)),"?")="Yes",N($F365)&lt;=0),"Qty needed",IF($A365&lt;_xlfn.MINIFS(tblShipment[Arrival Date],tblShipment[Shipment ID],$C365),"Date before arrival",IF(AND($D365&lt;&gt;"",COUNTIFS(tblShipment[Shipment ID],$C365,tblShipment[Item Code],$D365)=0),"Item not in this shipment",IF(AND($H365&lt;&gt;"",COUNTIFS(tblCouriers[Courier],$H365,tblCouriers[Market],$B365)=0),"Courier not in this market","OK")))))))))))))))</f>
        <v>OK</v>
      </c>
    </row>
    <row r="366" customFormat="false" ht="15" hidden="false" customHeight="false" outlineLevel="0" collapsed="false">
      <c r="A366" s="27" t="n">
        <v>46233</v>
      </c>
      <c r="B366" s="26" t="s">
        <v>78</v>
      </c>
      <c r="C366" s="26" t="s">
        <v>134</v>
      </c>
      <c r="D366" s="26" t="s">
        <v>94</v>
      </c>
      <c r="E366" s="26" t="s">
        <v>74</v>
      </c>
      <c r="F366" s="28" t="n">
        <v>60</v>
      </c>
      <c r="G366" s="28"/>
      <c r="H366" s="26"/>
      <c r="I366" s="26"/>
      <c r="J366" s="26"/>
      <c r="K366" s="29" t="str">
        <f aca="false">IF($A366="","",IF(COUNTIFS(tblMoveTypes[Movement],$E366)=0,"Unknown movement type",IF(COUNTIF(tblShipment[Shipment ID],$C366)=0,"Unknown shipment",IF(COUNTIFS(tblShipment[Shipment ID],$C366,tblShipment[Market],$B366)=0,"Market does not match shipment",IF(AND(IFERROR(INDEX(tblMoveTypes[Item?],MATCH($E366,tblMoveTypes[Movement],0)),"?")="Yes",$D366=""),"Item needed",IF(AND(IFERROR(INDEX(tblMoveTypes[Item?],MATCH($E366,tblMoveTypes[Movement],0)),"?")="No",$D366&lt;&gt;""),"Leave Item blank",IF(AND(IFERROR(INDEX(tblMoveTypes[Courier?],MATCH($E366,tblMoveTypes[Movement],0)),"?")="Yes",$H366=""),"Courier needed",IF(AND(IFERROR(INDEX(tblMoveTypes[Courier?],MATCH($E366,tblMoveTypes[Movement],0)),"?")="No",$H366&lt;&gt;""),"Leave Courier blank",IF(AND(IFERROR(INDEX(tblMoveTypes[Orders?],MATCH($E366,tblMoveTypes[Movement],0)),"?")="Yes",$G366=""),"Orders needed",IF(AND(IFERROR(INDEX(tblMoveTypes[Orders?],MATCH($E366,tblMoveTypes[Movement],0)),"?")="No",$G366&lt;&gt;""),"Leave Orders blank",IF(AND(IFERROR(INDEX(tblMoveTypes[Reason?],MATCH($E366,tblMoveTypes[Movement],0)),"?")="Yes",$I366=""),"Reason needed",IF(AND(IFERROR(INDEX(tblMoveTypes[Qty?],MATCH($E366,tblMoveTypes[Movement],0)),"?")="Yes",N($F366)&lt;=0),"Qty needed",IF($A366&lt;_xlfn.MINIFS(tblShipment[Arrival Date],tblShipment[Shipment ID],$C366),"Date before arrival",IF(AND($D366&lt;&gt;"",COUNTIFS(tblShipment[Shipment ID],$C366,tblShipment[Item Code],$D366)=0),"Item not in this shipment",IF(AND($H366&lt;&gt;"",COUNTIFS(tblCouriers[Courier],$H366,tblCouriers[Market],$B366)=0),"Courier not in this market","OK")))))))))))))))</f>
        <v>OK</v>
      </c>
    </row>
    <row r="367" customFormat="false" ht="15" hidden="false" customHeight="false" outlineLevel="0" collapsed="false">
      <c r="A367" s="27" t="n">
        <v>46233</v>
      </c>
      <c r="B367" s="26" t="s">
        <v>78</v>
      </c>
      <c r="C367" s="26" t="s">
        <v>134</v>
      </c>
      <c r="D367" s="26"/>
      <c r="E367" s="26" t="s">
        <v>98</v>
      </c>
      <c r="F367" s="28"/>
      <c r="G367" s="28" t="n">
        <v>44</v>
      </c>
      <c r="H367" s="26"/>
      <c r="I367" s="26"/>
      <c r="J367" s="26"/>
      <c r="K367" s="29" t="str">
        <f aca="false">IF($A367="","",IF(COUNTIFS(tblMoveTypes[Movement],$E367)=0,"Unknown movement type",IF(COUNTIF(tblShipment[Shipment ID],$C367)=0,"Unknown shipment",IF(COUNTIFS(tblShipment[Shipment ID],$C367,tblShipment[Market],$B367)=0,"Market does not match shipment",IF(AND(IFERROR(INDEX(tblMoveTypes[Item?],MATCH($E367,tblMoveTypes[Movement],0)),"?")="Yes",$D367=""),"Item needed",IF(AND(IFERROR(INDEX(tblMoveTypes[Item?],MATCH($E367,tblMoveTypes[Movement],0)),"?")="No",$D367&lt;&gt;""),"Leave Item blank",IF(AND(IFERROR(INDEX(tblMoveTypes[Courier?],MATCH($E367,tblMoveTypes[Movement],0)),"?")="Yes",$H367=""),"Courier needed",IF(AND(IFERROR(INDEX(tblMoveTypes[Courier?],MATCH($E367,tblMoveTypes[Movement],0)),"?")="No",$H367&lt;&gt;""),"Leave Courier blank",IF(AND(IFERROR(INDEX(tblMoveTypes[Orders?],MATCH($E367,tblMoveTypes[Movement],0)),"?")="Yes",$G367=""),"Orders needed",IF(AND(IFERROR(INDEX(tblMoveTypes[Orders?],MATCH($E367,tblMoveTypes[Movement],0)),"?")="No",$G367&lt;&gt;""),"Leave Orders blank",IF(AND(IFERROR(INDEX(tblMoveTypes[Reason?],MATCH($E367,tblMoveTypes[Movement],0)),"?")="Yes",$I367=""),"Reason needed",IF(AND(IFERROR(INDEX(tblMoveTypes[Qty?],MATCH($E367,tblMoveTypes[Movement],0)),"?")="Yes",N($F367)&lt;=0),"Qty needed",IF($A367&lt;_xlfn.MINIFS(tblShipment[Arrival Date],tblShipment[Shipment ID],$C367),"Date before arrival",IF(AND($D367&lt;&gt;"",COUNTIFS(tblShipment[Shipment ID],$C367,tblShipment[Item Code],$D367)=0),"Item not in this shipment",IF(AND($H367&lt;&gt;"",COUNTIFS(tblCouriers[Courier],$H367,tblCouriers[Market],$B367)=0),"Courier not in this market","OK")))))))))))))))</f>
        <v>OK</v>
      </c>
    </row>
    <row r="368" customFormat="false" ht="15" hidden="false" customHeight="false" outlineLevel="0" collapsed="false">
      <c r="A368" s="27" t="n">
        <v>46233</v>
      </c>
      <c r="B368" s="26" t="s">
        <v>78</v>
      </c>
      <c r="C368" s="26" t="s">
        <v>134</v>
      </c>
      <c r="D368" s="26" t="s">
        <v>76</v>
      </c>
      <c r="E368" s="26" t="s">
        <v>73</v>
      </c>
      <c r="F368" s="28" t="n">
        <v>3</v>
      </c>
      <c r="G368" s="28"/>
      <c r="H368" s="26"/>
      <c r="I368" s="26" t="s">
        <v>87</v>
      </c>
      <c r="J368" s="26"/>
      <c r="K368" s="29" t="str">
        <f aca="false">IF($A368="","",IF(COUNTIFS(tblMoveTypes[Movement],$E368)=0,"Unknown movement type",IF(COUNTIF(tblShipment[Shipment ID],$C368)=0,"Unknown shipment",IF(COUNTIFS(tblShipment[Shipment ID],$C368,tblShipment[Market],$B368)=0,"Market does not match shipment",IF(AND(IFERROR(INDEX(tblMoveTypes[Item?],MATCH($E368,tblMoveTypes[Movement],0)),"?")="Yes",$D368=""),"Item needed",IF(AND(IFERROR(INDEX(tblMoveTypes[Item?],MATCH($E368,tblMoveTypes[Movement],0)),"?")="No",$D368&lt;&gt;""),"Leave Item blank",IF(AND(IFERROR(INDEX(tblMoveTypes[Courier?],MATCH($E368,tblMoveTypes[Movement],0)),"?")="Yes",$H368=""),"Courier needed",IF(AND(IFERROR(INDEX(tblMoveTypes[Courier?],MATCH($E368,tblMoveTypes[Movement],0)),"?")="No",$H368&lt;&gt;""),"Leave Courier blank",IF(AND(IFERROR(INDEX(tblMoveTypes[Orders?],MATCH($E368,tblMoveTypes[Movement],0)),"?")="Yes",$G368=""),"Orders needed",IF(AND(IFERROR(INDEX(tblMoveTypes[Orders?],MATCH($E368,tblMoveTypes[Movement],0)),"?")="No",$G368&lt;&gt;""),"Leave Orders blank",IF(AND(IFERROR(INDEX(tblMoveTypes[Reason?],MATCH($E368,tblMoveTypes[Movement],0)),"?")="Yes",$I368=""),"Reason needed",IF(AND(IFERROR(INDEX(tblMoveTypes[Qty?],MATCH($E368,tblMoveTypes[Movement],0)),"?")="Yes",N($F368)&lt;=0),"Qty needed",IF($A368&lt;_xlfn.MINIFS(tblShipment[Arrival Date],tblShipment[Shipment ID],$C368),"Date before arrival",IF(AND($D368&lt;&gt;"",COUNTIFS(tblShipment[Shipment ID],$C368,tblShipment[Item Code],$D368)=0),"Item not in this shipment",IF(AND($H368&lt;&gt;"",COUNTIFS(tblCouriers[Courier],$H368,tblCouriers[Market],$B368)=0),"Courier not in this market","OK")))))))))))))))</f>
        <v>OK</v>
      </c>
    </row>
    <row r="369" customFormat="false" ht="15" hidden="false" customHeight="false" outlineLevel="0" collapsed="false">
      <c r="A369" s="27" t="n">
        <v>46233</v>
      </c>
      <c r="B369" s="26" t="s">
        <v>78</v>
      </c>
      <c r="C369" s="26" t="s">
        <v>134</v>
      </c>
      <c r="D369" s="26" t="s">
        <v>99</v>
      </c>
      <c r="E369" s="26" t="s">
        <v>73</v>
      </c>
      <c r="F369" s="28" t="n">
        <v>3</v>
      </c>
      <c r="G369" s="28"/>
      <c r="H369" s="26"/>
      <c r="I369" s="26" t="s">
        <v>80</v>
      </c>
      <c r="J369" s="26"/>
      <c r="K369" s="29" t="str">
        <f aca="false">IF($A369="","",IF(COUNTIFS(tblMoveTypes[Movement],$E369)=0,"Unknown movement type",IF(COUNTIF(tblShipment[Shipment ID],$C369)=0,"Unknown shipment",IF(COUNTIFS(tblShipment[Shipment ID],$C369,tblShipment[Market],$B369)=0,"Market does not match shipment",IF(AND(IFERROR(INDEX(tblMoveTypes[Item?],MATCH($E369,tblMoveTypes[Movement],0)),"?")="Yes",$D369=""),"Item needed",IF(AND(IFERROR(INDEX(tblMoveTypes[Item?],MATCH($E369,tblMoveTypes[Movement],0)),"?")="No",$D369&lt;&gt;""),"Leave Item blank",IF(AND(IFERROR(INDEX(tblMoveTypes[Courier?],MATCH($E369,tblMoveTypes[Movement],0)),"?")="Yes",$H369=""),"Courier needed",IF(AND(IFERROR(INDEX(tblMoveTypes[Courier?],MATCH($E369,tblMoveTypes[Movement],0)),"?")="No",$H369&lt;&gt;""),"Leave Courier blank",IF(AND(IFERROR(INDEX(tblMoveTypes[Orders?],MATCH($E369,tblMoveTypes[Movement],0)),"?")="Yes",$G369=""),"Orders needed",IF(AND(IFERROR(INDEX(tblMoveTypes[Orders?],MATCH($E369,tblMoveTypes[Movement],0)),"?")="No",$G369&lt;&gt;""),"Leave Orders blank",IF(AND(IFERROR(INDEX(tblMoveTypes[Reason?],MATCH($E369,tblMoveTypes[Movement],0)),"?")="Yes",$I369=""),"Reason needed",IF(AND(IFERROR(INDEX(tblMoveTypes[Qty?],MATCH($E369,tblMoveTypes[Movement],0)),"?")="Yes",N($F369)&lt;=0),"Qty needed",IF($A369&lt;_xlfn.MINIFS(tblShipment[Arrival Date],tblShipment[Shipment ID],$C369),"Date before arrival",IF(AND($D369&lt;&gt;"",COUNTIFS(tblShipment[Shipment ID],$C369,tblShipment[Item Code],$D369)=0),"Item not in this shipment",IF(AND($H369&lt;&gt;"",COUNTIFS(tblCouriers[Courier],$H369,tblCouriers[Market],$B369)=0),"Courier not in this market","OK")))))))))))))))</f>
        <v>OK</v>
      </c>
    </row>
    <row r="370" customFormat="false" ht="15" hidden="false" customHeight="false" outlineLevel="0" collapsed="false">
      <c r="A370" s="27" t="n">
        <v>46233</v>
      </c>
      <c r="B370" s="26" t="s">
        <v>78</v>
      </c>
      <c r="C370" s="26" t="s">
        <v>134</v>
      </c>
      <c r="D370" s="26" t="s">
        <v>88</v>
      </c>
      <c r="E370" s="26" t="s">
        <v>73</v>
      </c>
      <c r="F370" s="28" t="n">
        <v>2</v>
      </c>
      <c r="G370" s="28"/>
      <c r="H370" s="26"/>
      <c r="I370" s="26" t="s">
        <v>72</v>
      </c>
      <c r="J370" s="26"/>
      <c r="K370" s="29" t="str">
        <f aca="false">IF($A370="","",IF(COUNTIFS(tblMoveTypes[Movement],$E370)=0,"Unknown movement type",IF(COUNTIF(tblShipment[Shipment ID],$C370)=0,"Unknown shipment",IF(COUNTIFS(tblShipment[Shipment ID],$C370,tblShipment[Market],$B370)=0,"Market does not match shipment",IF(AND(IFERROR(INDEX(tblMoveTypes[Item?],MATCH($E370,tblMoveTypes[Movement],0)),"?")="Yes",$D370=""),"Item needed",IF(AND(IFERROR(INDEX(tblMoveTypes[Item?],MATCH($E370,tblMoveTypes[Movement],0)),"?")="No",$D370&lt;&gt;""),"Leave Item blank",IF(AND(IFERROR(INDEX(tblMoveTypes[Courier?],MATCH($E370,tblMoveTypes[Movement],0)),"?")="Yes",$H370=""),"Courier needed",IF(AND(IFERROR(INDEX(tblMoveTypes[Courier?],MATCH($E370,tblMoveTypes[Movement],0)),"?")="No",$H370&lt;&gt;""),"Leave Courier blank",IF(AND(IFERROR(INDEX(tblMoveTypes[Orders?],MATCH($E370,tblMoveTypes[Movement],0)),"?")="Yes",$G370=""),"Orders needed",IF(AND(IFERROR(INDEX(tblMoveTypes[Orders?],MATCH($E370,tblMoveTypes[Movement],0)),"?")="No",$G370&lt;&gt;""),"Leave Orders blank",IF(AND(IFERROR(INDEX(tblMoveTypes[Reason?],MATCH($E370,tblMoveTypes[Movement],0)),"?")="Yes",$I370=""),"Reason needed",IF(AND(IFERROR(INDEX(tblMoveTypes[Qty?],MATCH($E370,tblMoveTypes[Movement],0)),"?")="Yes",N($F370)&lt;=0),"Qty needed",IF($A370&lt;_xlfn.MINIFS(tblShipment[Arrival Date],tblShipment[Shipment ID],$C370),"Date before arrival",IF(AND($D370&lt;&gt;"",COUNTIFS(tblShipment[Shipment ID],$C370,tblShipment[Item Code],$D370)=0),"Item not in this shipment",IF(AND($H370&lt;&gt;"",COUNTIFS(tblCouriers[Courier],$H370,tblCouriers[Market],$B370)=0),"Courier not in this market","OK")))))))))))))))</f>
        <v>OK</v>
      </c>
    </row>
    <row r="371" customFormat="false" ht="15" hidden="false" customHeight="false" outlineLevel="0" collapsed="false">
      <c r="A371" s="27" t="n">
        <v>46233</v>
      </c>
      <c r="B371" s="26" t="s">
        <v>78</v>
      </c>
      <c r="C371" s="26" t="s">
        <v>134</v>
      </c>
      <c r="D371" s="26" t="s">
        <v>83</v>
      </c>
      <c r="E371" s="26" t="s">
        <v>73</v>
      </c>
      <c r="F371" s="28" t="n">
        <v>2</v>
      </c>
      <c r="G371" s="28"/>
      <c r="H371" s="26"/>
      <c r="I371" s="26" t="s">
        <v>80</v>
      </c>
      <c r="J371" s="26"/>
      <c r="K371" s="29" t="str">
        <f aca="false">IF($A371="","",IF(COUNTIFS(tblMoveTypes[Movement],$E371)=0,"Unknown movement type",IF(COUNTIF(tblShipment[Shipment ID],$C371)=0,"Unknown shipment",IF(COUNTIFS(tblShipment[Shipment ID],$C371,tblShipment[Market],$B371)=0,"Market does not match shipment",IF(AND(IFERROR(INDEX(tblMoveTypes[Item?],MATCH($E371,tblMoveTypes[Movement],0)),"?")="Yes",$D371=""),"Item needed",IF(AND(IFERROR(INDEX(tblMoveTypes[Item?],MATCH($E371,tblMoveTypes[Movement],0)),"?")="No",$D371&lt;&gt;""),"Leave Item blank",IF(AND(IFERROR(INDEX(tblMoveTypes[Courier?],MATCH($E371,tblMoveTypes[Movement],0)),"?")="Yes",$H371=""),"Courier needed",IF(AND(IFERROR(INDEX(tblMoveTypes[Courier?],MATCH($E371,tblMoveTypes[Movement],0)),"?")="No",$H371&lt;&gt;""),"Leave Courier blank",IF(AND(IFERROR(INDEX(tblMoveTypes[Orders?],MATCH($E371,tblMoveTypes[Movement],0)),"?")="Yes",$G371=""),"Orders needed",IF(AND(IFERROR(INDEX(tblMoveTypes[Orders?],MATCH($E371,tblMoveTypes[Movement],0)),"?")="No",$G371&lt;&gt;""),"Leave Orders blank",IF(AND(IFERROR(INDEX(tblMoveTypes[Reason?],MATCH($E371,tblMoveTypes[Movement],0)),"?")="Yes",$I371=""),"Reason needed",IF(AND(IFERROR(INDEX(tblMoveTypes[Qty?],MATCH($E371,tblMoveTypes[Movement],0)),"?")="Yes",N($F371)&lt;=0),"Qty needed",IF($A371&lt;_xlfn.MINIFS(tblShipment[Arrival Date],tblShipment[Shipment ID],$C371),"Date before arrival",IF(AND($D371&lt;&gt;"",COUNTIFS(tblShipment[Shipment ID],$C371,tblShipment[Item Code],$D371)=0),"Item not in this shipment",IF(AND($H371&lt;&gt;"",COUNTIFS(tblCouriers[Courier],$H371,tblCouriers[Market],$B371)=0),"Courier not in this market","OK")))))))))))))))</f>
        <v>OK</v>
      </c>
    </row>
    <row r="372" customFormat="false" ht="15" hidden="false" customHeight="false" outlineLevel="0" collapsed="false">
      <c r="A372" s="27" t="n">
        <v>46233</v>
      </c>
      <c r="B372" s="26" t="s">
        <v>78</v>
      </c>
      <c r="C372" s="26" t="s">
        <v>134</v>
      </c>
      <c r="D372" s="26" t="s">
        <v>94</v>
      </c>
      <c r="E372" s="26" t="s">
        <v>73</v>
      </c>
      <c r="F372" s="28" t="n">
        <v>4</v>
      </c>
      <c r="G372" s="28"/>
      <c r="H372" s="26"/>
      <c r="I372" s="26" t="s">
        <v>72</v>
      </c>
      <c r="J372" s="26"/>
      <c r="K372" s="29" t="str">
        <f aca="false">IF($A372="","",IF(COUNTIFS(tblMoveTypes[Movement],$E372)=0,"Unknown movement type",IF(COUNTIF(tblShipment[Shipment ID],$C372)=0,"Unknown shipment",IF(COUNTIFS(tblShipment[Shipment ID],$C372,tblShipment[Market],$B372)=0,"Market does not match shipment",IF(AND(IFERROR(INDEX(tblMoveTypes[Item?],MATCH($E372,tblMoveTypes[Movement],0)),"?")="Yes",$D372=""),"Item needed",IF(AND(IFERROR(INDEX(tblMoveTypes[Item?],MATCH($E372,tblMoveTypes[Movement],0)),"?")="No",$D372&lt;&gt;""),"Leave Item blank",IF(AND(IFERROR(INDEX(tblMoveTypes[Courier?],MATCH($E372,tblMoveTypes[Movement],0)),"?")="Yes",$H372=""),"Courier needed",IF(AND(IFERROR(INDEX(tblMoveTypes[Courier?],MATCH($E372,tblMoveTypes[Movement],0)),"?")="No",$H372&lt;&gt;""),"Leave Courier blank",IF(AND(IFERROR(INDEX(tblMoveTypes[Orders?],MATCH($E372,tblMoveTypes[Movement],0)),"?")="Yes",$G372=""),"Orders needed",IF(AND(IFERROR(INDEX(tblMoveTypes[Orders?],MATCH($E372,tblMoveTypes[Movement],0)),"?")="No",$G372&lt;&gt;""),"Leave Orders blank",IF(AND(IFERROR(INDEX(tblMoveTypes[Reason?],MATCH($E372,tblMoveTypes[Movement],0)),"?")="Yes",$I372=""),"Reason needed",IF(AND(IFERROR(INDEX(tblMoveTypes[Qty?],MATCH($E372,tblMoveTypes[Movement],0)),"?")="Yes",N($F372)&lt;=0),"Qty needed",IF($A372&lt;_xlfn.MINIFS(tblShipment[Arrival Date],tblShipment[Shipment ID],$C372),"Date before arrival",IF(AND($D372&lt;&gt;"",COUNTIFS(tblShipment[Shipment ID],$C372,tblShipment[Item Code],$D372)=0),"Item not in this shipment",IF(AND($H372&lt;&gt;"",COUNTIFS(tblCouriers[Courier],$H372,tblCouriers[Market],$B372)=0),"Courier not in this market","OK")))))))))))))))</f>
        <v>OK</v>
      </c>
    </row>
    <row r="373" customFormat="false" ht="15" hidden="false" customHeight="false" outlineLevel="0" collapsed="false">
      <c r="A373" s="27" t="n">
        <v>46233</v>
      </c>
      <c r="B373" s="26" t="s">
        <v>78</v>
      </c>
      <c r="C373" s="26" t="s">
        <v>134</v>
      </c>
      <c r="D373" s="26" t="s">
        <v>76</v>
      </c>
      <c r="E373" s="26" t="s">
        <v>93</v>
      </c>
      <c r="F373" s="28" t="n">
        <v>34</v>
      </c>
      <c r="G373" s="28"/>
      <c r="H373" s="26" t="s">
        <v>79</v>
      </c>
      <c r="I373" s="26"/>
      <c r="J373" s="26"/>
      <c r="K373" s="29" t="str">
        <f aca="false">IF($A373="","",IF(COUNTIFS(tblMoveTypes[Movement],$E373)=0,"Unknown movement type",IF(COUNTIF(tblShipment[Shipment ID],$C373)=0,"Unknown shipment",IF(COUNTIFS(tblShipment[Shipment ID],$C373,tblShipment[Market],$B373)=0,"Market does not match shipment",IF(AND(IFERROR(INDEX(tblMoveTypes[Item?],MATCH($E373,tblMoveTypes[Movement],0)),"?")="Yes",$D373=""),"Item needed",IF(AND(IFERROR(INDEX(tblMoveTypes[Item?],MATCH($E373,tblMoveTypes[Movement],0)),"?")="No",$D373&lt;&gt;""),"Leave Item blank",IF(AND(IFERROR(INDEX(tblMoveTypes[Courier?],MATCH($E373,tblMoveTypes[Movement],0)),"?")="Yes",$H373=""),"Courier needed",IF(AND(IFERROR(INDEX(tblMoveTypes[Courier?],MATCH($E373,tblMoveTypes[Movement],0)),"?")="No",$H373&lt;&gt;""),"Leave Courier blank",IF(AND(IFERROR(INDEX(tblMoveTypes[Orders?],MATCH($E373,tblMoveTypes[Movement],0)),"?")="Yes",$G373=""),"Orders needed",IF(AND(IFERROR(INDEX(tblMoveTypes[Orders?],MATCH($E373,tblMoveTypes[Movement],0)),"?")="No",$G373&lt;&gt;""),"Leave Orders blank",IF(AND(IFERROR(INDEX(tblMoveTypes[Reason?],MATCH($E373,tblMoveTypes[Movement],0)),"?")="Yes",$I373=""),"Reason needed",IF(AND(IFERROR(INDEX(tblMoveTypes[Qty?],MATCH($E373,tblMoveTypes[Movement],0)),"?")="Yes",N($F373)&lt;=0),"Qty needed",IF($A373&lt;_xlfn.MINIFS(tblShipment[Arrival Date],tblShipment[Shipment ID],$C373),"Date before arrival",IF(AND($D373&lt;&gt;"",COUNTIFS(tblShipment[Shipment ID],$C373,tblShipment[Item Code],$D373)=0),"Item not in this shipment",IF(AND($H373&lt;&gt;"",COUNTIFS(tblCouriers[Courier],$H373,tblCouriers[Market],$B373)=0),"Courier not in this market","OK")))))))))))))))</f>
        <v>OK</v>
      </c>
    </row>
    <row r="374" customFormat="false" ht="15" hidden="false" customHeight="false" outlineLevel="0" collapsed="false">
      <c r="A374" s="27" t="n">
        <v>46233</v>
      </c>
      <c r="B374" s="26" t="s">
        <v>78</v>
      </c>
      <c r="C374" s="26" t="s">
        <v>134</v>
      </c>
      <c r="D374" s="26" t="s">
        <v>76</v>
      </c>
      <c r="E374" s="26" t="s">
        <v>93</v>
      </c>
      <c r="F374" s="28" t="n">
        <v>23</v>
      </c>
      <c r="G374" s="28"/>
      <c r="H374" s="26" t="s">
        <v>86</v>
      </c>
      <c r="I374" s="26"/>
      <c r="J374" s="26"/>
      <c r="K374" s="29" t="str">
        <f aca="false">IF($A374="","",IF(COUNTIFS(tblMoveTypes[Movement],$E374)=0,"Unknown movement type",IF(COUNTIF(tblShipment[Shipment ID],$C374)=0,"Unknown shipment",IF(COUNTIFS(tblShipment[Shipment ID],$C374,tblShipment[Market],$B374)=0,"Market does not match shipment",IF(AND(IFERROR(INDEX(tblMoveTypes[Item?],MATCH($E374,tblMoveTypes[Movement],0)),"?")="Yes",$D374=""),"Item needed",IF(AND(IFERROR(INDEX(tblMoveTypes[Item?],MATCH($E374,tblMoveTypes[Movement],0)),"?")="No",$D374&lt;&gt;""),"Leave Item blank",IF(AND(IFERROR(INDEX(tblMoveTypes[Courier?],MATCH($E374,tblMoveTypes[Movement],0)),"?")="Yes",$H374=""),"Courier needed",IF(AND(IFERROR(INDEX(tblMoveTypes[Courier?],MATCH($E374,tblMoveTypes[Movement],0)),"?")="No",$H374&lt;&gt;""),"Leave Courier blank",IF(AND(IFERROR(INDEX(tblMoveTypes[Orders?],MATCH($E374,tblMoveTypes[Movement],0)),"?")="Yes",$G374=""),"Orders needed",IF(AND(IFERROR(INDEX(tblMoveTypes[Orders?],MATCH($E374,tblMoveTypes[Movement],0)),"?")="No",$G374&lt;&gt;""),"Leave Orders blank",IF(AND(IFERROR(INDEX(tblMoveTypes[Reason?],MATCH($E374,tblMoveTypes[Movement],0)),"?")="Yes",$I374=""),"Reason needed",IF(AND(IFERROR(INDEX(tblMoveTypes[Qty?],MATCH($E374,tblMoveTypes[Movement],0)),"?")="Yes",N($F374)&lt;=0),"Qty needed",IF($A374&lt;_xlfn.MINIFS(tblShipment[Arrival Date],tblShipment[Shipment ID],$C374),"Date before arrival",IF(AND($D374&lt;&gt;"",COUNTIFS(tblShipment[Shipment ID],$C374,tblShipment[Item Code],$D374)=0),"Item not in this shipment",IF(AND($H374&lt;&gt;"",COUNTIFS(tblCouriers[Courier],$H374,tblCouriers[Market],$B374)=0),"Courier not in this market","OK")))))))))))))))</f>
        <v>OK</v>
      </c>
    </row>
    <row r="375" customFormat="false" ht="15" hidden="false" customHeight="false" outlineLevel="0" collapsed="false">
      <c r="A375" s="27" t="n">
        <v>46233</v>
      </c>
      <c r="B375" s="26" t="s">
        <v>78</v>
      </c>
      <c r="C375" s="26" t="s">
        <v>134</v>
      </c>
      <c r="D375" s="26" t="s">
        <v>99</v>
      </c>
      <c r="E375" s="26" t="s">
        <v>93</v>
      </c>
      <c r="F375" s="28" t="n">
        <v>46</v>
      </c>
      <c r="G375" s="28"/>
      <c r="H375" s="26" t="s">
        <v>79</v>
      </c>
      <c r="I375" s="26"/>
      <c r="J375" s="26"/>
      <c r="K375" s="29" t="str">
        <f aca="false">IF($A375="","",IF(COUNTIFS(tblMoveTypes[Movement],$E375)=0,"Unknown movement type",IF(COUNTIF(tblShipment[Shipment ID],$C375)=0,"Unknown shipment",IF(COUNTIFS(tblShipment[Shipment ID],$C375,tblShipment[Market],$B375)=0,"Market does not match shipment",IF(AND(IFERROR(INDEX(tblMoveTypes[Item?],MATCH($E375,tblMoveTypes[Movement],0)),"?")="Yes",$D375=""),"Item needed",IF(AND(IFERROR(INDEX(tblMoveTypes[Item?],MATCH($E375,tblMoveTypes[Movement],0)),"?")="No",$D375&lt;&gt;""),"Leave Item blank",IF(AND(IFERROR(INDEX(tblMoveTypes[Courier?],MATCH($E375,tblMoveTypes[Movement],0)),"?")="Yes",$H375=""),"Courier needed",IF(AND(IFERROR(INDEX(tblMoveTypes[Courier?],MATCH($E375,tblMoveTypes[Movement],0)),"?")="No",$H375&lt;&gt;""),"Leave Courier blank",IF(AND(IFERROR(INDEX(tblMoveTypes[Orders?],MATCH($E375,tblMoveTypes[Movement],0)),"?")="Yes",$G375=""),"Orders needed",IF(AND(IFERROR(INDEX(tblMoveTypes[Orders?],MATCH($E375,tblMoveTypes[Movement],0)),"?")="No",$G375&lt;&gt;""),"Leave Orders blank",IF(AND(IFERROR(INDEX(tblMoveTypes[Reason?],MATCH($E375,tblMoveTypes[Movement],0)),"?")="Yes",$I375=""),"Reason needed",IF(AND(IFERROR(INDEX(tblMoveTypes[Qty?],MATCH($E375,tblMoveTypes[Movement],0)),"?")="Yes",N($F375)&lt;=0),"Qty needed",IF($A375&lt;_xlfn.MINIFS(tblShipment[Arrival Date],tblShipment[Shipment ID],$C375),"Date before arrival",IF(AND($D375&lt;&gt;"",COUNTIFS(tblShipment[Shipment ID],$C375,tblShipment[Item Code],$D375)=0),"Item not in this shipment",IF(AND($H375&lt;&gt;"",COUNTIFS(tblCouriers[Courier],$H375,tblCouriers[Market],$B375)=0),"Courier not in this market","OK")))))))))))))))</f>
        <v>OK</v>
      </c>
    </row>
    <row r="376" customFormat="false" ht="15" hidden="false" customHeight="false" outlineLevel="0" collapsed="false">
      <c r="A376" s="27" t="n">
        <v>46233</v>
      </c>
      <c r="B376" s="26" t="s">
        <v>78</v>
      </c>
      <c r="C376" s="26" t="s">
        <v>134</v>
      </c>
      <c r="D376" s="26" t="s">
        <v>99</v>
      </c>
      <c r="E376" s="26" t="s">
        <v>93</v>
      </c>
      <c r="F376" s="28" t="n">
        <v>31</v>
      </c>
      <c r="G376" s="28"/>
      <c r="H376" s="26" t="s">
        <v>86</v>
      </c>
      <c r="I376" s="26"/>
      <c r="J376" s="26"/>
      <c r="K376" s="29" t="str">
        <f aca="false">IF($A376="","",IF(COUNTIFS(tblMoveTypes[Movement],$E376)=0,"Unknown movement type",IF(COUNTIF(tblShipment[Shipment ID],$C376)=0,"Unknown shipment",IF(COUNTIFS(tblShipment[Shipment ID],$C376,tblShipment[Market],$B376)=0,"Market does not match shipment",IF(AND(IFERROR(INDEX(tblMoveTypes[Item?],MATCH($E376,tblMoveTypes[Movement],0)),"?")="Yes",$D376=""),"Item needed",IF(AND(IFERROR(INDEX(tblMoveTypes[Item?],MATCH($E376,tblMoveTypes[Movement],0)),"?")="No",$D376&lt;&gt;""),"Leave Item blank",IF(AND(IFERROR(INDEX(tblMoveTypes[Courier?],MATCH($E376,tblMoveTypes[Movement],0)),"?")="Yes",$H376=""),"Courier needed",IF(AND(IFERROR(INDEX(tblMoveTypes[Courier?],MATCH($E376,tblMoveTypes[Movement],0)),"?")="No",$H376&lt;&gt;""),"Leave Courier blank",IF(AND(IFERROR(INDEX(tblMoveTypes[Orders?],MATCH($E376,tblMoveTypes[Movement],0)),"?")="Yes",$G376=""),"Orders needed",IF(AND(IFERROR(INDEX(tblMoveTypes[Orders?],MATCH($E376,tblMoveTypes[Movement],0)),"?")="No",$G376&lt;&gt;""),"Leave Orders blank",IF(AND(IFERROR(INDEX(tblMoveTypes[Reason?],MATCH($E376,tblMoveTypes[Movement],0)),"?")="Yes",$I376=""),"Reason needed",IF(AND(IFERROR(INDEX(tblMoveTypes[Qty?],MATCH($E376,tblMoveTypes[Movement],0)),"?")="Yes",N($F376)&lt;=0),"Qty needed",IF($A376&lt;_xlfn.MINIFS(tblShipment[Arrival Date],tblShipment[Shipment ID],$C376),"Date before arrival",IF(AND($D376&lt;&gt;"",COUNTIFS(tblShipment[Shipment ID],$C376,tblShipment[Item Code],$D376)=0),"Item not in this shipment",IF(AND($H376&lt;&gt;"",COUNTIFS(tblCouriers[Courier],$H376,tblCouriers[Market],$B376)=0),"Courier not in this market","OK")))))))))))))))</f>
        <v>OK</v>
      </c>
    </row>
    <row r="377" customFormat="false" ht="15" hidden="false" customHeight="false" outlineLevel="0" collapsed="false">
      <c r="A377" s="27" t="n">
        <v>46233</v>
      </c>
      <c r="B377" s="26" t="s">
        <v>78</v>
      </c>
      <c r="C377" s="26" t="s">
        <v>134</v>
      </c>
      <c r="D377" s="26" t="s">
        <v>88</v>
      </c>
      <c r="E377" s="26" t="s">
        <v>93</v>
      </c>
      <c r="F377" s="28" t="n">
        <v>29</v>
      </c>
      <c r="G377" s="28"/>
      <c r="H377" s="26" t="s">
        <v>79</v>
      </c>
      <c r="I377" s="26"/>
      <c r="J377" s="26"/>
      <c r="K377" s="29" t="str">
        <f aca="false">IF($A377="","",IF(COUNTIFS(tblMoveTypes[Movement],$E377)=0,"Unknown movement type",IF(COUNTIF(tblShipment[Shipment ID],$C377)=0,"Unknown shipment",IF(COUNTIFS(tblShipment[Shipment ID],$C377,tblShipment[Market],$B377)=0,"Market does not match shipment",IF(AND(IFERROR(INDEX(tblMoveTypes[Item?],MATCH($E377,tblMoveTypes[Movement],0)),"?")="Yes",$D377=""),"Item needed",IF(AND(IFERROR(INDEX(tblMoveTypes[Item?],MATCH($E377,tblMoveTypes[Movement],0)),"?")="No",$D377&lt;&gt;""),"Leave Item blank",IF(AND(IFERROR(INDEX(tblMoveTypes[Courier?],MATCH($E377,tblMoveTypes[Movement],0)),"?")="Yes",$H377=""),"Courier needed",IF(AND(IFERROR(INDEX(tblMoveTypes[Courier?],MATCH($E377,tblMoveTypes[Movement],0)),"?")="No",$H377&lt;&gt;""),"Leave Courier blank",IF(AND(IFERROR(INDEX(tblMoveTypes[Orders?],MATCH($E377,tblMoveTypes[Movement],0)),"?")="Yes",$G377=""),"Orders needed",IF(AND(IFERROR(INDEX(tblMoveTypes[Orders?],MATCH($E377,tblMoveTypes[Movement],0)),"?")="No",$G377&lt;&gt;""),"Leave Orders blank",IF(AND(IFERROR(INDEX(tblMoveTypes[Reason?],MATCH($E377,tblMoveTypes[Movement],0)),"?")="Yes",$I377=""),"Reason needed",IF(AND(IFERROR(INDEX(tblMoveTypes[Qty?],MATCH($E377,tblMoveTypes[Movement],0)),"?")="Yes",N($F377)&lt;=0),"Qty needed",IF($A377&lt;_xlfn.MINIFS(tblShipment[Arrival Date],tblShipment[Shipment ID],$C377),"Date before arrival",IF(AND($D377&lt;&gt;"",COUNTIFS(tblShipment[Shipment ID],$C377,tblShipment[Item Code],$D377)=0),"Item not in this shipment",IF(AND($H377&lt;&gt;"",COUNTIFS(tblCouriers[Courier],$H377,tblCouriers[Market],$B377)=0),"Courier not in this market","OK")))))))))))))))</f>
        <v>OK</v>
      </c>
    </row>
    <row r="378" customFormat="false" ht="15" hidden="false" customHeight="false" outlineLevel="0" collapsed="false">
      <c r="A378" s="27" t="n">
        <v>46233</v>
      </c>
      <c r="B378" s="26" t="s">
        <v>78</v>
      </c>
      <c r="C378" s="26" t="s">
        <v>134</v>
      </c>
      <c r="D378" s="26" t="s">
        <v>88</v>
      </c>
      <c r="E378" s="26" t="s">
        <v>93</v>
      </c>
      <c r="F378" s="28" t="n">
        <v>19</v>
      </c>
      <c r="G378" s="28"/>
      <c r="H378" s="26" t="s">
        <v>86</v>
      </c>
      <c r="I378" s="26"/>
      <c r="J378" s="26"/>
      <c r="K378" s="29" t="str">
        <f aca="false">IF($A378="","",IF(COUNTIFS(tblMoveTypes[Movement],$E378)=0,"Unknown movement type",IF(COUNTIF(tblShipment[Shipment ID],$C378)=0,"Unknown shipment",IF(COUNTIFS(tblShipment[Shipment ID],$C378,tblShipment[Market],$B378)=0,"Market does not match shipment",IF(AND(IFERROR(INDEX(tblMoveTypes[Item?],MATCH($E378,tblMoveTypes[Movement],0)),"?")="Yes",$D378=""),"Item needed",IF(AND(IFERROR(INDEX(tblMoveTypes[Item?],MATCH($E378,tblMoveTypes[Movement],0)),"?")="No",$D378&lt;&gt;""),"Leave Item blank",IF(AND(IFERROR(INDEX(tblMoveTypes[Courier?],MATCH($E378,tblMoveTypes[Movement],0)),"?")="Yes",$H378=""),"Courier needed",IF(AND(IFERROR(INDEX(tblMoveTypes[Courier?],MATCH($E378,tblMoveTypes[Movement],0)),"?")="No",$H378&lt;&gt;""),"Leave Courier blank",IF(AND(IFERROR(INDEX(tblMoveTypes[Orders?],MATCH($E378,tblMoveTypes[Movement],0)),"?")="Yes",$G378=""),"Orders needed",IF(AND(IFERROR(INDEX(tblMoveTypes[Orders?],MATCH($E378,tblMoveTypes[Movement],0)),"?")="No",$G378&lt;&gt;""),"Leave Orders blank",IF(AND(IFERROR(INDEX(tblMoveTypes[Reason?],MATCH($E378,tblMoveTypes[Movement],0)),"?")="Yes",$I378=""),"Reason needed",IF(AND(IFERROR(INDEX(tblMoveTypes[Qty?],MATCH($E378,tblMoveTypes[Movement],0)),"?")="Yes",N($F378)&lt;=0),"Qty needed",IF($A378&lt;_xlfn.MINIFS(tblShipment[Arrival Date],tblShipment[Shipment ID],$C378),"Date before arrival",IF(AND($D378&lt;&gt;"",COUNTIFS(tblShipment[Shipment ID],$C378,tblShipment[Item Code],$D378)=0),"Item not in this shipment",IF(AND($H378&lt;&gt;"",COUNTIFS(tblCouriers[Courier],$H378,tblCouriers[Market],$B378)=0),"Courier not in this market","OK")))))))))))))))</f>
        <v>OK</v>
      </c>
    </row>
    <row r="379" customFormat="false" ht="15" hidden="false" customHeight="false" outlineLevel="0" collapsed="false">
      <c r="A379" s="27" t="n">
        <v>46233</v>
      </c>
      <c r="B379" s="26" t="s">
        <v>78</v>
      </c>
      <c r="C379" s="26" t="s">
        <v>134</v>
      </c>
      <c r="D379" s="26" t="s">
        <v>83</v>
      </c>
      <c r="E379" s="26" t="s">
        <v>93</v>
      </c>
      <c r="F379" s="28" t="n">
        <v>35</v>
      </c>
      <c r="G379" s="28"/>
      <c r="H379" s="26" t="s">
        <v>79</v>
      </c>
      <c r="I379" s="26"/>
      <c r="J379" s="26"/>
      <c r="K379" s="29" t="str">
        <f aca="false">IF($A379="","",IF(COUNTIFS(tblMoveTypes[Movement],$E379)=0,"Unknown movement type",IF(COUNTIF(tblShipment[Shipment ID],$C379)=0,"Unknown shipment",IF(COUNTIFS(tblShipment[Shipment ID],$C379,tblShipment[Market],$B379)=0,"Market does not match shipment",IF(AND(IFERROR(INDEX(tblMoveTypes[Item?],MATCH($E379,tblMoveTypes[Movement],0)),"?")="Yes",$D379=""),"Item needed",IF(AND(IFERROR(INDEX(tblMoveTypes[Item?],MATCH($E379,tblMoveTypes[Movement],0)),"?")="No",$D379&lt;&gt;""),"Leave Item blank",IF(AND(IFERROR(INDEX(tblMoveTypes[Courier?],MATCH($E379,tblMoveTypes[Movement],0)),"?")="Yes",$H379=""),"Courier needed",IF(AND(IFERROR(INDEX(tblMoveTypes[Courier?],MATCH($E379,tblMoveTypes[Movement],0)),"?")="No",$H379&lt;&gt;""),"Leave Courier blank",IF(AND(IFERROR(INDEX(tblMoveTypes[Orders?],MATCH($E379,tblMoveTypes[Movement],0)),"?")="Yes",$G379=""),"Orders needed",IF(AND(IFERROR(INDEX(tblMoveTypes[Orders?],MATCH($E379,tblMoveTypes[Movement],0)),"?")="No",$G379&lt;&gt;""),"Leave Orders blank",IF(AND(IFERROR(INDEX(tblMoveTypes[Reason?],MATCH($E379,tblMoveTypes[Movement],0)),"?")="Yes",$I379=""),"Reason needed",IF(AND(IFERROR(INDEX(tblMoveTypes[Qty?],MATCH($E379,tblMoveTypes[Movement],0)),"?")="Yes",N($F379)&lt;=0),"Qty needed",IF($A379&lt;_xlfn.MINIFS(tblShipment[Arrival Date],tblShipment[Shipment ID],$C379),"Date before arrival",IF(AND($D379&lt;&gt;"",COUNTIFS(tblShipment[Shipment ID],$C379,tblShipment[Item Code],$D379)=0),"Item not in this shipment",IF(AND($H379&lt;&gt;"",COUNTIFS(tblCouriers[Courier],$H379,tblCouriers[Market],$B379)=0),"Courier not in this market","OK")))))))))))))))</f>
        <v>OK</v>
      </c>
    </row>
    <row r="380" customFormat="false" ht="15" hidden="false" customHeight="false" outlineLevel="0" collapsed="false">
      <c r="A380" s="27" t="n">
        <v>46233</v>
      </c>
      <c r="B380" s="26" t="s">
        <v>78</v>
      </c>
      <c r="C380" s="26" t="s">
        <v>134</v>
      </c>
      <c r="D380" s="26" t="s">
        <v>83</v>
      </c>
      <c r="E380" s="26" t="s">
        <v>93</v>
      </c>
      <c r="F380" s="28" t="n">
        <v>23</v>
      </c>
      <c r="G380" s="28"/>
      <c r="H380" s="26" t="s">
        <v>86</v>
      </c>
      <c r="I380" s="26"/>
      <c r="J380" s="26"/>
      <c r="K380" s="29" t="str">
        <f aca="false">IF($A380="","",IF(COUNTIFS(tblMoveTypes[Movement],$E380)=0,"Unknown movement type",IF(COUNTIF(tblShipment[Shipment ID],$C380)=0,"Unknown shipment",IF(COUNTIFS(tblShipment[Shipment ID],$C380,tblShipment[Market],$B380)=0,"Market does not match shipment",IF(AND(IFERROR(INDEX(tblMoveTypes[Item?],MATCH($E380,tblMoveTypes[Movement],0)),"?")="Yes",$D380=""),"Item needed",IF(AND(IFERROR(INDEX(tblMoveTypes[Item?],MATCH($E380,tblMoveTypes[Movement],0)),"?")="No",$D380&lt;&gt;""),"Leave Item blank",IF(AND(IFERROR(INDEX(tblMoveTypes[Courier?],MATCH($E380,tblMoveTypes[Movement],0)),"?")="Yes",$H380=""),"Courier needed",IF(AND(IFERROR(INDEX(tblMoveTypes[Courier?],MATCH($E380,tblMoveTypes[Movement],0)),"?")="No",$H380&lt;&gt;""),"Leave Courier blank",IF(AND(IFERROR(INDEX(tblMoveTypes[Orders?],MATCH($E380,tblMoveTypes[Movement],0)),"?")="Yes",$G380=""),"Orders needed",IF(AND(IFERROR(INDEX(tblMoveTypes[Orders?],MATCH($E380,tblMoveTypes[Movement],0)),"?")="No",$G380&lt;&gt;""),"Leave Orders blank",IF(AND(IFERROR(INDEX(tblMoveTypes[Reason?],MATCH($E380,tblMoveTypes[Movement],0)),"?")="Yes",$I380=""),"Reason needed",IF(AND(IFERROR(INDEX(tblMoveTypes[Qty?],MATCH($E380,tblMoveTypes[Movement],0)),"?")="Yes",N($F380)&lt;=0),"Qty needed",IF($A380&lt;_xlfn.MINIFS(tblShipment[Arrival Date],tblShipment[Shipment ID],$C380),"Date before arrival",IF(AND($D380&lt;&gt;"",COUNTIFS(tblShipment[Shipment ID],$C380,tblShipment[Item Code],$D380)=0),"Item not in this shipment",IF(AND($H380&lt;&gt;"",COUNTIFS(tblCouriers[Courier],$H380,tblCouriers[Market],$B380)=0),"Courier not in this market","OK")))))))))))))))</f>
        <v>OK</v>
      </c>
    </row>
    <row r="381" customFormat="false" ht="15" hidden="false" customHeight="false" outlineLevel="0" collapsed="false">
      <c r="A381" s="27" t="n">
        <v>46233</v>
      </c>
      <c r="B381" s="26" t="s">
        <v>78</v>
      </c>
      <c r="C381" s="26" t="s">
        <v>134</v>
      </c>
      <c r="D381" s="26" t="s">
        <v>94</v>
      </c>
      <c r="E381" s="26" t="s">
        <v>93</v>
      </c>
      <c r="F381" s="28" t="n">
        <v>34</v>
      </c>
      <c r="G381" s="28"/>
      <c r="H381" s="26" t="s">
        <v>79</v>
      </c>
      <c r="I381" s="26"/>
      <c r="J381" s="26"/>
      <c r="K381" s="29" t="str">
        <f aca="false">IF($A381="","",IF(COUNTIFS(tblMoveTypes[Movement],$E381)=0,"Unknown movement type",IF(COUNTIF(tblShipment[Shipment ID],$C381)=0,"Unknown shipment",IF(COUNTIFS(tblShipment[Shipment ID],$C381,tblShipment[Market],$B381)=0,"Market does not match shipment",IF(AND(IFERROR(INDEX(tblMoveTypes[Item?],MATCH($E381,tblMoveTypes[Movement],0)),"?")="Yes",$D381=""),"Item needed",IF(AND(IFERROR(INDEX(tblMoveTypes[Item?],MATCH($E381,tblMoveTypes[Movement],0)),"?")="No",$D381&lt;&gt;""),"Leave Item blank",IF(AND(IFERROR(INDEX(tblMoveTypes[Courier?],MATCH($E381,tblMoveTypes[Movement],0)),"?")="Yes",$H381=""),"Courier needed",IF(AND(IFERROR(INDEX(tblMoveTypes[Courier?],MATCH($E381,tblMoveTypes[Movement],0)),"?")="No",$H381&lt;&gt;""),"Leave Courier blank",IF(AND(IFERROR(INDEX(tblMoveTypes[Orders?],MATCH($E381,tblMoveTypes[Movement],0)),"?")="Yes",$G381=""),"Orders needed",IF(AND(IFERROR(INDEX(tblMoveTypes[Orders?],MATCH($E381,tblMoveTypes[Movement],0)),"?")="No",$G381&lt;&gt;""),"Leave Orders blank",IF(AND(IFERROR(INDEX(tblMoveTypes[Reason?],MATCH($E381,tblMoveTypes[Movement],0)),"?")="Yes",$I381=""),"Reason needed",IF(AND(IFERROR(INDEX(tblMoveTypes[Qty?],MATCH($E381,tblMoveTypes[Movement],0)),"?")="Yes",N($F381)&lt;=0),"Qty needed",IF($A381&lt;_xlfn.MINIFS(tblShipment[Arrival Date],tblShipment[Shipment ID],$C381),"Date before arrival",IF(AND($D381&lt;&gt;"",COUNTIFS(tblShipment[Shipment ID],$C381,tblShipment[Item Code],$D381)=0),"Item not in this shipment",IF(AND($H381&lt;&gt;"",COUNTIFS(tblCouriers[Courier],$H381,tblCouriers[Market],$B381)=0),"Courier not in this market","OK")))))))))))))))</f>
        <v>OK</v>
      </c>
    </row>
    <row r="382" customFormat="false" ht="15" hidden="false" customHeight="false" outlineLevel="0" collapsed="false">
      <c r="A382" s="27" t="n">
        <v>46233</v>
      </c>
      <c r="B382" s="26" t="s">
        <v>78</v>
      </c>
      <c r="C382" s="26" t="s">
        <v>134</v>
      </c>
      <c r="D382" s="26" t="s">
        <v>94</v>
      </c>
      <c r="E382" s="26" t="s">
        <v>93</v>
      </c>
      <c r="F382" s="28" t="n">
        <v>22</v>
      </c>
      <c r="G382" s="28"/>
      <c r="H382" s="26" t="s">
        <v>86</v>
      </c>
      <c r="I382" s="26"/>
      <c r="J382" s="26"/>
      <c r="K382" s="29" t="str">
        <f aca="false">IF($A382="","",IF(COUNTIFS(tblMoveTypes[Movement],$E382)=0,"Unknown movement type",IF(COUNTIF(tblShipment[Shipment ID],$C382)=0,"Unknown shipment",IF(COUNTIFS(tblShipment[Shipment ID],$C382,tblShipment[Market],$B382)=0,"Market does not match shipment",IF(AND(IFERROR(INDEX(tblMoveTypes[Item?],MATCH($E382,tblMoveTypes[Movement],0)),"?")="Yes",$D382=""),"Item needed",IF(AND(IFERROR(INDEX(tblMoveTypes[Item?],MATCH($E382,tblMoveTypes[Movement],0)),"?")="No",$D382&lt;&gt;""),"Leave Item blank",IF(AND(IFERROR(INDEX(tblMoveTypes[Courier?],MATCH($E382,tblMoveTypes[Movement],0)),"?")="Yes",$H382=""),"Courier needed",IF(AND(IFERROR(INDEX(tblMoveTypes[Courier?],MATCH($E382,tblMoveTypes[Movement],0)),"?")="No",$H382&lt;&gt;""),"Leave Courier blank",IF(AND(IFERROR(INDEX(tblMoveTypes[Orders?],MATCH($E382,tblMoveTypes[Movement],0)),"?")="Yes",$G382=""),"Orders needed",IF(AND(IFERROR(INDEX(tblMoveTypes[Orders?],MATCH($E382,tblMoveTypes[Movement],0)),"?")="No",$G382&lt;&gt;""),"Leave Orders blank",IF(AND(IFERROR(INDEX(tblMoveTypes[Reason?],MATCH($E382,tblMoveTypes[Movement],0)),"?")="Yes",$I382=""),"Reason needed",IF(AND(IFERROR(INDEX(tblMoveTypes[Qty?],MATCH($E382,tblMoveTypes[Movement],0)),"?")="Yes",N($F382)&lt;=0),"Qty needed",IF($A382&lt;_xlfn.MINIFS(tblShipment[Arrival Date],tblShipment[Shipment ID],$C382),"Date before arrival",IF(AND($D382&lt;&gt;"",COUNTIFS(tblShipment[Shipment ID],$C382,tblShipment[Item Code],$D382)=0),"Item not in this shipment",IF(AND($H382&lt;&gt;"",COUNTIFS(tblCouriers[Courier],$H382,tblCouriers[Market],$B382)=0),"Courier not in this market","OK")))))))))))))))</f>
        <v>OK</v>
      </c>
    </row>
    <row r="383" customFormat="false" ht="15" hidden="false" customHeight="false" outlineLevel="0" collapsed="false">
      <c r="A383" s="27" t="n">
        <v>46233</v>
      </c>
      <c r="B383" s="26" t="s">
        <v>78</v>
      </c>
      <c r="C383" s="26" t="s">
        <v>134</v>
      </c>
      <c r="D383" s="26"/>
      <c r="E383" s="26" t="s">
        <v>104</v>
      </c>
      <c r="F383" s="28"/>
      <c r="G383" s="28" t="n">
        <v>26</v>
      </c>
      <c r="H383" s="26" t="s">
        <v>79</v>
      </c>
      <c r="I383" s="26"/>
      <c r="J383" s="26"/>
      <c r="K383" s="29" t="str">
        <f aca="false">IF($A383="","",IF(COUNTIFS(tblMoveTypes[Movement],$E383)=0,"Unknown movement type",IF(COUNTIF(tblShipment[Shipment ID],$C383)=0,"Unknown shipment",IF(COUNTIFS(tblShipment[Shipment ID],$C383,tblShipment[Market],$B383)=0,"Market does not match shipment",IF(AND(IFERROR(INDEX(tblMoveTypes[Item?],MATCH($E383,tblMoveTypes[Movement],0)),"?")="Yes",$D383=""),"Item needed",IF(AND(IFERROR(INDEX(tblMoveTypes[Item?],MATCH($E383,tblMoveTypes[Movement],0)),"?")="No",$D383&lt;&gt;""),"Leave Item blank",IF(AND(IFERROR(INDEX(tblMoveTypes[Courier?],MATCH($E383,tblMoveTypes[Movement],0)),"?")="Yes",$H383=""),"Courier needed",IF(AND(IFERROR(INDEX(tblMoveTypes[Courier?],MATCH($E383,tblMoveTypes[Movement],0)),"?")="No",$H383&lt;&gt;""),"Leave Courier blank",IF(AND(IFERROR(INDEX(tblMoveTypes[Orders?],MATCH($E383,tblMoveTypes[Movement],0)),"?")="Yes",$G383=""),"Orders needed",IF(AND(IFERROR(INDEX(tblMoveTypes[Orders?],MATCH($E383,tblMoveTypes[Movement],0)),"?")="No",$G383&lt;&gt;""),"Leave Orders blank",IF(AND(IFERROR(INDEX(tblMoveTypes[Reason?],MATCH($E383,tblMoveTypes[Movement],0)),"?")="Yes",$I383=""),"Reason needed",IF(AND(IFERROR(INDEX(tblMoveTypes[Qty?],MATCH($E383,tblMoveTypes[Movement],0)),"?")="Yes",N($F383)&lt;=0),"Qty needed",IF($A383&lt;_xlfn.MINIFS(tblShipment[Arrival Date],tblShipment[Shipment ID],$C383),"Date before arrival",IF(AND($D383&lt;&gt;"",COUNTIFS(tblShipment[Shipment ID],$C383,tblShipment[Item Code],$D383)=0),"Item not in this shipment",IF(AND($H383&lt;&gt;"",COUNTIFS(tblCouriers[Courier],$H383,tblCouriers[Market],$B383)=0),"Courier not in this market","OK")))))))))))))))</f>
        <v>OK</v>
      </c>
    </row>
    <row r="384" customFormat="false" ht="15" hidden="false" customHeight="false" outlineLevel="0" collapsed="false">
      <c r="A384" s="27" t="n">
        <v>46233</v>
      </c>
      <c r="B384" s="26" t="s">
        <v>78</v>
      </c>
      <c r="C384" s="26" t="s">
        <v>134</v>
      </c>
      <c r="D384" s="26"/>
      <c r="E384" s="26" t="s">
        <v>106</v>
      </c>
      <c r="F384" s="28" t="n">
        <v>84</v>
      </c>
      <c r="G384" s="28" t="n">
        <v>12</v>
      </c>
      <c r="H384" s="26" t="s">
        <v>79</v>
      </c>
      <c r="I384" s="26"/>
      <c r="J384" s="26"/>
      <c r="K384" s="29" t="str">
        <f aca="false">IF($A384="","",IF(COUNTIFS(tblMoveTypes[Movement],$E384)=0,"Unknown movement type",IF(COUNTIF(tblShipment[Shipment ID],$C384)=0,"Unknown shipment",IF(COUNTIFS(tblShipment[Shipment ID],$C384,tblShipment[Market],$B384)=0,"Market does not match shipment",IF(AND(IFERROR(INDEX(tblMoveTypes[Item?],MATCH($E384,tblMoveTypes[Movement],0)),"?")="Yes",$D384=""),"Item needed",IF(AND(IFERROR(INDEX(tblMoveTypes[Item?],MATCH($E384,tblMoveTypes[Movement],0)),"?")="No",$D384&lt;&gt;""),"Leave Item blank",IF(AND(IFERROR(INDEX(tblMoveTypes[Courier?],MATCH($E384,tblMoveTypes[Movement],0)),"?")="Yes",$H384=""),"Courier needed",IF(AND(IFERROR(INDEX(tblMoveTypes[Courier?],MATCH($E384,tblMoveTypes[Movement],0)),"?")="No",$H384&lt;&gt;""),"Leave Courier blank",IF(AND(IFERROR(INDEX(tblMoveTypes[Orders?],MATCH($E384,tblMoveTypes[Movement],0)),"?")="Yes",$G384=""),"Orders needed",IF(AND(IFERROR(INDEX(tblMoveTypes[Orders?],MATCH($E384,tblMoveTypes[Movement],0)),"?")="No",$G384&lt;&gt;""),"Leave Orders blank",IF(AND(IFERROR(INDEX(tblMoveTypes[Reason?],MATCH($E384,tblMoveTypes[Movement],0)),"?")="Yes",$I384=""),"Reason needed",IF(AND(IFERROR(INDEX(tblMoveTypes[Qty?],MATCH($E384,tblMoveTypes[Movement],0)),"?")="Yes",N($F384)&lt;=0),"Qty needed",IF($A384&lt;_xlfn.MINIFS(tblShipment[Arrival Date],tblShipment[Shipment ID],$C384),"Date before arrival",IF(AND($D384&lt;&gt;"",COUNTIFS(tblShipment[Shipment ID],$C384,tblShipment[Item Code],$D384)=0),"Item not in this shipment",IF(AND($H384&lt;&gt;"",COUNTIFS(tblCouriers[Courier],$H384,tblCouriers[Market],$B384)=0),"Courier not in this market","OK")))))))))))))))</f>
        <v>OK</v>
      </c>
    </row>
    <row r="385" customFormat="false" ht="15" hidden="false" customHeight="false" outlineLevel="0" collapsed="false">
      <c r="A385" s="27" t="n">
        <v>46233</v>
      </c>
      <c r="B385" s="26" t="s">
        <v>78</v>
      </c>
      <c r="C385" s="26" t="s">
        <v>134</v>
      </c>
      <c r="D385" s="26"/>
      <c r="E385" s="26" t="s">
        <v>104</v>
      </c>
      <c r="F385" s="28"/>
      <c r="G385" s="28" t="n">
        <v>18</v>
      </c>
      <c r="H385" s="26" t="s">
        <v>86</v>
      </c>
      <c r="I385" s="26"/>
      <c r="J385" s="26"/>
      <c r="K385" s="29" t="str">
        <f aca="false">IF($A385="","",IF(COUNTIFS(tblMoveTypes[Movement],$E385)=0,"Unknown movement type",IF(COUNTIF(tblShipment[Shipment ID],$C385)=0,"Unknown shipment",IF(COUNTIFS(tblShipment[Shipment ID],$C385,tblShipment[Market],$B385)=0,"Market does not match shipment",IF(AND(IFERROR(INDEX(tblMoveTypes[Item?],MATCH($E385,tblMoveTypes[Movement],0)),"?")="Yes",$D385=""),"Item needed",IF(AND(IFERROR(INDEX(tblMoveTypes[Item?],MATCH($E385,tblMoveTypes[Movement],0)),"?")="No",$D385&lt;&gt;""),"Leave Item blank",IF(AND(IFERROR(INDEX(tblMoveTypes[Courier?],MATCH($E385,tblMoveTypes[Movement],0)),"?")="Yes",$H385=""),"Courier needed",IF(AND(IFERROR(INDEX(tblMoveTypes[Courier?],MATCH($E385,tblMoveTypes[Movement],0)),"?")="No",$H385&lt;&gt;""),"Leave Courier blank",IF(AND(IFERROR(INDEX(tblMoveTypes[Orders?],MATCH($E385,tblMoveTypes[Movement],0)),"?")="Yes",$G385=""),"Orders needed",IF(AND(IFERROR(INDEX(tblMoveTypes[Orders?],MATCH($E385,tblMoveTypes[Movement],0)),"?")="No",$G385&lt;&gt;""),"Leave Orders blank",IF(AND(IFERROR(INDEX(tblMoveTypes[Reason?],MATCH($E385,tblMoveTypes[Movement],0)),"?")="Yes",$I385=""),"Reason needed",IF(AND(IFERROR(INDEX(tblMoveTypes[Qty?],MATCH($E385,tblMoveTypes[Movement],0)),"?")="Yes",N($F385)&lt;=0),"Qty needed",IF($A385&lt;_xlfn.MINIFS(tblShipment[Arrival Date],tblShipment[Shipment ID],$C385),"Date before arrival",IF(AND($D385&lt;&gt;"",COUNTIFS(tblShipment[Shipment ID],$C385,tblShipment[Item Code],$D385)=0),"Item not in this shipment",IF(AND($H385&lt;&gt;"",COUNTIFS(tblCouriers[Courier],$H385,tblCouriers[Market],$B385)=0),"Courier not in this market","OK")))))))))))))))</f>
        <v>OK</v>
      </c>
    </row>
    <row r="386" customFormat="false" ht="15" hidden="false" customHeight="false" outlineLevel="0" collapsed="false">
      <c r="A386" s="27" t="n">
        <v>46234</v>
      </c>
      <c r="B386" s="26" t="s">
        <v>70</v>
      </c>
      <c r="C386" s="26" t="s">
        <v>126</v>
      </c>
      <c r="D386" s="26"/>
      <c r="E386" s="26" t="s">
        <v>106</v>
      </c>
      <c r="F386" s="28" t="n">
        <v>81</v>
      </c>
      <c r="G386" s="28" t="n">
        <v>12</v>
      </c>
      <c r="H386" s="26" t="s">
        <v>71</v>
      </c>
      <c r="I386" s="26"/>
      <c r="J386" s="26"/>
      <c r="K386" s="29" t="str">
        <f aca="false">IF($A386="","",IF(COUNTIFS(tblMoveTypes[Movement],$E386)=0,"Unknown movement type",IF(COUNTIF(tblShipment[Shipment ID],$C386)=0,"Unknown shipment",IF(COUNTIFS(tblShipment[Shipment ID],$C386,tblShipment[Market],$B386)=0,"Market does not match shipment",IF(AND(IFERROR(INDEX(tblMoveTypes[Item?],MATCH($E386,tblMoveTypes[Movement],0)),"?")="Yes",$D386=""),"Item needed",IF(AND(IFERROR(INDEX(tblMoveTypes[Item?],MATCH($E386,tblMoveTypes[Movement],0)),"?")="No",$D386&lt;&gt;""),"Leave Item blank",IF(AND(IFERROR(INDEX(tblMoveTypes[Courier?],MATCH($E386,tblMoveTypes[Movement],0)),"?")="Yes",$H386=""),"Courier needed",IF(AND(IFERROR(INDEX(tblMoveTypes[Courier?],MATCH($E386,tblMoveTypes[Movement],0)),"?")="No",$H386&lt;&gt;""),"Leave Courier blank",IF(AND(IFERROR(INDEX(tblMoveTypes[Orders?],MATCH($E386,tblMoveTypes[Movement],0)),"?")="Yes",$G386=""),"Orders needed",IF(AND(IFERROR(INDEX(tblMoveTypes[Orders?],MATCH($E386,tblMoveTypes[Movement],0)),"?")="No",$G386&lt;&gt;""),"Leave Orders blank",IF(AND(IFERROR(INDEX(tblMoveTypes[Reason?],MATCH($E386,tblMoveTypes[Movement],0)),"?")="Yes",$I386=""),"Reason needed",IF(AND(IFERROR(INDEX(tblMoveTypes[Qty?],MATCH($E386,tblMoveTypes[Movement],0)),"?")="Yes",N($F386)&lt;=0),"Qty needed",IF($A386&lt;_xlfn.MINIFS(tblShipment[Arrival Date],tblShipment[Shipment ID],$C386),"Date before arrival",IF(AND($D386&lt;&gt;"",COUNTIFS(tblShipment[Shipment ID],$C386,tblShipment[Item Code],$D386)=0),"Item not in this shipment",IF(AND($H386&lt;&gt;"",COUNTIFS(tblCouriers[Courier],$H386,tblCouriers[Market],$B386)=0),"Courier not in this market","OK")))))))))))))))</f>
        <v>OK</v>
      </c>
    </row>
    <row r="387" customFormat="false" ht="15" hidden="false" customHeight="false" outlineLevel="0" collapsed="false">
      <c r="A387" s="27" t="n">
        <v>46234</v>
      </c>
      <c r="B387" s="26" t="s">
        <v>85</v>
      </c>
      <c r="C387" s="26" t="s">
        <v>141</v>
      </c>
      <c r="D387" s="26"/>
      <c r="E387" s="26" t="s">
        <v>106</v>
      </c>
      <c r="F387" s="28" t="n">
        <v>28</v>
      </c>
      <c r="G387" s="28" t="n">
        <v>4</v>
      </c>
      <c r="H387" s="26" t="s">
        <v>91</v>
      </c>
      <c r="I387" s="26"/>
      <c r="J387" s="26"/>
      <c r="K387" s="29" t="str">
        <f aca="false">IF($A387="","",IF(COUNTIFS(tblMoveTypes[Movement],$E387)=0,"Unknown movement type",IF(COUNTIF(tblShipment[Shipment ID],$C387)=0,"Unknown shipment",IF(COUNTIFS(tblShipment[Shipment ID],$C387,tblShipment[Market],$B387)=0,"Market does not match shipment",IF(AND(IFERROR(INDEX(tblMoveTypes[Item?],MATCH($E387,tblMoveTypes[Movement],0)),"?")="Yes",$D387=""),"Item needed",IF(AND(IFERROR(INDEX(tblMoveTypes[Item?],MATCH($E387,tblMoveTypes[Movement],0)),"?")="No",$D387&lt;&gt;""),"Leave Item blank",IF(AND(IFERROR(INDEX(tblMoveTypes[Courier?],MATCH($E387,tblMoveTypes[Movement],0)),"?")="Yes",$H387=""),"Courier needed",IF(AND(IFERROR(INDEX(tblMoveTypes[Courier?],MATCH($E387,tblMoveTypes[Movement],0)),"?")="No",$H387&lt;&gt;""),"Leave Courier blank",IF(AND(IFERROR(INDEX(tblMoveTypes[Orders?],MATCH($E387,tblMoveTypes[Movement],0)),"?")="Yes",$G387=""),"Orders needed",IF(AND(IFERROR(INDEX(tblMoveTypes[Orders?],MATCH($E387,tblMoveTypes[Movement],0)),"?")="No",$G387&lt;&gt;""),"Leave Orders blank",IF(AND(IFERROR(INDEX(tblMoveTypes[Reason?],MATCH($E387,tblMoveTypes[Movement],0)),"?")="Yes",$I387=""),"Reason needed",IF(AND(IFERROR(INDEX(tblMoveTypes[Qty?],MATCH($E387,tblMoveTypes[Movement],0)),"?")="Yes",N($F387)&lt;=0),"Qty needed",IF($A387&lt;_xlfn.MINIFS(tblShipment[Arrival Date],tblShipment[Shipment ID],$C387),"Date before arrival",IF(AND($D387&lt;&gt;"",COUNTIFS(tblShipment[Shipment ID],$C387,tblShipment[Item Code],$D387)=0),"Item not in this shipment",IF(AND($H387&lt;&gt;"",COUNTIFS(tblCouriers[Courier],$H387,tblCouriers[Market],$B387)=0),"Courier not in this market","OK")))))))))))))))</f>
        <v>OK</v>
      </c>
    </row>
    <row r="388" customFormat="false" ht="15" hidden="false" customHeight="false" outlineLevel="0" collapsed="false">
      <c r="A388" s="27" t="n">
        <v>46234</v>
      </c>
      <c r="B388" s="26" t="s">
        <v>85</v>
      </c>
      <c r="C388" s="26" t="s">
        <v>141</v>
      </c>
      <c r="D388" s="26"/>
      <c r="E388" s="26" t="s">
        <v>108</v>
      </c>
      <c r="F388" s="28" t="n">
        <v>4</v>
      </c>
      <c r="G388" s="28" t="n">
        <v>1</v>
      </c>
      <c r="H388" s="26" t="s">
        <v>91</v>
      </c>
      <c r="I388" s="26" t="s">
        <v>111</v>
      </c>
      <c r="J388" s="26"/>
      <c r="K388" s="29" t="str">
        <f aca="false">IF($A388="","",IF(COUNTIFS(tblMoveTypes[Movement],$E388)=0,"Unknown movement type",IF(COUNTIF(tblShipment[Shipment ID],$C388)=0,"Unknown shipment",IF(COUNTIFS(tblShipment[Shipment ID],$C388,tblShipment[Market],$B388)=0,"Market does not match shipment",IF(AND(IFERROR(INDEX(tblMoveTypes[Item?],MATCH($E388,tblMoveTypes[Movement],0)),"?")="Yes",$D388=""),"Item needed",IF(AND(IFERROR(INDEX(tblMoveTypes[Item?],MATCH($E388,tblMoveTypes[Movement],0)),"?")="No",$D388&lt;&gt;""),"Leave Item blank",IF(AND(IFERROR(INDEX(tblMoveTypes[Courier?],MATCH($E388,tblMoveTypes[Movement],0)),"?")="Yes",$H388=""),"Courier needed",IF(AND(IFERROR(INDEX(tblMoveTypes[Courier?],MATCH($E388,tblMoveTypes[Movement],0)),"?")="No",$H388&lt;&gt;""),"Leave Courier blank",IF(AND(IFERROR(INDEX(tblMoveTypes[Orders?],MATCH($E388,tblMoveTypes[Movement],0)),"?")="Yes",$G388=""),"Orders needed",IF(AND(IFERROR(INDEX(tblMoveTypes[Orders?],MATCH($E388,tblMoveTypes[Movement],0)),"?")="No",$G388&lt;&gt;""),"Leave Orders blank",IF(AND(IFERROR(INDEX(tblMoveTypes[Reason?],MATCH($E388,tblMoveTypes[Movement],0)),"?")="Yes",$I388=""),"Reason needed",IF(AND(IFERROR(INDEX(tblMoveTypes[Qty?],MATCH($E388,tblMoveTypes[Movement],0)),"?")="Yes",N($F388)&lt;=0),"Qty needed",IF($A388&lt;_xlfn.MINIFS(tblShipment[Arrival Date],tblShipment[Shipment ID],$C388),"Date before arrival",IF(AND($D388&lt;&gt;"",COUNTIFS(tblShipment[Shipment ID],$C388,tblShipment[Item Code],$D388)=0),"Item not in this shipment",IF(AND($H388&lt;&gt;"",COUNTIFS(tblCouriers[Courier],$H388,tblCouriers[Market],$B388)=0),"Courier not in this market","OK")))))))))))))))</f>
        <v>OK</v>
      </c>
    </row>
    <row r="389" customFormat="false" ht="15" hidden="false" customHeight="false" outlineLevel="0" collapsed="false">
      <c r="A389" s="27" t="n">
        <v>46234</v>
      </c>
      <c r="B389" s="26" t="s">
        <v>85</v>
      </c>
      <c r="C389" s="26" t="s">
        <v>141</v>
      </c>
      <c r="D389" s="26" t="s">
        <v>76</v>
      </c>
      <c r="E389" s="26" t="s">
        <v>110</v>
      </c>
      <c r="F389" s="28" t="n">
        <v>3</v>
      </c>
      <c r="G389" s="28"/>
      <c r="H389" s="26"/>
      <c r="I389" s="26"/>
      <c r="J389" s="26"/>
      <c r="K389" s="29" t="str">
        <f aca="false">IF($A389="","",IF(COUNTIFS(tblMoveTypes[Movement],$E389)=0,"Unknown movement type",IF(COUNTIF(tblShipment[Shipment ID],$C389)=0,"Unknown shipment",IF(COUNTIFS(tblShipment[Shipment ID],$C389,tblShipment[Market],$B389)=0,"Market does not match shipment",IF(AND(IFERROR(INDEX(tblMoveTypes[Item?],MATCH($E389,tblMoveTypes[Movement],0)),"?")="Yes",$D389=""),"Item needed",IF(AND(IFERROR(INDEX(tblMoveTypes[Item?],MATCH($E389,tblMoveTypes[Movement],0)),"?")="No",$D389&lt;&gt;""),"Leave Item blank",IF(AND(IFERROR(INDEX(tblMoveTypes[Courier?],MATCH($E389,tblMoveTypes[Movement],0)),"?")="Yes",$H389=""),"Courier needed",IF(AND(IFERROR(INDEX(tblMoveTypes[Courier?],MATCH($E389,tblMoveTypes[Movement],0)),"?")="No",$H389&lt;&gt;""),"Leave Courier blank",IF(AND(IFERROR(INDEX(tblMoveTypes[Orders?],MATCH($E389,tblMoveTypes[Movement],0)),"?")="Yes",$G389=""),"Orders needed",IF(AND(IFERROR(INDEX(tblMoveTypes[Orders?],MATCH($E389,tblMoveTypes[Movement],0)),"?")="No",$G389&lt;&gt;""),"Leave Orders blank",IF(AND(IFERROR(INDEX(tblMoveTypes[Reason?],MATCH($E389,tblMoveTypes[Movement],0)),"?")="Yes",$I389=""),"Reason needed",IF(AND(IFERROR(INDEX(tblMoveTypes[Qty?],MATCH($E389,tblMoveTypes[Movement],0)),"?")="Yes",N($F389)&lt;=0),"Qty needed",IF($A389&lt;_xlfn.MINIFS(tblShipment[Arrival Date],tblShipment[Shipment ID],$C389),"Date before arrival",IF(AND($D389&lt;&gt;"",COUNTIFS(tblShipment[Shipment ID],$C389,tblShipment[Item Code],$D389)=0),"Item not in this shipment",IF(AND($H389&lt;&gt;"",COUNTIFS(tblCouriers[Courier],$H389,tblCouriers[Market],$B389)=0),"Courier not in this market","OK")))))))))))))))</f>
        <v>OK</v>
      </c>
    </row>
    <row r="390" customFormat="false" ht="15" hidden="false" customHeight="false" outlineLevel="0" collapsed="false">
      <c r="A390" s="27" t="n">
        <v>46234</v>
      </c>
      <c r="B390" s="26" t="s">
        <v>85</v>
      </c>
      <c r="C390" s="26" t="s">
        <v>141</v>
      </c>
      <c r="D390" s="26" t="s">
        <v>76</v>
      </c>
      <c r="E390" s="26" t="s">
        <v>112</v>
      </c>
      <c r="F390" s="28" t="n">
        <v>1</v>
      </c>
      <c r="G390" s="28"/>
      <c r="H390" s="26"/>
      <c r="I390" s="26" t="s">
        <v>80</v>
      </c>
      <c r="J390" s="26"/>
      <c r="K390" s="29" t="str">
        <f aca="false">IF($A390="","",IF(COUNTIFS(tblMoveTypes[Movement],$E390)=0,"Unknown movement type",IF(COUNTIF(tblShipment[Shipment ID],$C390)=0,"Unknown shipment",IF(COUNTIFS(tblShipment[Shipment ID],$C390,tblShipment[Market],$B390)=0,"Market does not match shipment",IF(AND(IFERROR(INDEX(tblMoveTypes[Item?],MATCH($E390,tblMoveTypes[Movement],0)),"?")="Yes",$D390=""),"Item needed",IF(AND(IFERROR(INDEX(tblMoveTypes[Item?],MATCH($E390,tblMoveTypes[Movement],0)),"?")="No",$D390&lt;&gt;""),"Leave Item blank",IF(AND(IFERROR(INDEX(tblMoveTypes[Courier?],MATCH($E390,tblMoveTypes[Movement],0)),"?")="Yes",$H390=""),"Courier needed",IF(AND(IFERROR(INDEX(tblMoveTypes[Courier?],MATCH($E390,tblMoveTypes[Movement],0)),"?")="No",$H390&lt;&gt;""),"Leave Courier blank",IF(AND(IFERROR(INDEX(tblMoveTypes[Orders?],MATCH($E390,tblMoveTypes[Movement],0)),"?")="Yes",$G390=""),"Orders needed",IF(AND(IFERROR(INDEX(tblMoveTypes[Orders?],MATCH($E390,tblMoveTypes[Movement],0)),"?")="No",$G390&lt;&gt;""),"Leave Orders blank",IF(AND(IFERROR(INDEX(tblMoveTypes[Reason?],MATCH($E390,tblMoveTypes[Movement],0)),"?")="Yes",$I390=""),"Reason needed",IF(AND(IFERROR(INDEX(tblMoveTypes[Qty?],MATCH($E390,tblMoveTypes[Movement],0)),"?")="Yes",N($F390)&lt;=0),"Qty needed",IF($A390&lt;_xlfn.MINIFS(tblShipment[Arrival Date],tblShipment[Shipment ID],$C390),"Date before arrival",IF(AND($D390&lt;&gt;"",COUNTIFS(tblShipment[Shipment ID],$C390,tblShipment[Item Code],$D390)=0),"Item not in this shipment",IF(AND($H390&lt;&gt;"",COUNTIFS(tblCouriers[Courier],$H390,tblCouriers[Market],$B390)=0),"Courier not in this market","OK")))))))))))))))</f>
        <v>OK</v>
      </c>
    </row>
    <row r="391" customFormat="false" ht="15" hidden="false" customHeight="false" outlineLevel="0" collapsed="false">
      <c r="A391" s="27" t="n">
        <v>46234</v>
      </c>
      <c r="B391" s="26" t="s">
        <v>85</v>
      </c>
      <c r="C391" s="26" t="s">
        <v>141</v>
      </c>
      <c r="D391" s="26"/>
      <c r="E391" s="26" t="s">
        <v>106</v>
      </c>
      <c r="F391" s="28" t="n">
        <v>22</v>
      </c>
      <c r="G391" s="28" t="n">
        <v>2</v>
      </c>
      <c r="H391" s="26" t="s">
        <v>96</v>
      </c>
      <c r="I391" s="26"/>
      <c r="J391" s="26"/>
      <c r="K391" s="29" t="str">
        <f aca="false">IF($A391="","",IF(COUNTIFS(tblMoveTypes[Movement],$E391)=0,"Unknown movement type",IF(COUNTIF(tblShipment[Shipment ID],$C391)=0,"Unknown shipment",IF(COUNTIFS(tblShipment[Shipment ID],$C391,tblShipment[Market],$B391)=0,"Market does not match shipment",IF(AND(IFERROR(INDEX(tblMoveTypes[Item?],MATCH($E391,tblMoveTypes[Movement],0)),"?")="Yes",$D391=""),"Item needed",IF(AND(IFERROR(INDEX(tblMoveTypes[Item?],MATCH($E391,tblMoveTypes[Movement],0)),"?")="No",$D391&lt;&gt;""),"Leave Item blank",IF(AND(IFERROR(INDEX(tblMoveTypes[Courier?],MATCH($E391,tblMoveTypes[Movement],0)),"?")="Yes",$H391=""),"Courier needed",IF(AND(IFERROR(INDEX(tblMoveTypes[Courier?],MATCH($E391,tblMoveTypes[Movement],0)),"?")="No",$H391&lt;&gt;""),"Leave Courier blank",IF(AND(IFERROR(INDEX(tblMoveTypes[Orders?],MATCH($E391,tblMoveTypes[Movement],0)),"?")="Yes",$G391=""),"Orders needed",IF(AND(IFERROR(INDEX(tblMoveTypes[Orders?],MATCH($E391,tblMoveTypes[Movement],0)),"?")="No",$G391&lt;&gt;""),"Leave Orders blank",IF(AND(IFERROR(INDEX(tblMoveTypes[Reason?],MATCH($E391,tblMoveTypes[Movement],0)),"?")="Yes",$I391=""),"Reason needed",IF(AND(IFERROR(INDEX(tblMoveTypes[Qty?],MATCH($E391,tblMoveTypes[Movement],0)),"?")="Yes",N($F391)&lt;=0),"Qty needed",IF($A391&lt;_xlfn.MINIFS(tblShipment[Arrival Date],tblShipment[Shipment ID],$C391),"Date before arrival",IF(AND($D391&lt;&gt;"",COUNTIFS(tblShipment[Shipment ID],$C391,tblShipment[Item Code],$D391)=0),"Item not in this shipment",IF(AND($H391&lt;&gt;"",COUNTIFS(tblCouriers[Courier],$H391,tblCouriers[Market],$B391)=0),"Courier not in this market","OK")))))))))))))))</f>
        <v>OK</v>
      </c>
    </row>
    <row r="392" customFormat="false" ht="15" hidden="false" customHeight="false" outlineLevel="0" collapsed="false">
      <c r="A392" s="27" t="n">
        <v>46234</v>
      </c>
      <c r="B392" s="26" t="s">
        <v>85</v>
      </c>
      <c r="C392" s="26" t="s">
        <v>141</v>
      </c>
      <c r="D392" s="26"/>
      <c r="E392" s="26" t="s">
        <v>106</v>
      </c>
      <c r="F392" s="28" t="n">
        <v>3</v>
      </c>
      <c r="G392" s="28" t="n">
        <v>1</v>
      </c>
      <c r="H392" s="26" t="s">
        <v>91</v>
      </c>
      <c r="I392" s="26"/>
      <c r="J392" s="26"/>
      <c r="K392" s="29" t="str">
        <f aca="false">IF($A392="","",IF(COUNTIFS(tblMoveTypes[Movement],$E392)=0,"Unknown movement type",IF(COUNTIF(tblShipment[Shipment ID],$C392)=0,"Unknown shipment",IF(COUNTIFS(tblShipment[Shipment ID],$C392,tblShipment[Market],$B392)=0,"Market does not match shipment",IF(AND(IFERROR(INDEX(tblMoveTypes[Item?],MATCH($E392,tblMoveTypes[Movement],0)),"?")="Yes",$D392=""),"Item needed",IF(AND(IFERROR(INDEX(tblMoveTypes[Item?],MATCH($E392,tblMoveTypes[Movement],0)),"?")="No",$D392&lt;&gt;""),"Leave Item blank",IF(AND(IFERROR(INDEX(tblMoveTypes[Courier?],MATCH($E392,tblMoveTypes[Movement],0)),"?")="Yes",$H392=""),"Courier needed",IF(AND(IFERROR(INDEX(tblMoveTypes[Courier?],MATCH($E392,tblMoveTypes[Movement],0)),"?")="No",$H392&lt;&gt;""),"Leave Courier blank",IF(AND(IFERROR(INDEX(tblMoveTypes[Orders?],MATCH($E392,tblMoveTypes[Movement],0)),"?")="Yes",$G392=""),"Orders needed",IF(AND(IFERROR(INDEX(tblMoveTypes[Orders?],MATCH($E392,tblMoveTypes[Movement],0)),"?")="No",$G392&lt;&gt;""),"Leave Orders blank",IF(AND(IFERROR(INDEX(tblMoveTypes[Reason?],MATCH($E392,tblMoveTypes[Movement],0)),"?")="Yes",$I392=""),"Reason needed",IF(AND(IFERROR(INDEX(tblMoveTypes[Qty?],MATCH($E392,tblMoveTypes[Movement],0)),"?")="Yes",N($F392)&lt;=0),"Qty needed",IF($A392&lt;_xlfn.MINIFS(tblShipment[Arrival Date],tblShipment[Shipment ID],$C392),"Date before arrival",IF(AND($D392&lt;&gt;"",COUNTIFS(tblShipment[Shipment ID],$C392,tblShipment[Item Code],$D392)=0),"Item not in this shipment",IF(AND($H392&lt;&gt;"",COUNTIFS(tblCouriers[Courier],$H392,tblCouriers[Market],$B392)=0),"Courier not in this market","OK")))))))))))))))</f>
        <v>OK</v>
      </c>
    </row>
    <row r="393" customFormat="false" ht="15" hidden="false" customHeight="false" outlineLevel="0" collapsed="false">
      <c r="A393" s="27" t="n">
        <v>46234</v>
      </c>
      <c r="B393" s="26" t="s">
        <v>85</v>
      </c>
      <c r="C393" s="26" t="s">
        <v>142</v>
      </c>
      <c r="D393" s="26"/>
      <c r="E393" s="26" t="s">
        <v>106</v>
      </c>
      <c r="F393" s="28" t="n">
        <v>41</v>
      </c>
      <c r="G393" s="28" t="n">
        <v>6</v>
      </c>
      <c r="H393" s="26" t="s">
        <v>91</v>
      </c>
      <c r="I393" s="26"/>
      <c r="J393" s="26"/>
      <c r="K393" s="29" t="str">
        <f aca="false">IF($A393="","",IF(COUNTIFS(tblMoveTypes[Movement],$E393)=0,"Unknown movement type",IF(COUNTIF(tblShipment[Shipment ID],$C393)=0,"Unknown shipment",IF(COUNTIFS(tblShipment[Shipment ID],$C393,tblShipment[Market],$B393)=0,"Market does not match shipment",IF(AND(IFERROR(INDEX(tblMoveTypes[Item?],MATCH($E393,tblMoveTypes[Movement],0)),"?")="Yes",$D393=""),"Item needed",IF(AND(IFERROR(INDEX(tblMoveTypes[Item?],MATCH($E393,tblMoveTypes[Movement],0)),"?")="No",$D393&lt;&gt;""),"Leave Item blank",IF(AND(IFERROR(INDEX(tblMoveTypes[Courier?],MATCH($E393,tblMoveTypes[Movement],0)),"?")="Yes",$H393=""),"Courier needed",IF(AND(IFERROR(INDEX(tblMoveTypes[Courier?],MATCH($E393,tblMoveTypes[Movement],0)),"?")="No",$H393&lt;&gt;""),"Leave Courier blank",IF(AND(IFERROR(INDEX(tblMoveTypes[Orders?],MATCH($E393,tblMoveTypes[Movement],0)),"?")="Yes",$G393=""),"Orders needed",IF(AND(IFERROR(INDEX(tblMoveTypes[Orders?],MATCH($E393,tblMoveTypes[Movement],0)),"?")="No",$G393&lt;&gt;""),"Leave Orders blank",IF(AND(IFERROR(INDEX(tblMoveTypes[Reason?],MATCH($E393,tblMoveTypes[Movement],0)),"?")="Yes",$I393=""),"Reason needed",IF(AND(IFERROR(INDEX(tblMoveTypes[Qty?],MATCH($E393,tblMoveTypes[Movement],0)),"?")="Yes",N($F393)&lt;=0),"Qty needed",IF($A393&lt;_xlfn.MINIFS(tblShipment[Arrival Date],tblShipment[Shipment ID],$C393),"Date before arrival",IF(AND($D393&lt;&gt;"",COUNTIFS(tblShipment[Shipment ID],$C393,tblShipment[Item Code],$D393)=0),"Item not in this shipment",IF(AND($H393&lt;&gt;"",COUNTIFS(tblCouriers[Courier],$H393,tblCouriers[Market],$B393)=0),"Courier not in this market","OK")))))))))))))))</f>
        <v>OK</v>
      </c>
    </row>
    <row r="394" customFormat="false" ht="15" hidden="false" customHeight="false" outlineLevel="0" collapsed="false">
      <c r="A394" s="27" t="n">
        <v>46234</v>
      </c>
      <c r="B394" s="26" t="s">
        <v>85</v>
      </c>
      <c r="C394" s="26" t="s">
        <v>142</v>
      </c>
      <c r="D394" s="26"/>
      <c r="E394" s="26" t="s">
        <v>106</v>
      </c>
      <c r="F394" s="28" t="n">
        <v>33</v>
      </c>
      <c r="G394" s="28" t="n">
        <v>5</v>
      </c>
      <c r="H394" s="26" t="s">
        <v>96</v>
      </c>
      <c r="I394" s="26"/>
      <c r="J394" s="26"/>
      <c r="K394" s="29" t="str">
        <f aca="false">IF($A394="","",IF(COUNTIFS(tblMoveTypes[Movement],$E394)=0,"Unknown movement type",IF(COUNTIF(tblShipment[Shipment ID],$C394)=0,"Unknown shipment",IF(COUNTIFS(tblShipment[Shipment ID],$C394,tblShipment[Market],$B394)=0,"Market does not match shipment",IF(AND(IFERROR(INDEX(tblMoveTypes[Item?],MATCH($E394,tblMoveTypes[Movement],0)),"?")="Yes",$D394=""),"Item needed",IF(AND(IFERROR(INDEX(tblMoveTypes[Item?],MATCH($E394,tblMoveTypes[Movement],0)),"?")="No",$D394&lt;&gt;""),"Leave Item blank",IF(AND(IFERROR(INDEX(tblMoveTypes[Courier?],MATCH($E394,tblMoveTypes[Movement],0)),"?")="Yes",$H394=""),"Courier needed",IF(AND(IFERROR(INDEX(tblMoveTypes[Courier?],MATCH($E394,tblMoveTypes[Movement],0)),"?")="No",$H394&lt;&gt;""),"Leave Courier blank",IF(AND(IFERROR(INDEX(tblMoveTypes[Orders?],MATCH($E394,tblMoveTypes[Movement],0)),"?")="Yes",$G394=""),"Orders needed",IF(AND(IFERROR(INDEX(tblMoveTypes[Orders?],MATCH($E394,tblMoveTypes[Movement],0)),"?")="No",$G394&lt;&gt;""),"Leave Orders blank",IF(AND(IFERROR(INDEX(tblMoveTypes[Reason?],MATCH($E394,tblMoveTypes[Movement],0)),"?")="Yes",$I394=""),"Reason needed",IF(AND(IFERROR(INDEX(tblMoveTypes[Qty?],MATCH($E394,tblMoveTypes[Movement],0)),"?")="Yes",N($F394)&lt;=0),"Qty needed",IF($A394&lt;_xlfn.MINIFS(tblShipment[Arrival Date],tblShipment[Shipment ID],$C394),"Date before arrival",IF(AND($D394&lt;&gt;"",COUNTIFS(tblShipment[Shipment ID],$C394,tblShipment[Item Code],$D394)=0),"Item not in this shipment",IF(AND($H394&lt;&gt;"",COUNTIFS(tblCouriers[Courier],$H394,tblCouriers[Market],$B394)=0),"Courier not in this market","OK")))))))))))))))</f>
        <v>OK</v>
      </c>
    </row>
    <row r="395" customFormat="false" ht="15" hidden="false" customHeight="false" outlineLevel="0" collapsed="false">
      <c r="A395" s="27" t="n">
        <v>46234</v>
      </c>
      <c r="B395" s="26" t="s">
        <v>78</v>
      </c>
      <c r="C395" s="26" t="s">
        <v>133</v>
      </c>
      <c r="D395" s="26"/>
      <c r="E395" s="26" t="s">
        <v>106</v>
      </c>
      <c r="F395" s="28" t="n">
        <v>5</v>
      </c>
      <c r="G395" s="28" t="n">
        <v>1</v>
      </c>
      <c r="H395" s="26" t="s">
        <v>79</v>
      </c>
      <c r="I395" s="26"/>
      <c r="J395" s="26"/>
      <c r="K395" s="29" t="str">
        <f aca="false">IF($A395="","",IF(COUNTIFS(tblMoveTypes[Movement],$E395)=0,"Unknown movement type",IF(COUNTIF(tblShipment[Shipment ID],$C395)=0,"Unknown shipment",IF(COUNTIFS(tblShipment[Shipment ID],$C395,tblShipment[Market],$B395)=0,"Market does not match shipment",IF(AND(IFERROR(INDEX(tblMoveTypes[Item?],MATCH($E395,tblMoveTypes[Movement],0)),"?")="Yes",$D395=""),"Item needed",IF(AND(IFERROR(INDEX(tblMoveTypes[Item?],MATCH($E395,tblMoveTypes[Movement],0)),"?")="No",$D395&lt;&gt;""),"Leave Item blank",IF(AND(IFERROR(INDEX(tblMoveTypes[Courier?],MATCH($E395,tblMoveTypes[Movement],0)),"?")="Yes",$H395=""),"Courier needed",IF(AND(IFERROR(INDEX(tblMoveTypes[Courier?],MATCH($E395,tblMoveTypes[Movement],0)),"?")="No",$H395&lt;&gt;""),"Leave Courier blank",IF(AND(IFERROR(INDEX(tblMoveTypes[Orders?],MATCH($E395,tblMoveTypes[Movement],0)),"?")="Yes",$G395=""),"Orders needed",IF(AND(IFERROR(INDEX(tblMoveTypes[Orders?],MATCH($E395,tblMoveTypes[Movement],0)),"?")="No",$G395&lt;&gt;""),"Leave Orders blank",IF(AND(IFERROR(INDEX(tblMoveTypes[Reason?],MATCH($E395,tblMoveTypes[Movement],0)),"?")="Yes",$I395=""),"Reason needed",IF(AND(IFERROR(INDEX(tblMoveTypes[Qty?],MATCH($E395,tblMoveTypes[Movement],0)),"?")="Yes",N($F395)&lt;=0),"Qty needed",IF($A395&lt;_xlfn.MINIFS(tblShipment[Arrival Date],tblShipment[Shipment ID],$C395),"Date before arrival",IF(AND($D395&lt;&gt;"",COUNTIFS(tblShipment[Shipment ID],$C395,tblShipment[Item Code],$D395)=0),"Item not in this shipment",IF(AND($H395&lt;&gt;"",COUNTIFS(tblCouriers[Courier],$H395,tblCouriers[Market],$B395)=0),"Courier not in this market","OK")))))))))))))))</f>
        <v>OK</v>
      </c>
    </row>
    <row r="396" customFormat="false" ht="15" hidden="false" customHeight="false" outlineLevel="0" collapsed="false">
      <c r="A396" s="27" t="n">
        <v>46234</v>
      </c>
      <c r="B396" s="26" t="s">
        <v>78</v>
      </c>
      <c r="C396" s="26" t="s">
        <v>133</v>
      </c>
      <c r="D396" s="26"/>
      <c r="E396" s="26" t="s">
        <v>106</v>
      </c>
      <c r="F396" s="28" t="n">
        <v>5</v>
      </c>
      <c r="G396" s="28" t="n">
        <v>1</v>
      </c>
      <c r="H396" s="26" t="s">
        <v>79</v>
      </c>
      <c r="I396" s="26"/>
      <c r="J396" s="26"/>
      <c r="K396" s="29" t="str">
        <f aca="false">IF($A396="","",IF(COUNTIFS(tblMoveTypes[Movement],$E396)=0,"Unknown movement type",IF(COUNTIF(tblShipment[Shipment ID],$C396)=0,"Unknown shipment",IF(COUNTIFS(tblShipment[Shipment ID],$C396,tblShipment[Market],$B396)=0,"Market does not match shipment",IF(AND(IFERROR(INDEX(tblMoveTypes[Item?],MATCH($E396,tblMoveTypes[Movement],0)),"?")="Yes",$D396=""),"Item needed",IF(AND(IFERROR(INDEX(tblMoveTypes[Item?],MATCH($E396,tblMoveTypes[Movement],0)),"?")="No",$D396&lt;&gt;""),"Leave Item blank",IF(AND(IFERROR(INDEX(tblMoveTypes[Courier?],MATCH($E396,tblMoveTypes[Movement],0)),"?")="Yes",$H396=""),"Courier needed",IF(AND(IFERROR(INDEX(tblMoveTypes[Courier?],MATCH($E396,tblMoveTypes[Movement],0)),"?")="No",$H396&lt;&gt;""),"Leave Courier blank",IF(AND(IFERROR(INDEX(tblMoveTypes[Orders?],MATCH($E396,tblMoveTypes[Movement],0)),"?")="Yes",$G396=""),"Orders needed",IF(AND(IFERROR(INDEX(tblMoveTypes[Orders?],MATCH($E396,tblMoveTypes[Movement],0)),"?")="No",$G396&lt;&gt;""),"Leave Orders blank",IF(AND(IFERROR(INDEX(tblMoveTypes[Reason?],MATCH($E396,tblMoveTypes[Movement],0)),"?")="Yes",$I396=""),"Reason needed",IF(AND(IFERROR(INDEX(tblMoveTypes[Qty?],MATCH($E396,tblMoveTypes[Movement],0)),"?")="Yes",N($F396)&lt;=0),"Qty needed",IF($A396&lt;_xlfn.MINIFS(tblShipment[Arrival Date],tblShipment[Shipment ID],$C396),"Date before arrival",IF(AND($D396&lt;&gt;"",COUNTIFS(tblShipment[Shipment ID],$C396,tblShipment[Item Code],$D396)=0),"Item not in this shipment",IF(AND($H396&lt;&gt;"",COUNTIFS(tblCouriers[Courier],$H396,tblCouriers[Market],$B396)=0),"Courier not in this market","OK")))))))))))))))</f>
        <v>OK</v>
      </c>
    </row>
    <row r="397" customFormat="false" ht="15" hidden="false" customHeight="false" outlineLevel="0" collapsed="false">
      <c r="A397" s="27" t="n">
        <v>46234</v>
      </c>
      <c r="B397" s="26" t="s">
        <v>78</v>
      </c>
      <c r="C397" s="26" t="s">
        <v>134</v>
      </c>
      <c r="D397" s="26"/>
      <c r="E397" s="26" t="s">
        <v>106</v>
      </c>
      <c r="F397" s="28" t="n">
        <v>39</v>
      </c>
      <c r="G397" s="28" t="n">
        <v>6</v>
      </c>
      <c r="H397" s="26" t="s">
        <v>79</v>
      </c>
      <c r="I397" s="26"/>
      <c r="J397" s="26"/>
      <c r="K397" s="29" t="str">
        <f aca="false">IF($A397="","",IF(COUNTIFS(tblMoveTypes[Movement],$E397)=0,"Unknown movement type",IF(COUNTIF(tblShipment[Shipment ID],$C397)=0,"Unknown shipment",IF(COUNTIFS(tblShipment[Shipment ID],$C397,tblShipment[Market],$B397)=0,"Market does not match shipment",IF(AND(IFERROR(INDEX(tblMoveTypes[Item?],MATCH($E397,tblMoveTypes[Movement],0)),"?")="Yes",$D397=""),"Item needed",IF(AND(IFERROR(INDEX(tblMoveTypes[Item?],MATCH($E397,tblMoveTypes[Movement],0)),"?")="No",$D397&lt;&gt;""),"Leave Item blank",IF(AND(IFERROR(INDEX(tblMoveTypes[Courier?],MATCH($E397,tblMoveTypes[Movement],0)),"?")="Yes",$H397=""),"Courier needed",IF(AND(IFERROR(INDEX(tblMoveTypes[Courier?],MATCH($E397,tblMoveTypes[Movement],0)),"?")="No",$H397&lt;&gt;""),"Leave Courier blank",IF(AND(IFERROR(INDEX(tblMoveTypes[Orders?],MATCH($E397,tblMoveTypes[Movement],0)),"?")="Yes",$G397=""),"Orders needed",IF(AND(IFERROR(INDEX(tblMoveTypes[Orders?],MATCH($E397,tblMoveTypes[Movement],0)),"?")="No",$G397&lt;&gt;""),"Leave Orders blank",IF(AND(IFERROR(INDEX(tblMoveTypes[Reason?],MATCH($E397,tblMoveTypes[Movement],0)),"?")="Yes",$I397=""),"Reason needed",IF(AND(IFERROR(INDEX(tblMoveTypes[Qty?],MATCH($E397,tblMoveTypes[Movement],0)),"?")="Yes",N($F397)&lt;=0),"Qty needed",IF($A397&lt;_xlfn.MINIFS(tblShipment[Arrival Date],tblShipment[Shipment ID],$C397),"Date before arrival",IF(AND($D397&lt;&gt;"",COUNTIFS(tblShipment[Shipment ID],$C397,tblShipment[Item Code],$D397)=0),"Item not in this shipment",IF(AND($H397&lt;&gt;"",COUNTIFS(tblCouriers[Courier],$H397,tblCouriers[Market],$B397)=0),"Courier not in this market","OK")))))))))))))))</f>
        <v>OK</v>
      </c>
    </row>
    <row r="398" customFormat="false" ht="15" hidden="false" customHeight="false" outlineLevel="0" collapsed="false">
      <c r="A398" s="27" t="n">
        <v>46235</v>
      </c>
      <c r="B398" s="26" t="s">
        <v>70</v>
      </c>
      <c r="C398" s="26" t="s">
        <v>126</v>
      </c>
      <c r="D398" s="26" t="s">
        <v>94</v>
      </c>
      <c r="E398" s="26" t="s">
        <v>93</v>
      </c>
      <c r="F398" s="28" t="n">
        <v>5</v>
      </c>
      <c r="G398" s="28"/>
      <c r="H398" s="26" t="s">
        <v>71</v>
      </c>
      <c r="I398" s="26"/>
      <c r="J398" s="26"/>
      <c r="K398" s="29" t="str">
        <f aca="false">IF($A398="","",IF(COUNTIFS(tblMoveTypes[Movement],$E398)=0,"Unknown movement type",IF(COUNTIF(tblShipment[Shipment ID],$C398)=0,"Unknown shipment",IF(COUNTIFS(tblShipment[Shipment ID],$C398,tblShipment[Market],$B398)=0,"Market does not match shipment",IF(AND(IFERROR(INDEX(tblMoveTypes[Item?],MATCH($E398,tblMoveTypes[Movement],0)),"?")="Yes",$D398=""),"Item needed",IF(AND(IFERROR(INDEX(tblMoveTypes[Item?],MATCH($E398,tblMoveTypes[Movement],0)),"?")="No",$D398&lt;&gt;""),"Leave Item blank",IF(AND(IFERROR(INDEX(tblMoveTypes[Courier?],MATCH($E398,tblMoveTypes[Movement],0)),"?")="Yes",$H398=""),"Courier needed",IF(AND(IFERROR(INDEX(tblMoveTypes[Courier?],MATCH($E398,tblMoveTypes[Movement],0)),"?")="No",$H398&lt;&gt;""),"Leave Courier blank",IF(AND(IFERROR(INDEX(tblMoveTypes[Orders?],MATCH($E398,tblMoveTypes[Movement],0)),"?")="Yes",$G398=""),"Orders needed",IF(AND(IFERROR(INDEX(tblMoveTypes[Orders?],MATCH($E398,tblMoveTypes[Movement],0)),"?")="No",$G398&lt;&gt;""),"Leave Orders blank",IF(AND(IFERROR(INDEX(tblMoveTypes[Reason?],MATCH($E398,tblMoveTypes[Movement],0)),"?")="Yes",$I398=""),"Reason needed",IF(AND(IFERROR(INDEX(tblMoveTypes[Qty?],MATCH($E398,tblMoveTypes[Movement],0)),"?")="Yes",N($F398)&lt;=0),"Qty needed",IF($A398&lt;_xlfn.MINIFS(tblShipment[Arrival Date],tblShipment[Shipment ID],$C398),"Date before arrival",IF(AND($D398&lt;&gt;"",COUNTIFS(tblShipment[Shipment ID],$C398,tblShipment[Item Code],$D398)=0),"Item not in this shipment",IF(AND($H398&lt;&gt;"",COUNTIFS(tblCouriers[Courier],$H398,tblCouriers[Market],$B398)=0),"Courier not in this market","OK")))))))))))))))</f>
        <v>OK</v>
      </c>
    </row>
    <row r="399" customFormat="false" ht="15" hidden="false" customHeight="false" outlineLevel="0" collapsed="false">
      <c r="A399" s="27" t="n">
        <v>46235</v>
      </c>
      <c r="B399" s="26" t="s">
        <v>70</v>
      </c>
      <c r="C399" s="26" t="s">
        <v>126</v>
      </c>
      <c r="D399" s="26"/>
      <c r="E399" s="26" t="s">
        <v>104</v>
      </c>
      <c r="F399" s="28"/>
      <c r="G399" s="28" t="n">
        <v>1</v>
      </c>
      <c r="H399" s="26" t="s">
        <v>71</v>
      </c>
      <c r="I399" s="26"/>
      <c r="J399" s="26"/>
      <c r="K399" s="29" t="str">
        <f aca="false">IF($A399="","",IF(COUNTIFS(tblMoveTypes[Movement],$E399)=0,"Unknown movement type",IF(COUNTIF(tblShipment[Shipment ID],$C399)=0,"Unknown shipment",IF(COUNTIFS(tblShipment[Shipment ID],$C399,tblShipment[Market],$B399)=0,"Market does not match shipment",IF(AND(IFERROR(INDEX(tblMoveTypes[Item?],MATCH($E399,tblMoveTypes[Movement],0)),"?")="Yes",$D399=""),"Item needed",IF(AND(IFERROR(INDEX(tblMoveTypes[Item?],MATCH($E399,tblMoveTypes[Movement],0)),"?")="No",$D399&lt;&gt;""),"Leave Item blank",IF(AND(IFERROR(INDEX(tblMoveTypes[Courier?],MATCH($E399,tblMoveTypes[Movement],0)),"?")="Yes",$H399=""),"Courier needed",IF(AND(IFERROR(INDEX(tblMoveTypes[Courier?],MATCH($E399,tblMoveTypes[Movement],0)),"?")="No",$H399&lt;&gt;""),"Leave Courier blank",IF(AND(IFERROR(INDEX(tblMoveTypes[Orders?],MATCH($E399,tblMoveTypes[Movement],0)),"?")="Yes",$G399=""),"Orders needed",IF(AND(IFERROR(INDEX(tblMoveTypes[Orders?],MATCH($E399,tblMoveTypes[Movement],0)),"?")="No",$G399&lt;&gt;""),"Leave Orders blank",IF(AND(IFERROR(INDEX(tblMoveTypes[Reason?],MATCH($E399,tblMoveTypes[Movement],0)),"?")="Yes",$I399=""),"Reason needed",IF(AND(IFERROR(INDEX(tblMoveTypes[Qty?],MATCH($E399,tblMoveTypes[Movement],0)),"?")="Yes",N($F399)&lt;=0),"Qty needed",IF($A399&lt;_xlfn.MINIFS(tblShipment[Arrival Date],tblShipment[Shipment ID],$C399),"Date before arrival",IF(AND($D399&lt;&gt;"",COUNTIFS(tblShipment[Shipment ID],$C399,tblShipment[Item Code],$D399)=0),"Item not in this shipment",IF(AND($H399&lt;&gt;"",COUNTIFS(tblCouriers[Courier],$H399,tblCouriers[Market],$B399)=0),"Courier not in this market","OK")))))))))))))))</f>
        <v>OK</v>
      </c>
    </row>
    <row r="400" customFormat="false" ht="15" hidden="false" customHeight="false" outlineLevel="0" collapsed="false">
      <c r="A400" s="27" t="n">
        <v>46235</v>
      </c>
      <c r="B400" s="26" t="s">
        <v>85</v>
      </c>
      <c r="C400" s="26" t="s">
        <v>141</v>
      </c>
      <c r="D400" s="26"/>
      <c r="E400" s="26" t="s">
        <v>106</v>
      </c>
      <c r="F400" s="28" t="n">
        <v>13</v>
      </c>
      <c r="G400" s="28" t="n">
        <v>2</v>
      </c>
      <c r="H400" s="26" t="s">
        <v>91</v>
      </c>
      <c r="I400" s="26"/>
      <c r="J400" s="26"/>
      <c r="K400" s="29" t="str">
        <f aca="false">IF($A400="","",IF(COUNTIFS(tblMoveTypes[Movement],$E400)=0,"Unknown movement type",IF(COUNTIF(tblShipment[Shipment ID],$C400)=0,"Unknown shipment",IF(COUNTIFS(tblShipment[Shipment ID],$C400,tblShipment[Market],$B400)=0,"Market does not match shipment",IF(AND(IFERROR(INDEX(tblMoveTypes[Item?],MATCH($E400,tblMoveTypes[Movement],0)),"?")="Yes",$D400=""),"Item needed",IF(AND(IFERROR(INDEX(tblMoveTypes[Item?],MATCH($E400,tblMoveTypes[Movement],0)),"?")="No",$D400&lt;&gt;""),"Leave Item blank",IF(AND(IFERROR(INDEX(tblMoveTypes[Courier?],MATCH($E400,tblMoveTypes[Movement],0)),"?")="Yes",$H400=""),"Courier needed",IF(AND(IFERROR(INDEX(tblMoveTypes[Courier?],MATCH($E400,tblMoveTypes[Movement],0)),"?")="No",$H400&lt;&gt;""),"Leave Courier blank",IF(AND(IFERROR(INDEX(tblMoveTypes[Orders?],MATCH($E400,tblMoveTypes[Movement],0)),"?")="Yes",$G400=""),"Orders needed",IF(AND(IFERROR(INDEX(tblMoveTypes[Orders?],MATCH($E400,tblMoveTypes[Movement],0)),"?")="No",$G400&lt;&gt;""),"Leave Orders blank",IF(AND(IFERROR(INDEX(tblMoveTypes[Reason?],MATCH($E400,tblMoveTypes[Movement],0)),"?")="Yes",$I400=""),"Reason needed",IF(AND(IFERROR(INDEX(tblMoveTypes[Qty?],MATCH($E400,tblMoveTypes[Movement],0)),"?")="Yes",N($F400)&lt;=0),"Qty needed",IF($A400&lt;_xlfn.MINIFS(tblShipment[Arrival Date],tblShipment[Shipment ID],$C400),"Date before arrival",IF(AND($D400&lt;&gt;"",COUNTIFS(tblShipment[Shipment ID],$C400,tblShipment[Item Code],$D400)=0),"Item not in this shipment",IF(AND($H400&lt;&gt;"",COUNTIFS(tblCouriers[Courier],$H400,tblCouriers[Market],$B400)=0),"Courier not in this market","OK")))))))))))))))</f>
        <v>OK</v>
      </c>
    </row>
    <row r="401" customFormat="false" ht="15" hidden="false" customHeight="false" outlineLevel="0" collapsed="false">
      <c r="A401" s="27" t="n">
        <v>46235</v>
      </c>
      <c r="B401" s="26" t="s">
        <v>90</v>
      </c>
      <c r="C401" s="26" t="s">
        <v>150</v>
      </c>
      <c r="D401" s="26" t="s">
        <v>99</v>
      </c>
      <c r="E401" s="26" t="s">
        <v>74</v>
      </c>
      <c r="F401" s="28" t="n">
        <v>120</v>
      </c>
      <c r="G401" s="28"/>
      <c r="H401" s="26"/>
      <c r="I401" s="26"/>
      <c r="J401" s="26"/>
      <c r="K401" s="29" t="str">
        <f aca="false">IF($A401="","",IF(COUNTIFS(tblMoveTypes[Movement],$E401)=0,"Unknown movement type",IF(COUNTIF(tblShipment[Shipment ID],$C401)=0,"Unknown shipment",IF(COUNTIFS(tblShipment[Shipment ID],$C401,tblShipment[Market],$B401)=0,"Market does not match shipment",IF(AND(IFERROR(INDEX(tblMoveTypes[Item?],MATCH($E401,tblMoveTypes[Movement],0)),"?")="Yes",$D401=""),"Item needed",IF(AND(IFERROR(INDEX(tblMoveTypes[Item?],MATCH($E401,tblMoveTypes[Movement],0)),"?")="No",$D401&lt;&gt;""),"Leave Item blank",IF(AND(IFERROR(INDEX(tblMoveTypes[Courier?],MATCH($E401,tblMoveTypes[Movement],0)),"?")="Yes",$H401=""),"Courier needed",IF(AND(IFERROR(INDEX(tblMoveTypes[Courier?],MATCH($E401,tblMoveTypes[Movement],0)),"?")="No",$H401&lt;&gt;""),"Leave Courier blank",IF(AND(IFERROR(INDEX(tblMoveTypes[Orders?],MATCH($E401,tblMoveTypes[Movement],0)),"?")="Yes",$G401=""),"Orders needed",IF(AND(IFERROR(INDEX(tblMoveTypes[Orders?],MATCH($E401,tblMoveTypes[Movement],0)),"?")="No",$G401&lt;&gt;""),"Leave Orders blank",IF(AND(IFERROR(INDEX(tblMoveTypes[Reason?],MATCH($E401,tblMoveTypes[Movement],0)),"?")="Yes",$I401=""),"Reason needed",IF(AND(IFERROR(INDEX(tblMoveTypes[Qty?],MATCH($E401,tblMoveTypes[Movement],0)),"?")="Yes",N($F401)&lt;=0),"Qty needed",IF($A401&lt;_xlfn.MINIFS(tblShipment[Arrival Date],tblShipment[Shipment ID],$C401),"Date before arrival",IF(AND($D401&lt;&gt;"",COUNTIFS(tblShipment[Shipment ID],$C401,tblShipment[Item Code],$D401)=0),"Item not in this shipment",IF(AND($H401&lt;&gt;"",COUNTIFS(tblCouriers[Courier],$H401,tblCouriers[Market],$B401)=0),"Courier not in this market","OK")))))))))))))))</f>
        <v>OK</v>
      </c>
    </row>
    <row r="402" customFormat="false" ht="15" hidden="false" customHeight="false" outlineLevel="0" collapsed="false">
      <c r="A402" s="27" t="n">
        <v>46235</v>
      </c>
      <c r="B402" s="26" t="s">
        <v>90</v>
      </c>
      <c r="C402" s="26" t="s">
        <v>150</v>
      </c>
      <c r="D402" s="26" t="s">
        <v>76</v>
      </c>
      <c r="E402" s="26" t="s">
        <v>74</v>
      </c>
      <c r="F402" s="28" t="n">
        <v>60</v>
      </c>
      <c r="G402" s="28"/>
      <c r="H402" s="26"/>
      <c r="I402" s="26"/>
      <c r="J402" s="26"/>
      <c r="K402" s="29" t="str">
        <f aca="false">IF($A402="","",IF(COUNTIFS(tblMoveTypes[Movement],$E402)=0,"Unknown movement type",IF(COUNTIF(tblShipment[Shipment ID],$C402)=0,"Unknown shipment",IF(COUNTIFS(tblShipment[Shipment ID],$C402,tblShipment[Market],$B402)=0,"Market does not match shipment",IF(AND(IFERROR(INDEX(tblMoveTypes[Item?],MATCH($E402,tblMoveTypes[Movement],0)),"?")="Yes",$D402=""),"Item needed",IF(AND(IFERROR(INDEX(tblMoveTypes[Item?],MATCH($E402,tblMoveTypes[Movement],0)),"?")="No",$D402&lt;&gt;""),"Leave Item blank",IF(AND(IFERROR(INDEX(tblMoveTypes[Courier?],MATCH($E402,tblMoveTypes[Movement],0)),"?")="Yes",$H402=""),"Courier needed",IF(AND(IFERROR(INDEX(tblMoveTypes[Courier?],MATCH($E402,tblMoveTypes[Movement],0)),"?")="No",$H402&lt;&gt;""),"Leave Courier blank",IF(AND(IFERROR(INDEX(tblMoveTypes[Orders?],MATCH($E402,tblMoveTypes[Movement],0)),"?")="Yes",$G402=""),"Orders needed",IF(AND(IFERROR(INDEX(tblMoveTypes[Orders?],MATCH($E402,tblMoveTypes[Movement],0)),"?")="No",$G402&lt;&gt;""),"Leave Orders blank",IF(AND(IFERROR(INDEX(tblMoveTypes[Reason?],MATCH($E402,tblMoveTypes[Movement],0)),"?")="Yes",$I402=""),"Reason needed",IF(AND(IFERROR(INDEX(tblMoveTypes[Qty?],MATCH($E402,tblMoveTypes[Movement],0)),"?")="Yes",N($F402)&lt;=0),"Qty needed",IF($A402&lt;_xlfn.MINIFS(tblShipment[Arrival Date],tblShipment[Shipment ID],$C402),"Date before arrival",IF(AND($D402&lt;&gt;"",COUNTIFS(tblShipment[Shipment ID],$C402,tblShipment[Item Code],$D402)=0),"Item not in this shipment",IF(AND($H402&lt;&gt;"",COUNTIFS(tblCouriers[Courier],$H402,tblCouriers[Market],$B402)=0),"Courier not in this market","OK")))))))))))))))</f>
        <v>OK</v>
      </c>
    </row>
    <row r="403" customFormat="false" ht="15" hidden="false" customHeight="false" outlineLevel="0" collapsed="false">
      <c r="A403" s="27" t="n">
        <v>46235</v>
      </c>
      <c r="B403" s="26" t="s">
        <v>90</v>
      </c>
      <c r="C403" s="26" t="s">
        <v>150</v>
      </c>
      <c r="D403" s="26" t="s">
        <v>67</v>
      </c>
      <c r="E403" s="26" t="s">
        <v>74</v>
      </c>
      <c r="F403" s="28" t="n">
        <v>50</v>
      </c>
      <c r="G403" s="28"/>
      <c r="H403" s="26"/>
      <c r="I403" s="26"/>
      <c r="J403" s="26"/>
      <c r="K403" s="29" t="str">
        <f aca="false">IF($A403="","",IF(COUNTIFS(tblMoveTypes[Movement],$E403)=0,"Unknown movement type",IF(COUNTIF(tblShipment[Shipment ID],$C403)=0,"Unknown shipment",IF(COUNTIFS(tblShipment[Shipment ID],$C403,tblShipment[Market],$B403)=0,"Market does not match shipment",IF(AND(IFERROR(INDEX(tblMoveTypes[Item?],MATCH($E403,tblMoveTypes[Movement],0)),"?")="Yes",$D403=""),"Item needed",IF(AND(IFERROR(INDEX(tblMoveTypes[Item?],MATCH($E403,tblMoveTypes[Movement],0)),"?")="No",$D403&lt;&gt;""),"Leave Item blank",IF(AND(IFERROR(INDEX(tblMoveTypes[Courier?],MATCH($E403,tblMoveTypes[Movement],0)),"?")="Yes",$H403=""),"Courier needed",IF(AND(IFERROR(INDEX(tblMoveTypes[Courier?],MATCH($E403,tblMoveTypes[Movement],0)),"?")="No",$H403&lt;&gt;""),"Leave Courier blank",IF(AND(IFERROR(INDEX(tblMoveTypes[Orders?],MATCH($E403,tblMoveTypes[Movement],0)),"?")="Yes",$G403=""),"Orders needed",IF(AND(IFERROR(INDEX(tblMoveTypes[Orders?],MATCH($E403,tblMoveTypes[Movement],0)),"?")="No",$G403&lt;&gt;""),"Leave Orders blank",IF(AND(IFERROR(INDEX(tblMoveTypes[Reason?],MATCH($E403,tblMoveTypes[Movement],0)),"?")="Yes",$I403=""),"Reason needed",IF(AND(IFERROR(INDEX(tblMoveTypes[Qty?],MATCH($E403,tblMoveTypes[Movement],0)),"?")="Yes",N($F403)&lt;=0),"Qty needed",IF($A403&lt;_xlfn.MINIFS(tblShipment[Arrival Date],tblShipment[Shipment ID],$C403),"Date before arrival",IF(AND($D403&lt;&gt;"",COUNTIFS(tblShipment[Shipment ID],$C403,tblShipment[Item Code],$D403)=0),"Item not in this shipment",IF(AND($H403&lt;&gt;"",COUNTIFS(tblCouriers[Courier],$H403,tblCouriers[Market],$B403)=0),"Courier not in this market","OK")))))))))))))))</f>
        <v>OK</v>
      </c>
    </row>
    <row r="404" customFormat="false" ht="15" hidden="false" customHeight="false" outlineLevel="0" collapsed="false">
      <c r="A404" s="27" t="n">
        <v>46235</v>
      </c>
      <c r="B404" s="26" t="s">
        <v>90</v>
      </c>
      <c r="C404" s="26" t="s">
        <v>150</v>
      </c>
      <c r="D404" s="26" t="s">
        <v>94</v>
      </c>
      <c r="E404" s="26" t="s">
        <v>74</v>
      </c>
      <c r="F404" s="28" t="n">
        <v>100</v>
      </c>
      <c r="G404" s="28"/>
      <c r="H404" s="26"/>
      <c r="I404" s="26"/>
      <c r="J404" s="26"/>
      <c r="K404" s="29" t="str">
        <f aca="false">IF($A404="","",IF(COUNTIFS(tblMoveTypes[Movement],$E404)=0,"Unknown movement type",IF(COUNTIF(tblShipment[Shipment ID],$C404)=0,"Unknown shipment",IF(COUNTIFS(tblShipment[Shipment ID],$C404,tblShipment[Market],$B404)=0,"Market does not match shipment",IF(AND(IFERROR(INDEX(tblMoveTypes[Item?],MATCH($E404,tblMoveTypes[Movement],0)),"?")="Yes",$D404=""),"Item needed",IF(AND(IFERROR(INDEX(tblMoveTypes[Item?],MATCH($E404,tblMoveTypes[Movement],0)),"?")="No",$D404&lt;&gt;""),"Leave Item blank",IF(AND(IFERROR(INDEX(tblMoveTypes[Courier?],MATCH($E404,tblMoveTypes[Movement],0)),"?")="Yes",$H404=""),"Courier needed",IF(AND(IFERROR(INDEX(tblMoveTypes[Courier?],MATCH($E404,tblMoveTypes[Movement],0)),"?")="No",$H404&lt;&gt;""),"Leave Courier blank",IF(AND(IFERROR(INDEX(tblMoveTypes[Orders?],MATCH($E404,tblMoveTypes[Movement],0)),"?")="Yes",$G404=""),"Orders needed",IF(AND(IFERROR(INDEX(tblMoveTypes[Orders?],MATCH($E404,tblMoveTypes[Movement],0)),"?")="No",$G404&lt;&gt;""),"Leave Orders blank",IF(AND(IFERROR(INDEX(tblMoveTypes[Reason?],MATCH($E404,tblMoveTypes[Movement],0)),"?")="Yes",$I404=""),"Reason needed",IF(AND(IFERROR(INDEX(tblMoveTypes[Qty?],MATCH($E404,tblMoveTypes[Movement],0)),"?")="Yes",N($F404)&lt;=0),"Qty needed",IF($A404&lt;_xlfn.MINIFS(tblShipment[Arrival Date],tblShipment[Shipment ID],$C404),"Date before arrival",IF(AND($D404&lt;&gt;"",COUNTIFS(tblShipment[Shipment ID],$C404,tblShipment[Item Code],$D404)=0),"Item not in this shipment",IF(AND($H404&lt;&gt;"",COUNTIFS(tblCouriers[Courier],$H404,tblCouriers[Market],$B404)=0),"Courier not in this market","OK")))))))))))))))</f>
        <v>OK</v>
      </c>
    </row>
    <row r="405" customFormat="false" ht="15" hidden="false" customHeight="false" outlineLevel="0" collapsed="false">
      <c r="A405" s="27" t="n">
        <v>46235</v>
      </c>
      <c r="B405" s="26" t="s">
        <v>90</v>
      </c>
      <c r="C405" s="26" t="s">
        <v>150</v>
      </c>
      <c r="D405" s="26" t="s">
        <v>83</v>
      </c>
      <c r="E405" s="26" t="s">
        <v>74</v>
      </c>
      <c r="F405" s="28" t="n">
        <v>60</v>
      </c>
      <c r="G405" s="28"/>
      <c r="H405" s="26"/>
      <c r="I405" s="26"/>
      <c r="J405" s="26"/>
      <c r="K405" s="29" t="str">
        <f aca="false">IF($A405="","",IF(COUNTIFS(tblMoveTypes[Movement],$E405)=0,"Unknown movement type",IF(COUNTIF(tblShipment[Shipment ID],$C405)=0,"Unknown shipment",IF(COUNTIFS(tblShipment[Shipment ID],$C405,tblShipment[Market],$B405)=0,"Market does not match shipment",IF(AND(IFERROR(INDEX(tblMoveTypes[Item?],MATCH($E405,tblMoveTypes[Movement],0)),"?")="Yes",$D405=""),"Item needed",IF(AND(IFERROR(INDEX(tblMoveTypes[Item?],MATCH($E405,tblMoveTypes[Movement],0)),"?")="No",$D405&lt;&gt;""),"Leave Item blank",IF(AND(IFERROR(INDEX(tblMoveTypes[Courier?],MATCH($E405,tblMoveTypes[Movement],0)),"?")="Yes",$H405=""),"Courier needed",IF(AND(IFERROR(INDEX(tblMoveTypes[Courier?],MATCH($E405,tblMoveTypes[Movement],0)),"?")="No",$H405&lt;&gt;""),"Leave Courier blank",IF(AND(IFERROR(INDEX(tblMoveTypes[Orders?],MATCH($E405,tblMoveTypes[Movement],0)),"?")="Yes",$G405=""),"Orders needed",IF(AND(IFERROR(INDEX(tblMoveTypes[Orders?],MATCH($E405,tblMoveTypes[Movement],0)),"?")="No",$G405&lt;&gt;""),"Leave Orders blank",IF(AND(IFERROR(INDEX(tblMoveTypes[Reason?],MATCH($E405,tblMoveTypes[Movement],0)),"?")="Yes",$I405=""),"Reason needed",IF(AND(IFERROR(INDEX(tblMoveTypes[Qty?],MATCH($E405,tblMoveTypes[Movement],0)),"?")="Yes",N($F405)&lt;=0),"Qty needed",IF($A405&lt;_xlfn.MINIFS(tblShipment[Arrival Date],tblShipment[Shipment ID],$C405),"Date before arrival",IF(AND($D405&lt;&gt;"",COUNTIFS(tblShipment[Shipment ID],$C405,tblShipment[Item Code],$D405)=0),"Item not in this shipment",IF(AND($H405&lt;&gt;"",COUNTIFS(tblCouriers[Courier],$H405,tblCouriers[Market],$B405)=0),"Courier not in this market","OK")))))))))))))))</f>
        <v>OK</v>
      </c>
    </row>
    <row r="406" customFormat="false" ht="15" hidden="false" customHeight="false" outlineLevel="0" collapsed="false">
      <c r="A406" s="27" t="n">
        <v>46235</v>
      </c>
      <c r="B406" s="26" t="s">
        <v>90</v>
      </c>
      <c r="C406" s="26" t="s">
        <v>150</v>
      </c>
      <c r="D406" s="26"/>
      <c r="E406" s="26" t="s">
        <v>98</v>
      </c>
      <c r="F406" s="28"/>
      <c r="G406" s="28" t="n">
        <v>56</v>
      </c>
      <c r="H406" s="26"/>
      <c r="I406" s="26"/>
      <c r="J406" s="26"/>
      <c r="K406" s="29" t="str">
        <f aca="false">IF($A406="","",IF(COUNTIFS(tblMoveTypes[Movement],$E406)=0,"Unknown movement type",IF(COUNTIF(tblShipment[Shipment ID],$C406)=0,"Unknown shipment",IF(COUNTIFS(tblShipment[Shipment ID],$C406,tblShipment[Market],$B406)=0,"Market does not match shipment",IF(AND(IFERROR(INDEX(tblMoveTypes[Item?],MATCH($E406,tblMoveTypes[Movement],0)),"?")="Yes",$D406=""),"Item needed",IF(AND(IFERROR(INDEX(tblMoveTypes[Item?],MATCH($E406,tblMoveTypes[Movement],0)),"?")="No",$D406&lt;&gt;""),"Leave Item blank",IF(AND(IFERROR(INDEX(tblMoveTypes[Courier?],MATCH($E406,tblMoveTypes[Movement],0)),"?")="Yes",$H406=""),"Courier needed",IF(AND(IFERROR(INDEX(tblMoveTypes[Courier?],MATCH($E406,tblMoveTypes[Movement],0)),"?")="No",$H406&lt;&gt;""),"Leave Courier blank",IF(AND(IFERROR(INDEX(tblMoveTypes[Orders?],MATCH($E406,tblMoveTypes[Movement],0)),"?")="Yes",$G406=""),"Orders needed",IF(AND(IFERROR(INDEX(tblMoveTypes[Orders?],MATCH($E406,tblMoveTypes[Movement],0)),"?")="No",$G406&lt;&gt;""),"Leave Orders blank",IF(AND(IFERROR(INDEX(tblMoveTypes[Reason?],MATCH($E406,tblMoveTypes[Movement],0)),"?")="Yes",$I406=""),"Reason needed",IF(AND(IFERROR(INDEX(tblMoveTypes[Qty?],MATCH($E406,tblMoveTypes[Movement],0)),"?")="Yes",N($F406)&lt;=0),"Qty needed",IF($A406&lt;_xlfn.MINIFS(tblShipment[Arrival Date],tblShipment[Shipment ID],$C406),"Date before arrival",IF(AND($D406&lt;&gt;"",COUNTIFS(tblShipment[Shipment ID],$C406,tblShipment[Item Code],$D406)=0),"Item not in this shipment",IF(AND($H406&lt;&gt;"",COUNTIFS(tblCouriers[Courier],$H406,tblCouriers[Market],$B406)=0),"Courier not in this market","OK")))))))))))))))</f>
        <v>OK</v>
      </c>
    </row>
    <row r="407" customFormat="false" ht="15" hidden="false" customHeight="false" outlineLevel="0" collapsed="false">
      <c r="A407" s="27" t="n">
        <v>46235</v>
      </c>
      <c r="B407" s="26" t="s">
        <v>90</v>
      </c>
      <c r="C407" s="26" t="s">
        <v>150</v>
      </c>
      <c r="D407" s="26" t="s">
        <v>99</v>
      </c>
      <c r="E407" s="26" t="s">
        <v>73</v>
      </c>
      <c r="F407" s="28" t="n">
        <v>5</v>
      </c>
      <c r="G407" s="28"/>
      <c r="H407" s="26"/>
      <c r="I407" s="26" t="s">
        <v>87</v>
      </c>
      <c r="J407" s="26"/>
      <c r="K407" s="29" t="str">
        <f aca="false">IF($A407="","",IF(COUNTIFS(tblMoveTypes[Movement],$E407)=0,"Unknown movement type",IF(COUNTIF(tblShipment[Shipment ID],$C407)=0,"Unknown shipment",IF(COUNTIFS(tblShipment[Shipment ID],$C407,tblShipment[Market],$B407)=0,"Market does not match shipment",IF(AND(IFERROR(INDEX(tblMoveTypes[Item?],MATCH($E407,tblMoveTypes[Movement],0)),"?")="Yes",$D407=""),"Item needed",IF(AND(IFERROR(INDEX(tblMoveTypes[Item?],MATCH($E407,tblMoveTypes[Movement],0)),"?")="No",$D407&lt;&gt;""),"Leave Item blank",IF(AND(IFERROR(INDEX(tblMoveTypes[Courier?],MATCH($E407,tblMoveTypes[Movement],0)),"?")="Yes",$H407=""),"Courier needed",IF(AND(IFERROR(INDEX(tblMoveTypes[Courier?],MATCH($E407,tblMoveTypes[Movement],0)),"?")="No",$H407&lt;&gt;""),"Leave Courier blank",IF(AND(IFERROR(INDEX(tblMoveTypes[Orders?],MATCH($E407,tblMoveTypes[Movement],0)),"?")="Yes",$G407=""),"Orders needed",IF(AND(IFERROR(INDEX(tblMoveTypes[Orders?],MATCH($E407,tblMoveTypes[Movement],0)),"?")="No",$G407&lt;&gt;""),"Leave Orders blank",IF(AND(IFERROR(INDEX(tblMoveTypes[Reason?],MATCH($E407,tblMoveTypes[Movement],0)),"?")="Yes",$I407=""),"Reason needed",IF(AND(IFERROR(INDEX(tblMoveTypes[Qty?],MATCH($E407,tblMoveTypes[Movement],0)),"?")="Yes",N($F407)&lt;=0),"Qty needed",IF($A407&lt;_xlfn.MINIFS(tblShipment[Arrival Date],tblShipment[Shipment ID],$C407),"Date before arrival",IF(AND($D407&lt;&gt;"",COUNTIFS(tblShipment[Shipment ID],$C407,tblShipment[Item Code],$D407)=0),"Item not in this shipment",IF(AND($H407&lt;&gt;"",COUNTIFS(tblCouriers[Courier],$H407,tblCouriers[Market],$B407)=0),"Courier not in this market","OK")))))))))))))))</f>
        <v>OK</v>
      </c>
    </row>
    <row r="408" customFormat="false" ht="15" hidden="false" customHeight="false" outlineLevel="0" collapsed="false">
      <c r="A408" s="27" t="n">
        <v>46235</v>
      </c>
      <c r="B408" s="26" t="s">
        <v>90</v>
      </c>
      <c r="C408" s="26" t="s">
        <v>150</v>
      </c>
      <c r="D408" s="26" t="s">
        <v>76</v>
      </c>
      <c r="E408" s="26" t="s">
        <v>73</v>
      </c>
      <c r="F408" s="28" t="n">
        <v>3</v>
      </c>
      <c r="G408" s="28"/>
      <c r="H408" s="26"/>
      <c r="I408" s="26" t="s">
        <v>80</v>
      </c>
      <c r="J408" s="26"/>
      <c r="K408" s="29" t="str">
        <f aca="false">IF($A408="","",IF(COUNTIFS(tblMoveTypes[Movement],$E408)=0,"Unknown movement type",IF(COUNTIF(tblShipment[Shipment ID],$C408)=0,"Unknown shipment",IF(COUNTIFS(tblShipment[Shipment ID],$C408,tblShipment[Market],$B408)=0,"Market does not match shipment",IF(AND(IFERROR(INDEX(tblMoveTypes[Item?],MATCH($E408,tblMoveTypes[Movement],0)),"?")="Yes",$D408=""),"Item needed",IF(AND(IFERROR(INDEX(tblMoveTypes[Item?],MATCH($E408,tblMoveTypes[Movement],0)),"?")="No",$D408&lt;&gt;""),"Leave Item blank",IF(AND(IFERROR(INDEX(tblMoveTypes[Courier?],MATCH($E408,tblMoveTypes[Movement],0)),"?")="Yes",$H408=""),"Courier needed",IF(AND(IFERROR(INDEX(tblMoveTypes[Courier?],MATCH($E408,tblMoveTypes[Movement],0)),"?")="No",$H408&lt;&gt;""),"Leave Courier blank",IF(AND(IFERROR(INDEX(tblMoveTypes[Orders?],MATCH($E408,tblMoveTypes[Movement],0)),"?")="Yes",$G408=""),"Orders needed",IF(AND(IFERROR(INDEX(tblMoveTypes[Orders?],MATCH($E408,tblMoveTypes[Movement],0)),"?")="No",$G408&lt;&gt;""),"Leave Orders blank",IF(AND(IFERROR(INDEX(tblMoveTypes[Reason?],MATCH($E408,tblMoveTypes[Movement],0)),"?")="Yes",$I408=""),"Reason needed",IF(AND(IFERROR(INDEX(tblMoveTypes[Qty?],MATCH($E408,tblMoveTypes[Movement],0)),"?")="Yes",N($F408)&lt;=0),"Qty needed",IF($A408&lt;_xlfn.MINIFS(tblShipment[Arrival Date],tblShipment[Shipment ID],$C408),"Date before arrival",IF(AND($D408&lt;&gt;"",COUNTIFS(tblShipment[Shipment ID],$C408,tblShipment[Item Code],$D408)=0),"Item not in this shipment",IF(AND($H408&lt;&gt;"",COUNTIFS(tblCouriers[Courier],$H408,tblCouriers[Market],$B408)=0),"Courier not in this market","OK")))))))))))))))</f>
        <v>OK</v>
      </c>
    </row>
    <row r="409" customFormat="false" ht="15" hidden="false" customHeight="false" outlineLevel="0" collapsed="false">
      <c r="A409" s="27" t="n">
        <v>46235</v>
      </c>
      <c r="B409" s="26" t="s">
        <v>90</v>
      </c>
      <c r="C409" s="26" t="s">
        <v>150</v>
      </c>
      <c r="D409" s="26" t="s">
        <v>67</v>
      </c>
      <c r="E409" s="26" t="s">
        <v>73</v>
      </c>
      <c r="F409" s="28" t="n">
        <v>3</v>
      </c>
      <c r="G409" s="28"/>
      <c r="H409" s="26"/>
      <c r="I409" s="26" t="s">
        <v>72</v>
      </c>
      <c r="J409" s="26"/>
      <c r="K409" s="29" t="str">
        <f aca="false">IF($A409="","",IF(COUNTIFS(tblMoveTypes[Movement],$E409)=0,"Unknown movement type",IF(COUNTIF(tblShipment[Shipment ID],$C409)=0,"Unknown shipment",IF(COUNTIFS(tblShipment[Shipment ID],$C409,tblShipment[Market],$B409)=0,"Market does not match shipment",IF(AND(IFERROR(INDEX(tblMoveTypes[Item?],MATCH($E409,tblMoveTypes[Movement],0)),"?")="Yes",$D409=""),"Item needed",IF(AND(IFERROR(INDEX(tblMoveTypes[Item?],MATCH($E409,tblMoveTypes[Movement],0)),"?")="No",$D409&lt;&gt;""),"Leave Item blank",IF(AND(IFERROR(INDEX(tblMoveTypes[Courier?],MATCH($E409,tblMoveTypes[Movement],0)),"?")="Yes",$H409=""),"Courier needed",IF(AND(IFERROR(INDEX(tblMoveTypes[Courier?],MATCH($E409,tblMoveTypes[Movement],0)),"?")="No",$H409&lt;&gt;""),"Leave Courier blank",IF(AND(IFERROR(INDEX(tblMoveTypes[Orders?],MATCH($E409,tblMoveTypes[Movement],0)),"?")="Yes",$G409=""),"Orders needed",IF(AND(IFERROR(INDEX(tblMoveTypes[Orders?],MATCH($E409,tblMoveTypes[Movement],0)),"?")="No",$G409&lt;&gt;""),"Leave Orders blank",IF(AND(IFERROR(INDEX(tblMoveTypes[Reason?],MATCH($E409,tblMoveTypes[Movement],0)),"?")="Yes",$I409=""),"Reason needed",IF(AND(IFERROR(INDEX(tblMoveTypes[Qty?],MATCH($E409,tblMoveTypes[Movement],0)),"?")="Yes",N($F409)&lt;=0),"Qty needed",IF($A409&lt;_xlfn.MINIFS(tblShipment[Arrival Date],tblShipment[Shipment ID],$C409),"Date before arrival",IF(AND($D409&lt;&gt;"",COUNTIFS(tblShipment[Shipment ID],$C409,tblShipment[Item Code],$D409)=0),"Item not in this shipment",IF(AND($H409&lt;&gt;"",COUNTIFS(tblCouriers[Courier],$H409,tblCouriers[Market],$B409)=0),"Courier not in this market","OK")))))))))))))))</f>
        <v>OK</v>
      </c>
    </row>
    <row r="410" customFormat="false" ht="15" hidden="false" customHeight="false" outlineLevel="0" collapsed="false">
      <c r="A410" s="27" t="n">
        <v>46235</v>
      </c>
      <c r="B410" s="26" t="s">
        <v>90</v>
      </c>
      <c r="C410" s="26" t="s">
        <v>150</v>
      </c>
      <c r="D410" s="26" t="s">
        <v>94</v>
      </c>
      <c r="E410" s="26" t="s">
        <v>73</v>
      </c>
      <c r="F410" s="28" t="n">
        <v>5</v>
      </c>
      <c r="G410" s="28"/>
      <c r="H410" s="26"/>
      <c r="I410" s="26" t="s">
        <v>87</v>
      </c>
      <c r="J410" s="26"/>
      <c r="K410" s="29" t="str">
        <f aca="false">IF($A410="","",IF(COUNTIFS(tblMoveTypes[Movement],$E410)=0,"Unknown movement type",IF(COUNTIF(tblShipment[Shipment ID],$C410)=0,"Unknown shipment",IF(COUNTIFS(tblShipment[Shipment ID],$C410,tblShipment[Market],$B410)=0,"Market does not match shipment",IF(AND(IFERROR(INDEX(tblMoveTypes[Item?],MATCH($E410,tblMoveTypes[Movement],0)),"?")="Yes",$D410=""),"Item needed",IF(AND(IFERROR(INDEX(tblMoveTypes[Item?],MATCH($E410,tblMoveTypes[Movement],0)),"?")="No",$D410&lt;&gt;""),"Leave Item blank",IF(AND(IFERROR(INDEX(tblMoveTypes[Courier?],MATCH($E410,tblMoveTypes[Movement],0)),"?")="Yes",$H410=""),"Courier needed",IF(AND(IFERROR(INDEX(tblMoveTypes[Courier?],MATCH($E410,tblMoveTypes[Movement],0)),"?")="No",$H410&lt;&gt;""),"Leave Courier blank",IF(AND(IFERROR(INDEX(tblMoveTypes[Orders?],MATCH($E410,tblMoveTypes[Movement],0)),"?")="Yes",$G410=""),"Orders needed",IF(AND(IFERROR(INDEX(tblMoveTypes[Orders?],MATCH($E410,tblMoveTypes[Movement],0)),"?")="No",$G410&lt;&gt;""),"Leave Orders blank",IF(AND(IFERROR(INDEX(tblMoveTypes[Reason?],MATCH($E410,tblMoveTypes[Movement],0)),"?")="Yes",$I410=""),"Reason needed",IF(AND(IFERROR(INDEX(tblMoveTypes[Qty?],MATCH($E410,tblMoveTypes[Movement],0)),"?")="Yes",N($F410)&lt;=0),"Qty needed",IF($A410&lt;_xlfn.MINIFS(tblShipment[Arrival Date],tblShipment[Shipment ID],$C410),"Date before arrival",IF(AND($D410&lt;&gt;"",COUNTIFS(tblShipment[Shipment ID],$C410,tblShipment[Item Code],$D410)=0),"Item not in this shipment",IF(AND($H410&lt;&gt;"",COUNTIFS(tblCouriers[Courier],$H410,tblCouriers[Market],$B410)=0),"Courier not in this market","OK")))))))))))))))</f>
        <v>OK</v>
      </c>
    </row>
    <row r="411" customFormat="false" ht="15" hidden="false" customHeight="false" outlineLevel="0" collapsed="false">
      <c r="A411" s="27" t="n">
        <v>46235</v>
      </c>
      <c r="B411" s="26" t="s">
        <v>90</v>
      </c>
      <c r="C411" s="26" t="s">
        <v>150</v>
      </c>
      <c r="D411" s="26" t="s">
        <v>83</v>
      </c>
      <c r="E411" s="26" t="s">
        <v>73</v>
      </c>
      <c r="F411" s="28" t="n">
        <v>3</v>
      </c>
      <c r="G411" s="28"/>
      <c r="H411" s="26"/>
      <c r="I411" s="26" t="s">
        <v>87</v>
      </c>
      <c r="J411" s="26"/>
      <c r="K411" s="29" t="str">
        <f aca="false">IF($A411="","",IF(COUNTIFS(tblMoveTypes[Movement],$E411)=0,"Unknown movement type",IF(COUNTIF(tblShipment[Shipment ID],$C411)=0,"Unknown shipment",IF(COUNTIFS(tblShipment[Shipment ID],$C411,tblShipment[Market],$B411)=0,"Market does not match shipment",IF(AND(IFERROR(INDEX(tblMoveTypes[Item?],MATCH($E411,tblMoveTypes[Movement],0)),"?")="Yes",$D411=""),"Item needed",IF(AND(IFERROR(INDEX(tblMoveTypes[Item?],MATCH($E411,tblMoveTypes[Movement],0)),"?")="No",$D411&lt;&gt;""),"Leave Item blank",IF(AND(IFERROR(INDEX(tblMoveTypes[Courier?],MATCH($E411,tblMoveTypes[Movement],0)),"?")="Yes",$H411=""),"Courier needed",IF(AND(IFERROR(INDEX(tblMoveTypes[Courier?],MATCH($E411,tblMoveTypes[Movement],0)),"?")="No",$H411&lt;&gt;""),"Leave Courier blank",IF(AND(IFERROR(INDEX(tblMoveTypes[Orders?],MATCH($E411,tblMoveTypes[Movement],0)),"?")="Yes",$G411=""),"Orders needed",IF(AND(IFERROR(INDEX(tblMoveTypes[Orders?],MATCH($E411,tblMoveTypes[Movement],0)),"?")="No",$G411&lt;&gt;""),"Leave Orders blank",IF(AND(IFERROR(INDEX(tblMoveTypes[Reason?],MATCH($E411,tblMoveTypes[Movement],0)),"?")="Yes",$I411=""),"Reason needed",IF(AND(IFERROR(INDEX(tblMoveTypes[Qty?],MATCH($E411,tblMoveTypes[Movement],0)),"?")="Yes",N($F411)&lt;=0),"Qty needed",IF($A411&lt;_xlfn.MINIFS(tblShipment[Arrival Date],tblShipment[Shipment ID],$C411),"Date before arrival",IF(AND($D411&lt;&gt;"",COUNTIFS(tblShipment[Shipment ID],$C411,tblShipment[Item Code],$D411)=0),"Item not in this shipment",IF(AND($H411&lt;&gt;"",COUNTIFS(tblCouriers[Courier],$H411,tblCouriers[Market],$B411)=0),"Courier not in this market","OK")))))))))))))))</f>
        <v>OK</v>
      </c>
    </row>
    <row r="412" customFormat="false" ht="15" hidden="false" customHeight="false" outlineLevel="0" collapsed="false">
      <c r="A412" s="27" t="n">
        <v>46235</v>
      </c>
      <c r="B412" s="26" t="s">
        <v>90</v>
      </c>
      <c r="C412" s="26" t="s">
        <v>150</v>
      </c>
      <c r="D412" s="26" t="s">
        <v>99</v>
      </c>
      <c r="E412" s="26" t="s">
        <v>93</v>
      </c>
      <c r="F412" s="28" t="n">
        <v>115</v>
      </c>
      <c r="G412" s="28"/>
      <c r="H412" s="26" t="s">
        <v>101</v>
      </c>
      <c r="I412" s="26"/>
      <c r="J412" s="26"/>
      <c r="K412" s="29" t="str">
        <f aca="false">IF($A412="","",IF(COUNTIFS(tblMoveTypes[Movement],$E412)=0,"Unknown movement type",IF(COUNTIF(tblShipment[Shipment ID],$C412)=0,"Unknown shipment",IF(COUNTIFS(tblShipment[Shipment ID],$C412,tblShipment[Market],$B412)=0,"Market does not match shipment",IF(AND(IFERROR(INDEX(tblMoveTypes[Item?],MATCH($E412,tblMoveTypes[Movement],0)),"?")="Yes",$D412=""),"Item needed",IF(AND(IFERROR(INDEX(tblMoveTypes[Item?],MATCH($E412,tblMoveTypes[Movement],0)),"?")="No",$D412&lt;&gt;""),"Leave Item blank",IF(AND(IFERROR(INDEX(tblMoveTypes[Courier?],MATCH($E412,tblMoveTypes[Movement],0)),"?")="Yes",$H412=""),"Courier needed",IF(AND(IFERROR(INDEX(tblMoveTypes[Courier?],MATCH($E412,tblMoveTypes[Movement],0)),"?")="No",$H412&lt;&gt;""),"Leave Courier blank",IF(AND(IFERROR(INDEX(tblMoveTypes[Orders?],MATCH($E412,tblMoveTypes[Movement],0)),"?")="Yes",$G412=""),"Orders needed",IF(AND(IFERROR(INDEX(tblMoveTypes[Orders?],MATCH($E412,tblMoveTypes[Movement],0)),"?")="No",$G412&lt;&gt;""),"Leave Orders blank",IF(AND(IFERROR(INDEX(tblMoveTypes[Reason?],MATCH($E412,tblMoveTypes[Movement],0)),"?")="Yes",$I412=""),"Reason needed",IF(AND(IFERROR(INDEX(tblMoveTypes[Qty?],MATCH($E412,tblMoveTypes[Movement],0)),"?")="Yes",N($F412)&lt;=0),"Qty needed",IF($A412&lt;_xlfn.MINIFS(tblShipment[Arrival Date],tblShipment[Shipment ID],$C412),"Date before arrival",IF(AND($D412&lt;&gt;"",COUNTIFS(tblShipment[Shipment ID],$C412,tblShipment[Item Code],$D412)=0),"Item not in this shipment",IF(AND($H412&lt;&gt;"",COUNTIFS(tblCouriers[Courier],$H412,tblCouriers[Market],$B412)=0),"Courier not in this market","OK")))))))))))))))</f>
        <v>OK</v>
      </c>
    </row>
    <row r="413" customFormat="false" ht="15" hidden="false" customHeight="false" outlineLevel="0" collapsed="false">
      <c r="A413" s="27" t="n">
        <v>46235</v>
      </c>
      <c r="B413" s="26" t="s">
        <v>90</v>
      </c>
      <c r="C413" s="26" t="s">
        <v>150</v>
      </c>
      <c r="D413" s="26" t="s">
        <v>76</v>
      </c>
      <c r="E413" s="26" t="s">
        <v>93</v>
      </c>
      <c r="F413" s="28" t="n">
        <v>57</v>
      </c>
      <c r="G413" s="28"/>
      <c r="H413" s="26" t="s">
        <v>101</v>
      </c>
      <c r="I413" s="26"/>
      <c r="J413" s="26"/>
      <c r="K413" s="29" t="str">
        <f aca="false">IF($A413="","",IF(COUNTIFS(tblMoveTypes[Movement],$E413)=0,"Unknown movement type",IF(COUNTIF(tblShipment[Shipment ID],$C413)=0,"Unknown shipment",IF(COUNTIFS(tblShipment[Shipment ID],$C413,tblShipment[Market],$B413)=0,"Market does not match shipment",IF(AND(IFERROR(INDEX(tblMoveTypes[Item?],MATCH($E413,tblMoveTypes[Movement],0)),"?")="Yes",$D413=""),"Item needed",IF(AND(IFERROR(INDEX(tblMoveTypes[Item?],MATCH($E413,tblMoveTypes[Movement],0)),"?")="No",$D413&lt;&gt;""),"Leave Item blank",IF(AND(IFERROR(INDEX(tblMoveTypes[Courier?],MATCH($E413,tblMoveTypes[Movement],0)),"?")="Yes",$H413=""),"Courier needed",IF(AND(IFERROR(INDEX(tblMoveTypes[Courier?],MATCH($E413,tblMoveTypes[Movement],0)),"?")="No",$H413&lt;&gt;""),"Leave Courier blank",IF(AND(IFERROR(INDEX(tblMoveTypes[Orders?],MATCH($E413,tblMoveTypes[Movement],0)),"?")="Yes",$G413=""),"Orders needed",IF(AND(IFERROR(INDEX(tblMoveTypes[Orders?],MATCH($E413,tblMoveTypes[Movement],0)),"?")="No",$G413&lt;&gt;""),"Leave Orders blank",IF(AND(IFERROR(INDEX(tblMoveTypes[Reason?],MATCH($E413,tblMoveTypes[Movement],0)),"?")="Yes",$I413=""),"Reason needed",IF(AND(IFERROR(INDEX(tblMoveTypes[Qty?],MATCH($E413,tblMoveTypes[Movement],0)),"?")="Yes",N($F413)&lt;=0),"Qty needed",IF($A413&lt;_xlfn.MINIFS(tblShipment[Arrival Date],tblShipment[Shipment ID],$C413),"Date before arrival",IF(AND($D413&lt;&gt;"",COUNTIFS(tblShipment[Shipment ID],$C413,tblShipment[Item Code],$D413)=0),"Item not in this shipment",IF(AND($H413&lt;&gt;"",COUNTIFS(tblCouriers[Courier],$H413,tblCouriers[Market],$B413)=0),"Courier not in this market","OK")))))))))))))))</f>
        <v>OK</v>
      </c>
    </row>
    <row r="414" customFormat="false" ht="15" hidden="false" customHeight="false" outlineLevel="0" collapsed="false">
      <c r="A414" s="27" t="n">
        <v>46235</v>
      </c>
      <c r="B414" s="26" t="s">
        <v>90</v>
      </c>
      <c r="C414" s="26" t="s">
        <v>150</v>
      </c>
      <c r="D414" s="26" t="s">
        <v>67</v>
      </c>
      <c r="E414" s="26" t="s">
        <v>93</v>
      </c>
      <c r="F414" s="28" t="n">
        <v>47</v>
      </c>
      <c r="G414" s="28"/>
      <c r="H414" s="26" t="s">
        <v>101</v>
      </c>
      <c r="I414" s="26"/>
      <c r="J414" s="26"/>
      <c r="K414" s="29" t="str">
        <f aca="false">IF($A414="","",IF(COUNTIFS(tblMoveTypes[Movement],$E414)=0,"Unknown movement type",IF(COUNTIF(tblShipment[Shipment ID],$C414)=0,"Unknown shipment",IF(COUNTIFS(tblShipment[Shipment ID],$C414,tblShipment[Market],$B414)=0,"Market does not match shipment",IF(AND(IFERROR(INDEX(tblMoveTypes[Item?],MATCH($E414,tblMoveTypes[Movement],0)),"?")="Yes",$D414=""),"Item needed",IF(AND(IFERROR(INDEX(tblMoveTypes[Item?],MATCH($E414,tblMoveTypes[Movement],0)),"?")="No",$D414&lt;&gt;""),"Leave Item blank",IF(AND(IFERROR(INDEX(tblMoveTypes[Courier?],MATCH($E414,tblMoveTypes[Movement],0)),"?")="Yes",$H414=""),"Courier needed",IF(AND(IFERROR(INDEX(tblMoveTypes[Courier?],MATCH($E414,tblMoveTypes[Movement],0)),"?")="No",$H414&lt;&gt;""),"Leave Courier blank",IF(AND(IFERROR(INDEX(tblMoveTypes[Orders?],MATCH($E414,tblMoveTypes[Movement],0)),"?")="Yes",$G414=""),"Orders needed",IF(AND(IFERROR(INDEX(tblMoveTypes[Orders?],MATCH($E414,tblMoveTypes[Movement],0)),"?")="No",$G414&lt;&gt;""),"Leave Orders blank",IF(AND(IFERROR(INDEX(tblMoveTypes[Reason?],MATCH($E414,tblMoveTypes[Movement],0)),"?")="Yes",$I414=""),"Reason needed",IF(AND(IFERROR(INDEX(tblMoveTypes[Qty?],MATCH($E414,tblMoveTypes[Movement],0)),"?")="Yes",N($F414)&lt;=0),"Qty needed",IF($A414&lt;_xlfn.MINIFS(tblShipment[Arrival Date],tblShipment[Shipment ID],$C414),"Date before arrival",IF(AND($D414&lt;&gt;"",COUNTIFS(tblShipment[Shipment ID],$C414,tblShipment[Item Code],$D414)=0),"Item not in this shipment",IF(AND($H414&lt;&gt;"",COUNTIFS(tblCouriers[Courier],$H414,tblCouriers[Market],$B414)=0),"Courier not in this market","OK")))))))))))))))</f>
        <v>OK</v>
      </c>
    </row>
    <row r="415" customFormat="false" ht="15" hidden="false" customHeight="false" outlineLevel="0" collapsed="false">
      <c r="A415" s="27" t="n">
        <v>46235</v>
      </c>
      <c r="B415" s="26" t="s">
        <v>90</v>
      </c>
      <c r="C415" s="26" t="s">
        <v>150</v>
      </c>
      <c r="D415" s="26" t="s">
        <v>94</v>
      </c>
      <c r="E415" s="26" t="s">
        <v>93</v>
      </c>
      <c r="F415" s="28" t="n">
        <v>95</v>
      </c>
      <c r="G415" s="28"/>
      <c r="H415" s="26" t="s">
        <v>101</v>
      </c>
      <c r="I415" s="26"/>
      <c r="J415" s="26"/>
      <c r="K415" s="29" t="str">
        <f aca="false">IF($A415="","",IF(COUNTIFS(tblMoveTypes[Movement],$E415)=0,"Unknown movement type",IF(COUNTIF(tblShipment[Shipment ID],$C415)=0,"Unknown shipment",IF(COUNTIFS(tblShipment[Shipment ID],$C415,tblShipment[Market],$B415)=0,"Market does not match shipment",IF(AND(IFERROR(INDEX(tblMoveTypes[Item?],MATCH($E415,tblMoveTypes[Movement],0)),"?")="Yes",$D415=""),"Item needed",IF(AND(IFERROR(INDEX(tblMoveTypes[Item?],MATCH($E415,tblMoveTypes[Movement],0)),"?")="No",$D415&lt;&gt;""),"Leave Item blank",IF(AND(IFERROR(INDEX(tblMoveTypes[Courier?],MATCH($E415,tblMoveTypes[Movement],0)),"?")="Yes",$H415=""),"Courier needed",IF(AND(IFERROR(INDEX(tblMoveTypes[Courier?],MATCH($E415,tblMoveTypes[Movement],0)),"?")="No",$H415&lt;&gt;""),"Leave Courier blank",IF(AND(IFERROR(INDEX(tblMoveTypes[Orders?],MATCH($E415,tblMoveTypes[Movement],0)),"?")="Yes",$G415=""),"Orders needed",IF(AND(IFERROR(INDEX(tblMoveTypes[Orders?],MATCH($E415,tblMoveTypes[Movement],0)),"?")="No",$G415&lt;&gt;""),"Leave Orders blank",IF(AND(IFERROR(INDEX(tblMoveTypes[Reason?],MATCH($E415,tblMoveTypes[Movement],0)),"?")="Yes",$I415=""),"Reason needed",IF(AND(IFERROR(INDEX(tblMoveTypes[Qty?],MATCH($E415,tblMoveTypes[Movement],0)),"?")="Yes",N($F415)&lt;=0),"Qty needed",IF($A415&lt;_xlfn.MINIFS(tblShipment[Arrival Date],tblShipment[Shipment ID],$C415),"Date before arrival",IF(AND($D415&lt;&gt;"",COUNTIFS(tblShipment[Shipment ID],$C415,tblShipment[Item Code],$D415)=0),"Item not in this shipment",IF(AND($H415&lt;&gt;"",COUNTIFS(tblCouriers[Courier],$H415,tblCouriers[Market],$B415)=0),"Courier not in this market","OK")))))))))))))))</f>
        <v>OK</v>
      </c>
    </row>
    <row r="416" customFormat="false" ht="15" hidden="false" customHeight="false" outlineLevel="0" collapsed="false">
      <c r="A416" s="27" t="n">
        <v>46235</v>
      </c>
      <c r="B416" s="26" t="s">
        <v>90</v>
      </c>
      <c r="C416" s="26" t="s">
        <v>150</v>
      </c>
      <c r="D416" s="26" t="s">
        <v>83</v>
      </c>
      <c r="E416" s="26" t="s">
        <v>93</v>
      </c>
      <c r="F416" s="28" t="n">
        <v>57</v>
      </c>
      <c r="G416" s="28"/>
      <c r="H416" s="26" t="s">
        <v>101</v>
      </c>
      <c r="I416" s="26"/>
      <c r="J416" s="26"/>
      <c r="K416" s="29" t="str">
        <f aca="false">IF($A416="","",IF(COUNTIFS(tblMoveTypes[Movement],$E416)=0,"Unknown movement type",IF(COUNTIF(tblShipment[Shipment ID],$C416)=0,"Unknown shipment",IF(COUNTIFS(tblShipment[Shipment ID],$C416,tblShipment[Market],$B416)=0,"Market does not match shipment",IF(AND(IFERROR(INDEX(tblMoveTypes[Item?],MATCH($E416,tblMoveTypes[Movement],0)),"?")="Yes",$D416=""),"Item needed",IF(AND(IFERROR(INDEX(tblMoveTypes[Item?],MATCH($E416,tblMoveTypes[Movement],0)),"?")="No",$D416&lt;&gt;""),"Leave Item blank",IF(AND(IFERROR(INDEX(tblMoveTypes[Courier?],MATCH($E416,tblMoveTypes[Movement],0)),"?")="Yes",$H416=""),"Courier needed",IF(AND(IFERROR(INDEX(tblMoveTypes[Courier?],MATCH($E416,tblMoveTypes[Movement],0)),"?")="No",$H416&lt;&gt;""),"Leave Courier blank",IF(AND(IFERROR(INDEX(tblMoveTypes[Orders?],MATCH($E416,tblMoveTypes[Movement],0)),"?")="Yes",$G416=""),"Orders needed",IF(AND(IFERROR(INDEX(tblMoveTypes[Orders?],MATCH($E416,tblMoveTypes[Movement],0)),"?")="No",$G416&lt;&gt;""),"Leave Orders blank",IF(AND(IFERROR(INDEX(tblMoveTypes[Reason?],MATCH($E416,tblMoveTypes[Movement],0)),"?")="Yes",$I416=""),"Reason needed",IF(AND(IFERROR(INDEX(tblMoveTypes[Qty?],MATCH($E416,tblMoveTypes[Movement],0)),"?")="Yes",N($F416)&lt;=0),"Qty needed",IF($A416&lt;_xlfn.MINIFS(tblShipment[Arrival Date],tblShipment[Shipment ID],$C416),"Date before arrival",IF(AND($D416&lt;&gt;"",COUNTIFS(tblShipment[Shipment ID],$C416,tblShipment[Item Code],$D416)=0),"Item not in this shipment",IF(AND($H416&lt;&gt;"",COUNTIFS(tblCouriers[Courier],$H416,tblCouriers[Market],$B416)=0),"Courier not in this market","OK")))))))))))))))</f>
        <v>OK</v>
      </c>
    </row>
    <row r="417" customFormat="false" ht="15" hidden="false" customHeight="false" outlineLevel="0" collapsed="false">
      <c r="A417" s="27" t="n">
        <v>46235</v>
      </c>
      <c r="B417" s="26" t="s">
        <v>90</v>
      </c>
      <c r="C417" s="26" t="s">
        <v>150</v>
      </c>
      <c r="D417" s="26"/>
      <c r="E417" s="26" t="s">
        <v>104</v>
      </c>
      <c r="F417" s="28"/>
      <c r="G417" s="28" t="n">
        <v>56</v>
      </c>
      <c r="H417" s="26" t="s">
        <v>101</v>
      </c>
      <c r="I417" s="26"/>
      <c r="J417" s="26"/>
      <c r="K417" s="29" t="str">
        <f aca="false">IF($A417="","",IF(COUNTIFS(tblMoveTypes[Movement],$E417)=0,"Unknown movement type",IF(COUNTIF(tblShipment[Shipment ID],$C417)=0,"Unknown shipment",IF(COUNTIFS(tblShipment[Shipment ID],$C417,tblShipment[Market],$B417)=0,"Market does not match shipment",IF(AND(IFERROR(INDEX(tblMoveTypes[Item?],MATCH($E417,tblMoveTypes[Movement],0)),"?")="Yes",$D417=""),"Item needed",IF(AND(IFERROR(INDEX(tblMoveTypes[Item?],MATCH($E417,tblMoveTypes[Movement],0)),"?")="No",$D417&lt;&gt;""),"Leave Item blank",IF(AND(IFERROR(INDEX(tblMoveTypes[Courier?],MATCH($E417,tblMoveTypes[Movement],0)),"?")="Yes",$H417=""),"Courier needed",IF(AND(IFERROR(INDEX(tblMoveTypes[Courier?],MATCH($E417,tblMoveTypes[Movement],0)),"?")="No",$H417&lt;&gt;""),"Leave Courier blank",IF(AND(IFERROR(INDEX(tblMoveTypes[Orders?],MATCH($E417,tblMoveTypes[Movement],0)),"?")="Yes",$G417=""),"Orders needed",IF(AND(IFERROR(INDEX(tblMoveTypes[Orders?],MATCH($E417,tblMoveTypes[Movement],0)),"?")="No",$G417&lt;&gt;""),"Leave Orders blank",IF(AND(IFERROR(INDEX(tblMoveTypes[Reason?],MATCH($E417,tblMoveTypes[Movement],0)),"?")="Yes",$I417=""),"Reason needed",IF(AND(IFERROR(INDEX(tblMoveTypes[Qty?],MATCH($E417,tblMoveTypes[Movement],0)),"?")="Yes",N($F417)&lt;=0),"Qty needed",IF($A417&lt;_xlfn.MINIFS(tblShipment[Arrival Date],tblShipment[Shipment ID],$C417),"Date before arrival",IF(AND($D417&lt;&gt;"",COUNTIFS(tblShipment[Shipment ID],$C417,tblShipment[Item Code],$D417)=0),"Item not in this shipment",IF(AND($H417&lt;&gt;"",COUNTIFS(tblCouriers[Courier],$H417,tblCouriers[Market],$B417)=0),"Courier not in this market","OK")))))))))))))))</f>
        <v>OK</v>
      </c>
    </row>
    <row r="418" customFormat="false" ht="15" hidden="false" customHeight="false" outlineLevel="0" collapsed="false">
      <c r="A418" s="27" t="n">
        <v>46235</v>
      </c>
      <c r="B418" s="26" t="s">
        <v>78</v>
      </c>
      <c r="C418" s="26" t="s">
        <v>133</v>
      </c>
      <c r="D418" s="26"/>
      <c r="E418" s="26" t="s">
        <v>106</v>
      </c>
      <c r="F418" s="28" t="n">
        <v>59</v>
      </c>
      <c r="G418" s="28" t="n">
        <v>9</v>
      </c>
      <c r="H418" s="26" t="s">
        <v>79</v>
      </c>
      <c r="I418" s="26"/>
      <c r="J418" s="26"/>
      <c r="K418" s="29" t="str">
        <f aca="false">IF($A418="","",IF(COUNTIFS(tblMoveTypes[Movement],$E418)=0,"Unknown movement type",IF(COUNTIF(tblShipment[Shipment ID],$C418)=0,"Unknown shipment",IF(COUNTIFS(tblShipment[Shipment ID],$C418,tblShipment[Market],$B418)=0,"Market does not match shipment",IF(AND(IFERROR(INDEX(tblMoveTypes[Item?],MATCH($E418,tblMoveTypes[Movement],0)),"?")="Yes",$D418=""),"Item needed",IF(AND(IFERROR(INDEX(tblMoveTypes[Item?],MATCH($E418,tblMoveTypes[Movement],0)),"?")="No",$D418&lt;&gt;""),"Leave Item blank",IF(AND(IFERROR(INDEX(tblMoveTypes[Courier?],MATCH($E418,tblMoveTypes[Movement],0)),"?")="Yes",$H418=""),"Courier needed",IF(AND(IFERROR(INDEX(tblMoveTypes[Courier?],MATCH($E418,tblMoveTypes[Movement],0)),"?")="No",$H418&lt;&gt;""),"Leave Courier blank",IF(AND(IFERROR(INDEX(tblMoveTypes[Orders?],MATCH($E418,tblMoveTypes[Movement],0)),"?")="Yes",$G418=""),"Orders needed",IF(AND(IFERROR(INDEX(tblMoveTypes[Orders?],MATCH($E418,tblMoveTypes[Movement],0)),"?")="No",$G418&lt;&gt;""),"Leave Orders blank",IF(AND(IFERROR(INDEX(tblMoveTypes[Reason?],MATCH($E418,tblMoveTypes[Movement],0)),"?")="Yes",$I418=""),"Reason needed",IF(AND(IFERROR(INDEX(tblMoveTypes[Qty?],MATCH($E418,tblMoveTypes[Movement],0)),"?")="Yes",N($F418)&lt;=0),"Qty needed",IF($A418&lt;_xlfn.MINIFS(tblShipment[Arrival Date],tblShipment[Shipment ID],$C418),"Date before arrival",IF(AND($D418&lt;&gt;"",COUNTIFS(tblShipment[Shipment ID],$C418,tblShipment[Item Code],$D418)=0),"Item not in this shipment",IF(AND($H418&lt;&gt;"",COUNTIFS(tblCouriers[Courier],$H418,tblCouriers[Market],$B418)=0),"Courier not in this market","OK")))))))))))))))</f>
        <v>OK</v>
      </c>
    </row>
    <row r="419" customFormat="false" ht="15" hidden="false" customHeight="false" outlineLevel="0" collapsed="false">
      <c r="A419" s="27" t="n">
        <v>46235</v>
      </c>
      <c r="B419" s="26" t="s">
        <v>78</v>
      </c>
      <c r="C419" s="26" t="s">
        <v>133</v>
      </c>
      <c r="D419" s="26"/>
      <c r="E419" s="26" t="s">
        <v>106</v>
      </c>
      <c r="F419" s="28" t="n">
        <v>37</v>
      </c>
      <c r="G419" s="28" t="n">
        <v>6</v>
      </c>
      <c r="H419" s="26" t="s">
        <v>86</v>
      </c>
      <c r="I419" s="26"/>
      <c r="J419" s="26"/>
      <c r="K419" s="29" t="str">
        <f aca="false">IF($A419="","",IF(COUNTIFS(tblMoveTypes[Movement],$E419)=0,"Unknown movement type",IF(COUNTIF(tblShipment[Shipment ID],$C419)=0,"Unknown shipment",IF(COUNTIFS(tblShipment[Shipment ID],$C419,tblShipment[Market],$B419)=0,"Market does not match shipment",IF(AND(IFERROR(INDEX(tblMoveTypes[Item?],MATCH($E419,tblMoveTypes[Movement],0)),"?")="Yes",$D419=""),"Item needed",IF(AND(IFERROR(INDEX(tblMoveTypes[Item?],MATCH($E419,tblMoveTypes[Movement],0)),"?")="No",$D419&lt;&gt;""),"Leave Item blank",IF(AND(IFERROR(INDEX(tblMoveTypes[Courier?],MATCH($E419,tblMoveTypes[Movement],0)),"?")="Yes",$H419=""),"Courier needed",IF(AND(IFERROR(INDEX(tblMoveTypes[Courier?],MATCH($E419,tblMoveTypes[Movement],0)),"?")="No",$H419&lt;&gt;""),"Leave Courier blank",IF(AND(IFERROR(INDEX(tblMoveTypes[Orders?],MATCH($E419,tblMoveTypes[Movement],0)),"?")="Yes",$G419=""),"Orders needed",IF(AND(IFERROR(INDEX(tblMoveTypes[Orders?],MATCH($E419,tblMoveTypes[Movement],0)),"?")="No",$G419&lt;&gt;""),"Leave Orders blank",IF(AND(IFERROR(INDEX(tblMoveTypes[Reason?],MATCH($E419,tblMoveTypes[Movement],0)),"?")="Yes",$I419=""),"Reason needed",IF(AND(IFERROR(INDEX(tblMoveTypes[Qty?],MATCH($E419,tblMoveTypes[Movement],0)),"?")="Yes",N($F419)&lt;=0),"Qty needed",IF($A419&lt;_xlfn.MINIFS(tblShipment[Arrival Date],tblShipment[Shipment ID],$C419),"Date before arrival",IF(AND($D419&lt;&gt;"",COUNTIFS(tblShipment[Shipment ID],$C419,tblShipment[Item Code],$D419)=0),"Item not in this shipment",IF(AND($H419&lt;&gt;"",COUNTIFS(tblCouriers[Courier],$H419,tblCouriers[Market],$B419)=0),"Courier not in this market","OK")))))))))))))))</f>
        <v>OK</v>
      </c>
    </row>
    <row r="420" customFormat="false" ht="15" hidden="false" customHeight="false" outlineLevel="0" collapsed="false">
      <c r="A420" s="27" t="n">
        <v>46235</v>
      </c>
      <c r="B420" s="26" t="s">
        <v>78</v>
      </c>
      <c r="C420" s="26" t="s">
        <v>133</v>
      </c>
      <c r="D420" s="26"/>
      <c r="E420" s="26" t="s">
        <v>108</v>
      </c>
      <c r="F420" s="28" t="n">
        <v>7</v>
      </c>
      <c r="G420" s="28" t="n">
        <v>1</v>
      </c>
      <c r="H420" s="26" t="s">
        <v>86</v>
      </c>
      <c r="I420" s="26" t="s">
        <v>105</v>
      </c>
      <c r="J420" s="26"/>
      <c r="K420" s="29" t="str">
        <f aca="false">IF($A420="","",IF(COUNTIFS(tblMoveTypes[Movement],$E420)=0,"Unknown movement type",IF(COUNTIF(tblShipment[Shipment ID],$C420)=0,"Unknown shipment",IF(COUNTIFS(tblShipment[Shipment ID],$C420,tblShipment[Market],$B420)=0,"Market does not match shipment",IF(AND(IFERROR(INDEX(tblMoveTypes[Item?],MATCH($E420,tblMoveTypes[Movement],0)),"?")="Yes",$D420=""),"Item needed",IF(AND(IFERROR(INDEX(tblMoveTypes[Item?],MATCH($E420,tblMoveTypes[Movement],0)),"?")="No",$D420&lt;&gt;""),"Leave Item blank",IF(AND(IFERROR(INDEX(tblMoveTypes[Courier?],MATCH($E420,tblMoveTypes[Movement],0)),"?")="Yes",$H420=""),"Courier needed",IF(AND(IFERROR(INDEX(tblMoveTypes[Courier?],MATCH($E420,tblMoveTypes[Movement],0)),"?")="No",$H420&lt;&gt;""),"Leave Courier blank",IF(AND(IFERROR(INDEX(tblMoveTypes[Orders?],MATCH($E420,tblMoveTypes[Movement],0)),"?")="Yes",$G420=""),"Orders needed",IF(AND(IFERROR(INDEX(tblMoveTypes[Orders?],MATCH($E420,tblMoveTypes[Movement],0)),"?")="No",$G420&lt;&gt;""),"Leave Orders blank",IF(AND(IFERROR(INDEX(tblMoveTypes[Reason?],MATCH($E420,tblMoveTypes[Movement],0)),"?")="Yes",$I420=""),"Reason needed",IF(AND(IFERROR(INDEX(tblMoveTypes[Qty?],MATCH($E420,tblMoveTypes[Movement],0)),"?")="Yes",N($F420)&lt;=0),"Qty needed",IF($A420&lt;_xlfn.MINIFS(tblShipment[Arrival Date],tblShipment[Shipment ID],$C420),"Date before arrival",IF(AND($D420&lt;&gt;"",COUNTIFS(tblShipment[Shipment ID],$C420,tblShipment[Item Code],$D420)=0),"Item not in this shipment",IF(AND($H420&lt;&gt;"",COUNTIFS(tblCouriers[Courier],$H420,tblCouriers[Market],$B420)=0),"Courier not in this market","OK")))))))))))))))</f>
        <v>OK</v>
      </c>
    </row>
    <row r="421" customFormat="false" ht="15" hidden="false" customHeight="false" outlineLevel="0" collapsed="false">
      <c r="A421" s="27" t="n">
        <v>46235</v>
      </c>
      <c r="B421" s="26" t="s">
        <v>78</v>
      </c>
      <c r="C421" s="26" t="s">
        <v>133</v>
      </c>
      <c r="D421" s="26" t="s">
        <v>94</v>
      </c>
      <c r="E421" s="26" t="s">
        <v>110</v>
      </c>
      <c r="F421" s="28" t="n">
        <v>5</v>
      </c>
      <c r="G421" s="28"/>
      <c r="H421" s="26"/>
      <c r="I421" s="26"/>
      <c r="J421" s="26"/>
      <c r="K421" s="29" t="str">
        <f aca="false">IF($A421="","",IF(COUNTIFS(tblMoveTypes[Movement],$E421)=0,"Unknown movement type",IF(COUNTIF(tblShipment[Shipment ID],$C421)=0,"Unknown shipment",IF(COUNTIFS(tblShipment[Shipment ID],$C421,tblShipment[Market],$B421)=0,"Market does not match shipment",IF(AND(IFERROR(INDEX(tblMoveTypes[Item?],MATCH($E421,tblMoveTypes[Movement],0)),"?")="Yes",$D421=""),"Item needed",IF(AND(IFERROR(INDEX(tblMoveTypes[Item?],MATCH($E421,tblMoveTypes[Movement],0)),"?")="No",$D421&lt;&gt;""),"Leave Item blank",IF(AND(IFERROR(INDEX(tblMoveTypes[Courier?],MATCH($E421,tblMoveTypes[Movement],0)),"?")="Yes",$H421=""),"Courier needed",IF(AND(IFERROR(INDEX(tblMoveTypes[Courier?],MATCH($E421,tblMoveTypes[Movement],0)),"?")="No",$H421&lt;&gt;""),"Leave Courier blank",IF(AND(IFERROR(INDEX(tblMoveTypes[Orders?],MATCH($E421,tblMoveTypes[Movement],0)),"?")="Yes",$G421=""),"Orders needed",IF(AND(IFERROR(INDEX(tblMoveTypes[Orders?],MATCH($E421,tblMoveTypes[Movement],0)),"?")="No",$G421&lt;&gt;""),"Leave Orders blank",IF(AND(IFERROR(INDEX(tblMoveTypes[Reason?],MATCH($E421,tblMoveTypes[Movement],0)),"?")="Yes",$I421=""),"Reason needed",IF(AND(IFERROR(INDEX(tblMoveTypes[Qty?],MATCH($E421,tblMoveTypes[Movement],0)),"?")="Yes",N($F421)&lt;=0),"Qty needed",IF($A421&lt;_xlfn.MINIFS(tblShipment[Arrival Date],tblShipment[Shipment ID],$C421),"Date before arrival",IF(AND($D421&lt;&gt;"",COUNTIFS(tblShipment[Shipment ID],$C421,tblShipment[Item Code],$D421)=0),"Item not in this shipment",IF(AND($H421&lt;&gt;"",COUNTIFS(tblCouriers[Courier],$H421,tblCouriers[Market],$B421)=0),"Courier not in this market","OK")))))))))))))))</f>
        <v>OK</v>
      </c>
    </row>
    <row r="422" customFormat="false" ht="15" hidden="false" customHeight="false" outlineLevel="0" collapsed="false">
      <c r="A422" s="27" t="n">
        <v>46235</v>
      </c>
      <c r="B422" s="26" t="s">
        <v>78</v>
      </c>
      <c r="C422" s="26" t="s">
        <v>133</v>
      </c>
      <c r="D422" s="26" t="s">
        <v>94</v>
      </c>
      <c r="E422" s="26" t="s">
        <v>112</v>
      </c>
      <c r="F422" s="28" t="n">
        <v>2</v>
      </c>
      <c r="G422" s="28"/>
      <c r="H422" s="26"/>
      <c r="I422" s="26" t="s">
        <v>72</v>
      </c>
      <c r="J422" s="26"/>
      <c r="K422" s="29" t="str">
        <f aca="false">IF($A422="","",IF(COUNTIFS(tblMoveTypes[Movement],$E422)=0,"Unknown movement type",IF(COUNTIF(tblShipment[Shipment ID],$C422)=0,"Unknown shipment",IF(COUNTIFS(tblShipment[Shipment ID],$C422,tblShipment[Market],$B422)=0,"Market does not match shipment",IF(AND(IFERROR(INDEX(tblMoveTypes[Item?],MATCH($E422,tblMoveTypes[Movement],0)),"?")="Yes",$D422=""),"Item needed",IF(AND(IFERROR(INDEX(tblMoveTypes[Item?],MATCH($E422,tblMoveTypes[Movement],0)),"?")="No",$D422&lt;&gt;""),"Leave Item blank",IF(AND(IFERROR(INDEX(tblMoveTypes[Courier?],MATCH($E422,tblMoveTypes[Movement],0)),"?")="Yes",$H422=""),"Courier needed",IF(AND(IFERROR(INDEX(tblMoveTypes[Courier?],MATCH($E422,tblMoveTypes[Movement],0)),"?")="No",$H422&lt;&gt;""),"Leave Courier blank",IF(AND(IFERROR(INDEX(tblMoveTypes[Orders?],MATCH($E422,tblMoveTypes[Movement],0)),"?")="Yes",$G422=""),"Orders needed",IF(AND(IFERROR(INDEX(tblMoveTypes[Orders?],MATCH($E422,tblMoveTypes[Movement],0)),"?")="No",$G422&lt;&gt;""),"Leave Orders blank",IF(AND(IFERROR(INDEX(tblMoveTypes[Reason?],MATCH($E422,tblMoveTypes[Movement],0)),"?")="Yes",$I422=""),"Reason needed",IF(AND(IFERROR(INDEX(tblMoveTypes[Qty?],MATCH($E422,tblMoveTypes[Movement],0)),"?")="Yes",N($F422)&lt;=0),"Qty needed",IF($A422&lt;_xlfn.MINIFS(tblShipment[Arrival Date],tblShipment[Shipment ID],$C422),"Date before arrival",IF(AND($D422&lt;&gt;"",COUNTIFS(tblShipment[Shipment ID],$C422,tblShipment[Item Code],$D422)=0),"Item not in this shipment",IF(AND($H422&lt;&gt;"",COUNTIFS(tblCouriers[Courier],$H422,tblCouriers[Market],$B422)=0),"Courier not in this market","OK")))))))))))))))</f>
        <v>OK</v>
      </c>
    </row>
    <row r="423" customFormat="false" ht="15" hidden="false" customHeight="false" outlineLevel="0" collapsed="false">
      <c r="A423" s="27" t="n">
        <v>46235</v>
      </c>
      <c r="B423" s="26" t="s">
        <v>78</v>
      </c>
      <c r="C423" s="26" t="s">
        <v>134</v>
      </c>
      <c r="D423" s="26"/>
      <c r="E423" s="26" t="s">
        <v>106</v>
      </c>
      <c r="F423" s="28" t="n">
        <v>51</v>
      </c>
      <c r="G423" s="28" t="n">
        <v>7</v>
      </c>
      <c r="H423" s="26" t="s">
        <v>79</v>
      </c>
      <c r="I423" s="26"/>
      <c r="J423" s="26"/>
      <c r="K423" s="29" t="str">
        <f aca="false">IF($A423="","",IF(COUNTIFS(tblMoveTypes[Movement],$E423)=0,"Unknown movement type",IF(COUNTIF(tblShipment[Shipment ID],$C423)=0,"Unknown shipment",IF(COUNTIFS(tblShipment[Shipment ID],$C423,tblShipment[Market],$B423)=0,"Market does not match shipment",IF(AND(IFERROR(INDEX(tblMoveTypes[Item?],MATCH($E423,tblMoveTypes[Movement],0)),"?")="Yes",$D423=""),"Item needed",IF(AND(IFERROR(INDEX(tblMoveTypes[Item?],MATCH($E423,tblMoveTypes[Movement],0)),"?")="No",$D423&lt;&gt;""),"Leave Item blank",IF(AND(IFERROR(INDEX(tblMoveTypes[Courier?],MATCH($E423,tblMoveTypes[Movement],0)),"?")="Yes",$H423=""),"Courier needed",IF(AND(IFERROR(INDEX(tblMoveTypes[Courier?],MATCH($E423,tblMoveTypes[Movement],0)),"?")="No",$H423&lt;&gt;""),"Leave Courier blank",IF(AND(IFERROR(INDEX(tblMoveTypes[Orders?],MATCH($E423,tblMoveTypes[Movement],0)),"?")="Yes",$G423=""),"Orders needed",IF(AND(IFERROR(INDEX(tblMoveTypes[Orders?],MATCH($E423,tblMoveTypes[Movement],0)),"?")="No",$G423&lt;&gt;""),"Leave Orders blank",IF(AND(IFERROR(INDEX(tblMoveTypes[Reason?],MATCH($E423,tblMoveTypes[Movement],0)),"?")="Yes",$I423=""),"Reason needed",IF(AND(IFERROR(INDEX(tblMoveTypes[Qty?],MATCH($E423,tblMoveTypes[Movement],0)),"?")="Yes",N($F423)&lt;=0),"Qty needed",IF($A423&lt;_xlfn.MINIFS(tblShipment[Arrival Date],tblShipment[Shipment ID],$C423),"Date before arrival",IF(AND($D423&lt;&gt;"",COUNTIFS(tblShipment[Shipment ID],$C423,tblShipment[Item Code],$D423)=0),"Item not in this shipment",IF(AND($H423&lt;&gt;"",COUNTIFS(tblCouriers[Courier],$H423,tblCouriers[Market],$B423)=0),"Courier not in this market","OK")))))))))))))))</f>
        <v>OK</v>
      </c>
    </row>
    <row r="424" customFormat="false" ht="15" hidden="false" customHeight="false" outlineLevel="0" collapsed="false">
      <c r="A424" s="27" t="n">
        <v>46235</v>
      </c>
      <c r="B424" s="26" t="s">
        <v>78</v>
      </c>
      <c r="C424" s="26" t="s">
        <v>134</v>
      </c>
      <c r="D424" s="26"/>
      <c r="E424" s="26" t="s">
        <v>108</v>
      </c>
      <c r="F424" s="28" t="n">
        <v>5</v>
      </c>
      <c r="G424" s="28" t="n">
        <v>1</v>
      </c>
      <c r="H424" s="26" t="s">
        <v>86</v>
      </c>
      <c r="I424" s="26" t="s">
        <v>105</v>
      </c>
      <c r="J424" s="26"/>
      <c r="K424" s="29" t="str">
        <f aca="false">IF($A424="","",IF(COUNTIFS(tblMoveTypes[Movement],$E424)=0,"Unknown movement type",IF(COUNTIF(tblShipment[Shipment ID],$C424)=0,"Unknown shipment",IF(COUNTIFS(tblShipment[Shipment ID],$C424,tblShipment[Market],$B424)=0,"Market does not match shipment",IF(AND(IFERROR(INDEX(tblMoveTypes[Item?],MATCH($E424,tblMoveTypes[Movement],0)),"?")="Yes",$D424=""),"Item needed",IF(AND(IFERROR(INDEX(tblMoveTypes[Item?],MATCH($E424,tblMoveTypes[Movement],0)),"?")="No",$D424&lt;&gt;""),"Leave Item blank",IF(AND(IFERROR(INDEX(tblMoveTypes[Courier?],MATCH($E424,tblMoveTypes[Movement],0)),"?")="Yes",$H424=""),"Courier needed",IF(AND(IFERROR(INDEX(tblMoveTypes[Courier?],MATCH($E424,tblMoveTypes[Movement],0)),"?")="No",$H424&lt;&gt;""),"Leave Courier blank",IF(AND(IFERROR(INDEX(tblMoveTypes[Orders?],MATCH($E424,tblMoveTypes[Movement],0)),"?")="Yes",$G424=""),"Orders needed",IF(AND(IFERROR(INDEX(tblMoveTypes[Orders?],MATCH($E424,tblMoveTypes[Movement],0)),"?")="No",$G424&lt;&gt;""),"Leave Orders blank",IF(AND(IFERROR(INDEX(tblMoveTypes[Reason?],MATCH($E424,tblMoveTypes[Movement],0)),"?")="Yes",$I424=""),"Reason needed",IF(AND(IFERROR(INDEX(tblMoveTypes[Qty?],MATCH($E424,tblMoveTypes[Movement],0)),"?")="Yes",N($F424)&lt;=0),"Qty needed",IF($A424&lt;_xlfn.MINIFS(tblShipment[Arrival Date],tblShipment[Shipment ID],$C424),"Date before arrival",IF(AND($D424&lt;&gt;"",COUNTIFS(tblShipment[Shipment ID],$C424,tblShipment[Item Code],$D424)=0),"Item not in this shipment",IF(AND($H424&lt;&gt;"",COUNTIFS(tblCouriers[Courier],$H424,tblCouriers[Market],$B424)=0),"Courier not in this market","OK")))))))))))))))</f>
        <v>OK</v>
      </c>
    </row>
    <row r="425" customFormat="false" ht="15" hidden="false" customHeight="false" outlineLevel="0" collapsed="false">
      <c r="A425" s="27" t="n">
        <v>46235</v>
      </c>
      <c r="B425" s="26" t="s">
        <v>78</v>
      </c>
      <c r="C425" s="26" t="s">
        <v>134</v>
      </c>
      <c r="D425" s="26" t="s">
        <v>83</v>
      </c>
      <c r="E425" s="26" t="s">
        <v>110</v>
      </c>
      <c r="F425" s="28" t="n">
        <v>4</v>
      </c>
      <c r="G425" s="28"/>
      <c r="H425" s="26"/>
      <c r="I425" s="26"/>
      <c r="J425" s="26"/>
      <c r="K425" s="29" t="str">
        <f aca="false">IF($A425="","",IF(COUNTIFS(tblMoveTypes[Movement],$E425)=0,"Unknown movement type",IF(COUNTIF(tblShipment[Shipment ID],$C425)=0,"Unknown shipment",IF(COUNTIFS(tblShipment[Shipment ID],$C425,tblShipment[Market],$B425)=0,"Market does not match shipment",IF(AND(IFERROR(INDEX(tblMoveTypes[Item?],MATCH($E425,tblMoveTypes[Movement],0)),"?")="Yes",$D425=""),"Item needed",IF(AND(IFERROR(INDEX(tblMoveTypes[Item?],MATCH($E425,tblMoveTypes[Movement],0)),"?")="No",$D425&lt;&gt;""),"Leave Item blank",IF(AND(IFERROR(INDEX(tblMoveTypes[Courier?],MATCH($E425,tblMoveTypes[Movement],0)),"?")="Yes",$H425=""),"Courier needed",IF(AND(IFERROR(INDEX(tblMoveTypes[Courier?],MATCH($E425,tblMoveTypes[Movement],0)),"?")="No",$H425&lt;&gt;""),"Leave Courier blank",IF(AND(IFERROR(INDEX(tblMoveTypes[Orders?],MATCH($E425,tblMoveTypes[Movement],0)),"?")="Yes",$G425=""),"Orders needed",IF(AND(IFERROR(INDEX(tblMoveTypes[Orders?],MATCH($E425,tblMoveTypes[Movement],0)),"?")="No",$G425&lt;&gt;""),"Leave Orders blank",IF(AND(IFERROR(INDEX(tblMoveTypes[Reason?],MATCH($E425,tblMoveTypes[Movement],0)),"?")="Yes",$I425=""),"Reason needed",IF(AND(IFERROR(INDEX(tblMoveTypes[Qty?],MATCH($E425,tblMoveTypes[Movement],0)),"?")="Yes",N($F425)&lt;=0),"Qty needed",IF($A425&lt;_xlfn.MINIFS(tblShipment[Arrival Date],tblShipment[Shipment ID],$C425),"Date before arrival",IF(AND($D425&lt;&gt;"",COUNTIFS(tblShipment[Shipment ID],$C425,tblShipment[Item Code],$D425)=0),"Item not in this shipment",IF(AND($H425&lt;&gt;"",COUNTIFS(tblCouriers[Courier],$H425,tblCouriers[Market],$B425)=0),"Courier not in this market","OK")))))))))))))))</f>
        <v>OK</v>
      </c>
    </row>
    <row r="426" customFormat="false" ht="15" hidden="false" customHeight="false" outlineLevel="0" collapsed="false">
      <c r="A426" s="27" t="n">
        <v>46235</v>
      </c>
      <c r="B426" s="26" t="s">
        <v>78</v>
      </c>
      <c r="C426" s="26" t="s">
        <v>134</v>
      </c>
      <c r="D426" s="26" t="s">
        <v>83</v>
      </c>
      <c r="E426" s="26" t="s">
        <v>112</v>
      </c>
      <c r="F426" s="28" t="n">
        <v>1</v>
      </c>
      <c r="G426" s="28"/>
      <c r="H426" s="26"/>
      <c r="I426" s="26" t="s">
        <v>80</v>
      </c>
      <c r="J426" s="26"/>
      <c r="K426" s="29" t="str">
        <f aca="false">IF($A426="","",IF(COUNTIFS(tblMoveTypes[Movement],$E426)=0,"Unknown movement type",IF(COUNTIF(tblShipment[Shipment ID],$C426)=0,"Unknown shipment",IF(COUNTIFS(tblShipment[Shipment ID],$C426,tblShipment[Market],$B426)=0,"Market does not match shipment",IF(AND(IFERROR(INDEX(tblMoveTypes[Item?],MATCH($E426,tblMoveTypes[Movement],0)),"?")="Yes",$D426=""),"Item needed",IF(AND(IFERROR(INDEX(tblMoveTypes[Item?],MATCH($E426,tblMoveTypes[Movement],0)),"?")="No",$D426&lt;&gt;""),"Leave Item blank",IF(AND(IFERROR(INDEX(tblMoveTypes[Courier?],MATCH($E426,tblMoveTypes[Movement],0)),"?")="Yes",$H426=""),"Courier needed",IF(AND(IFERROR(INDEX(tblMoveTypes[Courier?],MATCH($E426,tblMoveTypes[Movement],0)),"?")="No",$H426&lt;&gt;""),"Leave Courier blank",IF(AND(IFERROR(INDEX(tblMoveTypes[Orders?],MATCH($E426,tblMoveTypes[Movement],0)),"?")="Yes",$G426=""),"Orders needed",IF(AND(IFERROR(INDEX(tblMoveTypes[Orders?],MATCH($E426,tblMoveTypes[Movement],0)),"?")="No",$G426&lt;&gt;""),"Leave Orders blank",IF(AND(IFERROR(INDEX(tblMoveTypes[Reason?],MATCH($E426,tblMoveTypes[Movement],0)),"?")="Yes",$I426=""),"Reason needed",IF(AND(IFERROR(INDEX(tblMoveTypes[Qty?],MATCH($E426,tblMoveTypes[Movement],0)),"?")="Yes",N($F426)&lt;=0),"Qty needed",IF($A426&lt;_xlfn.MINIFS(tblShipment[Arrival Date],tblShipment[Shipment ID],$C426),"Date before arrival",IF(AND($D426&lt;&gt;"",COUNTIFS(tblShipment[Shipment ID],$C426,tblShipment[Item Code],$D426)=0),"Item not in this shipment",IF(AND($H426&lt;&gt;"",COUNTIFS(tblCouriers[Courier],$H426,tblCouriers[Market],$B426)=0),"Courier not in this market","OK")))))))))))))))</f>
        <v>OK</v>
      </c>
    </row>
    <row r="427" customFormat="false" ht="15" hidden="false" customHeight="false" outlineLevel="0" collapsed="false">
      <c r="A427" s="27" t="n">
        <v>46236</v>
      </c>
      <c r="B427" s="26" t="s">
        <v>70</v>
      </c>
      <c r="C427" s="26" t="s">
        <v>126</v>
      </c>
      <c r="D427" s="26"/>
      <c r="E427" s="26" t="s">
        <v>106</v>
      </c>
      <c r="F427" s="28" t="n">
        <v>5</v>
      </c>
      <c r="G427" s="28" t="n">
        <v>1</v>
      </c>
      <c r="H427" s="26" t="s">
        <v>71</v>
      </c>
      <c r="I427" s="26"/>
      <c r="J427" s="26"/>
      <c r="K427" s="29" t="str">
        <f aca="false">IF($A427="","",IF(COUNTIFS(tblMoveTypes[Movement],$E427)=0,"Unknown movement type",IF(COUNTIF(tblShipment[Shipment ID],$C427)=0,"Unknown shipment",IF(COUNTIFS(tblShipment[Shipment ID],$C427,tblShipment[Market],$B427)=0,"Market does not match shipment",IF(AND(IFERROR(INDEX(tblMoveTypes[Item?],MATCH($E427,tblMoveTypes[Movement],0)),"?")="Yes",$D427=""),"Item needed",IF(AND(IFERROR(INDEX(tblMoveTypes[Item?],MATCH($E427,tblMoveTypes[Movement],0)),"?")="No",$D427&lt;&gt;""),"Leave Item blank",IF(AND(IFERROR(INDEX(tblMoveTypes[Courier?],MATCH($E427,tblMoveTypes[Movement],0)),"?")="Yes",$H427=""),"Courier needed",IF(AND(IFERROR(INDEX(tblMoveTypes[Courier?],MATCH($E427,tblMoveTypes[Movement],0)),"?")="No",$H427&lt;&gt;""),"Leave Courier blank",IF(AND(IFERROR(INDEX(tblMoveTypes[Orders?],MATCH($E427,tblMoveTypes[Movement],0)),"?")="Yes",$G427=""),"Orders needed",IF(AND(IFERROR(INDEX(tblMoveTypes[Orders?],MATCH($E427,tblMoveTypes[Movement],0)),"?")="No",$G427&lt;&gt;""),"Leave Orders blank",IF(AND(IFERROR(INDEX(tblMoveTypes[Reason?],MATCH($E427,tblMoveTypes[Movement],0)),"?")="Yes",$I427=""),"Reason needed",IF(AND(IFERROR(INDEX(tblMoveTypes[Qty?],MATCH($E427,tblMoveTypes[Movement],0)),"?")="Yes",N($F427)&lt;=0),"Qty needed",IF($A427&lt;_xlfn.MINIFS(tblShipment[Arrival Date],tblShipment[Shipment ID],$C427),"Date before arrival",IF(AND($D427&lt;&gt;"",COUNTIFS(tblShipment[Shipment ID],$C427,tblShipment[Item Code],$D427)=0),"Item not in this shipment",IF(AND($H427&lt;&gt;"",COUNTIFS(tblCouriers[Courier],$H427,tblCouriers[Market],$B427)=0),"Courier not in this market","OK")))))))))))))))</f>
        <v>OK</v>
      </c>
    </row>
    <row r="428" customFormat="false" ht="15" hidden="false" customHeight="false" outlineLevel="0" collapsed="false">
      <c r="A428" s="27" t="n">
        <v>46236</v>
      </c>
      <c r="B428" s="26" t="s">
        <v>85</v>
      </c>
      <c r="C428" s="26" t="s">
        <v>143</v>
      </c>
      <c r="D428" s="26" t="s">
        <v>76</v>
      </c>
      <c r="E428" s="26" t="s">
        <v>81</v>
      </c>
      <c r="F428" s="28" t="n">
        <v>3</v>
      </c>
      <c r="G428" s="28"/>
      <c r="H428" s="26"/>
      <c r="I428" s="26"/>
      <c r="J428" s="26" t="s">
        <v>162</v>
      </c>
      <c r="K428" s="29" t="str">
        <f aca="false">IF($A428="","",IF(COUNTIFS(tblMoveTypes[Movement],$E428)=0,"Unknown movement type",IF(COUNTIF(tblShipment[Shipment ID],$C428)=0,"Unknown shipment",IF(COUNTIFS(tblShipment[Shipment ID],$C428,tblShipment[Market],$B428)=0,"Market does not match shipment",IF(AND(IFERROR(INDEX(tblMoveTypes[Item?],MATCH($E428,tblMoveTypes[Movement],0)),"?")="Yes",$D428=""),"Item needed",IF(AND(IFERROR(INDEX(tblMoveTypes[Item?],MATCH($E428,tblMoveTypes[Movement],0)),"?")="No",$D428&lt;&gt;""),"Leave Item blank",IF(AND(IFERROR(INDEX(tblMoveTypes[Courier?],MATCH($E428,tblMoveTypes[Movement],0)),"?")="Yes",$H428=""),"Courier needed",IF(AND(IFERROR(INDEX(tblMoveTypes[Courier?],MATCH($E428,tblMoveTypes[Movement],0)),"?")="No",$H428&lt;&gt;""),"Leave Courier blank",IF(AND(IFERROR(INDEX(tblMoveTypes[Orders?],MATCH($E428,tblMoveTypes[Movement],0)),"?")="Yes",$G428=""),"Orders needed",IF(AND(IFERROR(INDEX(tblMoveTypes[Orders?],MATCH($E428,tblMoveTypes[Movement],0)),"?")="No",$G428&lt;&gt;""),"Leave Orders blank",IF(AND(IFERROR(INDEX(tblMoveTypes[Reason?],MATCH($E428,tblMoveTypes[Movement],0)),"?")="Yes",$I428=""),"Reason needed",IF(AND(IFERROR(INDEX(tblMoveTypes[Qty?],MATCH($E428,tblMoveTypes[Movement],0)),"?")="Yes",N($F428)&lt;=0),"Qty needed",IF($A428&lt;_xlfn.MINIFS(tblShipment[Arrival Date],tblShipment[Shipment ID],$C428),"Date before arrival",IF(AND($D428&lt;&gt;"",COUNTIFS(tblShipment[Shipment ID],$C428,tblShipment[Item Code],$D428)=0),"Item not in this shipment",IF(AND($H428&lt;&gt;"",COUNTIFS(tblCouriers[Courier],$H428,tblCouriers[Market],$B428)=0),"Courier not in this market","OK")))))))))))))))</f>
        <v>OK</v>
      </c>
    </row>
    <row r="429" customFormat="false" ht="15" hidden="false" customHeight="false" outlineLevel="0" collapsed="false">
      <c r="A429" s="27" t="n">
        <v>46236</v>
      </c>
      <c r="B429" s="26" t="s">
        <v>85</v>
      </c>
      <c r="C429" s="26" t="s">
        <v>143</v>
      </c>
      <c r="D429" s="26" t="s">
        <v>76</v>
      </c>
      <c r="E429" s="26" t="s">
        <v>74</v>
      </c>
      <c r="F429" s="28" t="n">
        <v>97</v>
      </c>
      <c r="G429" s="28"/>
      <c r="H429" s="26"/>
      <c r="I429" s="26"/>
      <c r="J429" s="26"/>
      <c r="K429" s="29" t="str">
        <f aca="false">IF($A429="","",IF(COUNTIFS(tblMoveTypes[Movement],$E429)=0,"Unknown movement type",IF(COUNTIF(tblShipment[Shipment ID],$C429)=0,"Unknown shipment",IF(COUNTIFS(tblShipment[Shipment ID],$C429,tblShipment[Market],$B429)=0,"Market does not match shipment",IF(AND(IFERROR(INDEX(tblMoveTypes[Item?],MATCH($E429,tblMoveTypes[Movement],0)),"?")="Yes",$D429=""),"Item needed",IF(AND(IFERROR(INDEX(tblMoveTypes[Item?],MATCH($E429,tblMoveTypes[Movement],0)),"?")="No",$D429&lt;&gt;""),"Leave Item blank",IF(AND(IFERROR(INDEX(tblMoveTypes[Courier?],MATCH($E429,tblMoveTypes[Movement],0)),"?")="Yes",$H429=""),"Courier needed",IF(AND(IFERROR(INDEX(tblMoveTypes[Courier?],MATCH($E429,tblMoveTypes[Movement],0)),"?")="No",$H429&lt;&gt;""),"Leave Courier blank",IF(AND(IFERROR(INDEX(tblMoveTypes[Orders?],MATCH($E429,tblMoveTypes[Movement],0)),"?")="Yes",$G429=""),"Orders needed",IF(AND(IFERROR(INDEX(tblMoveTypes[Orders?],MATCH($E429,tblMoveTypes[Movement],0)),"?")="No",$G429&lt;&gt;""),"Leave Orders blank",IF(AND(IFERROR(INDEX(tblMoveTypes[Reason?],MATCH($E429,tblMoveTypes[Movement],0)),"?")="Yes",$I429=""),"Reason needed",IF(AND(IFERROR(INDEX(tblMoveTypes[Qty?],MATCH($E429,tblMoveTypes[Movement],0)),"?")="Yes",N($F429)&lt;=0),"Qty needed",IF($A429&lt;_xlfn.MINIFS(tblShipment[Arrival Date],tblShipment[Shipment ID],$C429),"Date before arrival",IF(AND($D429&lt;&gt;"",COUNTIFS(tblShipment[Shipment ID],$C429,tblShipment[Item Code],$D429)=0),"Item not in this shipment",IF(AND($H429&lt;&gt;"",COUNTIFS(tblCouriers[Courier],$H429,tblCouriers[Market],$B429)=0),"Courier not in this market","OK")))))))))))))))</f>
        <v>OK</v>
      </c>
    </row>
    <row r="430" customFormat="false" ht="15" hidden="false" customHeight="false" outlineLevel="0" collapsed="false">
      <c r="A430" s="27" t="n">
        <v>46236</v>
      </c>
      <c r="B430" s="26" t="s">
        <v>85</v>
      </c>
      <c r="C430" s="26" t="s">
        <v>143</v>
      </c>
      <c r="D430" s="26" t="s">
        <v>99</v>
      </c>
      <c r="E430" s="26" t="s">
        <v>81</v>
      </c>
      <c r="F430" s="28" t="n">
        <v>2</v>
      </c>
      <c r="G430" s="28"/>
      <c r="H430" s="26"/>
      <c r="I430" s="26"/>
      <c r="J430" s="26" t="s">
        <v>162</v>
      </c>
      <c r="K430" s="29" t="str">
        <f aca="false">IF($A430="","",IF(COUNTIFS(tblMoveTypes[Movement],$E430)=0,"Unknown movement type",IF(COUNTIF(tblShipment[Shipment ID],$C430)=0,"Unknown shipment",IF(COUNTIFS(tblShipment[Shipment ID],$C430,tblShipment[Market],$B430)=0,"Market does not match shipment",IF(AND(IFERROR(INDEX(tblMoveTypes[Item?],MATCH($E430,tblMoveTypes[Movement],0)),"?")="Yes",$D430=""),"Item needed",IF(AND(IFERROR(INDEX(tblMoveTypes[Item?],MATCH($E430,tblMoveTypes[Movement],0)),"?")="No",$D430&lt;&gt;""),"Leave Item blank",IF(AND(IFERROR(INDEX(tblMoveTypes[Courier?],MATCH($E430,tblMoveTypes[Movement],0)),"?")="Yes",$H430=""),"Courier needed",IF(AND(IFERROR(INDEX(tblMoveTypes[Courier?],MATCH($E430,tblMoveTypes[Movement],0)),"?")="No",$H430&lt;&gt;""),"Leave Courier blank",IF(AND(IFERROR(INDEX(tblMoveTypes[Orders?],MATCH($E430,tblMoveTypes[Movement],0)),"?")="Yes",$G430=""),"Orders needed",IF(AND(IFERROR(INDEX(tblMoveTypes[Orders?],MATCH($E430,tblMoveTypes[Movement],0)),"?")="No",$G430&lt;&gt;""),"Leave Orders blank",IF(AND(IFERROR(INDEX(tblMoveTypes[Reason?],MATCH($E430,tblMoveTypes[Movement],0)),"?")="Yes",$I430=""),"Reason needed",IF(AND(IFERROR(INDEX(tblMoveTypes[Qty?],MATCH($E430,tblMoveTypes[Movement],0)),"?")="Yes",N($F430)&lt;=0),"Qty needed",IF($A430&lt;_xlfn.MINIFS(tblShipment[Arrival Date],tblShipment[Shipment ID],$C430),"Date before arrival",IF(AND($D430&lt;&gt;"",COUNTIFS(tblShipment[Shipment ID],$C430,tblShipment[Item Code],$D430)=0),"Item not in this shipment",IF(AND($H430&lt;&gt;"",COUNTIFS(tblCouriers[Courier],$H430,tblCouriers[Market],$B430)=0),"Courier not in this market","OK")))))))))))))))</f>
        <v>OK</v>
      </c>
    </row>
    <row r="431" customFormat="false" ht="15" hidden="false" customHeight="false" outlineLevel="0" collapsed="false">
      <c r="A431" s="27" t="n">
        <v>46236</v>
      </c>
      <c r="B431" s="26" t="s">
        <v>85</v>
      </c>
      <c r="C431" s="26" t="s">
        <v>143</v>
      </c>
      <c r="D431" s="26" t="s">
        <v>99</v>
      </c>
      <c r="E431" s="26" t="s">
        <v>74</v>
      </c>
      <c r="F431" s="28" t="n">
        <v>118</v>
      </c>
      <c r="G431" s="28"/>
      <c r="H431" s="26"/>
      <c r="I431" s="26"/>
      <c r="J431" s="26"/>
      <c r="K431" s="29" t="str">
        <f aca="false">IF($A431="","",IF(COUNTIFS(tblMoveTypes[Movement],$E431)=0,"Unknown movement type",IF(COUNTIF(tblShipment[Shipment ID],$C431)=0,"Unknown shipment",IF(COUNTIFS(tblShipment[Shipment ID],$C431,tblShipment[Market],$B431)=0,"Market does not match shipment",IF(AND(IFERROR(INDEX(tblMoveTypes[Item?],MATCH($E431,tblMoveTypes[Movement],0)),"?")="Yes",$D431=""),"Item needed",IF(AND(IFERROR(INDEX(tblMoveTypes[Item?],MATCH($E431,tblMoveTypes[Movement],0)),"?")="No",$D431&lt;&gt;""),"Leave Item blank",IF(AND(IFERROR(INDEX(tblMoveTypes[Courier?],MATCH($E431,tblMoveTypes[Movement],0)),"?")="Yes",$H431=""),"Courier needed",IF(AND(IFERROR(INDEX(tblMoveTypes[Courier?],MATCH($E431,tblMoveTypes[Movement],0)),"?")="No",$H431&lt;&gt;""),"Leave Courier blank",IF(AND(IFERROR(INDEX(tblMoveTypes[Orders?],MATCH($E431,tblMoveTypes[Movement],0)),"?")="Yes",$G431=""),"Orders needed",IF(AND(IFERROR(INDEX(tblMoveTypes[Orders?],MATCH($E431,tblMoveTypes[Movement],0)),"?")="No",$G431&lt;&gt;""),"Leave Orders blank",IF(AND(IFERROR(INDEX(tblMoveTypes[Reason?],MATCH($E431,tblMoveTypes[Movement],0)),"?")="Yes",$I431=""),"Reason needed",IF(AND(IFERROR(INDEX(tblMoveTypes[Qty?],MATCH($E431,tblMoveTypes[Movement],0)),"?")="Yes",N($F431)&lt;=0),"Qty needed",IF($A431&lt;_xlfn.MINIFS(tblShipment[Arrival Date],tblShipment[Shipment ID],$C431),"Date before arrival",IF(AND($D431&lt;&gt;"",COUNTIFS(tblShipment[Shipment ID],$C431,tblShipment[Item Code],$D431)=0),"Item not in this shipment",IF(AND($H431&lt;&gt;"",COUNTIFS(tblCouriers[Courier],$H431,tblCouriers[Market],$B431)=0),"Courier not in this market","OK")))))))))))))))</f>
        <v>OK</v>
      </c>
    </row>
    <row r="432" customFormat="false" ht="15" hidden="false" customHeight="false" outlineLevel="0" collapsed="false">
      <c r="A432" s="27" t="n">
        <v>46236</v>
      </c>
      <c r="B432" s="26" t="s">
        <v>85</v>
      </c>
      <c r="C432" s="26" t="s">
        <v>143</v>
      </c>
      <c r="D432" s="26" t="s">
        <v>94</v>
      </c>
      <c r="E432" s="26" t="s">
        <v>74</v>
      </c>
      <c r="F432" s="28" t="n">
        <v>40</v>
      </c>
      <c r="G432" s="28"/>
      <c r="H432" s="26"/>
      <c r="I432" s="26"/>
      <c r="J432" s="26"/>
      <c r="K432" s="29" t="str">
        <f aca="false">IF($A432="","",IF(COUNTIFS(tblMoveTypes[Movement],$E432)=0,"Unknown movement type",IF(COUNTIF(tblShipment[Shipment ID],$C432)=0,"Unknown shipment",IF(COUNTIFS(tblShipment[Shipment ID],$C432,tblShipment[Market],$B432)=0,"Market does not match shipment",IF(AND(IFERROR(INDEX(tblMoveTypes[Item?],MATCH($E432,tblMoveTypes[Movement],0)),"?")="Yes",$D432=""),"Item needed",IF(AND(IFERROR(INDEX(tblMoveTypes[Item?],MATCH($E432,tblMoveTypes[Movement],0)),"?")="No",$D432&lt;&gt;""),"Leave Item blank",IF(AND(IFERROR(INDEX(tblMoveTypes[Courier?],MATCH($E432,tblMoveTypes[Movement],0)),"?")="Yes",$H432=""),"Courier needed",IF(AND(IFERROR(INDEX(tblMoveTypes[Courier?],MATCH($E432,tblMoveTypes[Movement],0)),"?")="No",$H432&lt;&gt;""),"Leave Courier blank",IF(AND(IFERROR(INDEX(tblMoveTypes[Orders?],MATCH($E432,tblMoveTypes[Movement],0)),"?")="Yes",$G432=""),"Orders needed",IF(AND(IFERROR(INDEX(tblMoveTypes[Orders?],MATCH($E432,tblMoveTypes[Movement],0)),"?")="No",$G432&lt;&gt;""),"Leave Orders blank",IF(AND(IFERROR(INDEX(tblMoveTypes[Reason?],MATCH($E432,tblMoveTypes[Movement],0)),"?")="Yes",$I432=""),"Reason needed",IF(AND(IFERROR(INDEX(tblMoveTypes[Qty?],MATCH($E432,tblMoveTypes[Movement],0)),"?")="Yes",N($F432)&lt;=0),"Qty needed",IF($A432&lt;_xlfn.MINIFS(tblShipment[Arrival Date],tblShipment[Shipment ID],$C432),"Date before arrival",IF(AND($D432&lt;&gt;"",COUNTIFS(tblShipment[Shipment ID],$C432,tblShipment[Item Code],$D432)=0),"Item not in this shipment",IF(AND($H432&lt;&gt;"",COUNTIFS(tblCouriers[Courier],$H432,tblCouriers[Market],$B432)=0),"Courier not in this market","OK")))))))))))))))</f>
        <v>OK</v>
      </c>
    </row>
    <row r="433" customFormat="false" ht="15" hidden="false" customHeight="false" outlineLevel="0" collapsed="false">
      <c r="A433" s="27" t="n">
        <v>46236</v>
      </c>
      <c r="B433" s="26" t="s">
        <v>85</v>
      </c>
      <c r="C433" s="26" t="s">
        <v>143</v>
      </c>
      <c r="D433" s="26"/>
      <c r="E433" s="26" t="s">
        <v>98</v>
      </c>
      <c r="F433" s="28"/>
      <c r="G433" s="28" t="n">
        <v>36</v>
      </c>
      <c r="H433" s="26"/>
      <c r="I433" s="26"/>
      <c r="J433" s="26"/>
      <c r="K433" s="29" t="str">
        <f aca="false">IF($A433="","",IF(COUNTIFS(tblMoveTypes[Movement],$E433)=0,"Unknown movement type",IF(COUNTIF(tblShipment[Shipment ID],$C433)=0,"Unknown shipment",IF(COUNTIFS(tblShipment[Shipment ID],$C433,tblShipment[Market],$B433)=0,"Market does not match shipment",IF(AND(IFERROR(INDEX(tblMoveTypes[Item?],MATCH($E433,tblMoveTypes[Movement],0)),"?")="Yes",$D433=""),"Item needed",IF(AND(IFERROR(INDEX(tblMoveTypes[Item?],MATCH($E433,tblMoveTypes[Movement],0)),"?")="No",$D433&lt;&gt;""),"Leave Item blank",IF(AND(IFERROR(INDEX(tblMoveTypes[Courier?],MATCH($E433,tblMoveTypes[Movement],0)),"?")="Yes",$H433=""),"Courier needed",IF(AND(IFERROR(INDEX(tblMoveTypes[Courier?],MATCH($E433,tblMoveTypes[Movement],0)),"?")="No",$H433&lt;&gt;""),"Leave Courier blank",IF(AND(IFERROR(INDEX(tblMoveTypes[Orders?],MATCH($E433,tblMoveTypes[Movement],0)),"?")="Yes",$G433=""),"Orders needed",IF(AND(IFERROR(INDEX(tblMoveTypes[Orders?],MATCH($E433,tblMoveTypes[Movement],0)),"?")="No",$G433&lt;&gt;""),"Leave Orders blank",IF(AND(IFERROR(INDEX(tblMoveTypes[Reason?],MATCH($E433,tblMoveTypes[Movement],0)),"?")="Yes",$I433=""),"Reason needed",IF(AND(IFERROR(INDEX(tblMoveTypes[Qty?],MATCH($E433,tblMoveTypes[Movement],0)),"?")="Yes",N($F433)&lt;=0),"Qty needed",IF($A433&lt;_xlfn.MINIFS(tblShipment[Arrival Date],tblShipment[Shipment ID],$C433),"Date before arrival",IF(AND($D433&lt;&gt;"",COUNTIFS(tblShipment[Shipment ID],$C433,tblShipment[Item Code],$D433)=0),"Item not in this shipment",IF(AND($H433&lt;&gt;"",COUNTIFS(tblCouriers[Courier],$H433,tblCouriers[Market],$B433)=0),"Courier not in this market","OK")))))))))))))))</f>
        <v>OK</v>
      </c>
    </row>
    <row r="434" customFormat="false" ht="15" hidden="false" customHeight="false" outlineLevel="0" collapsed="false">
      <c r="A434" s="27" t="n">
        <v>46236</v>
      </c>
      <c r="B434" s="26" t="s">
        <v>85</v>
      </c>
      <c r="C434" s="26" t="s">
        <v>143</v>
      </c>
      <c r="D434" s="26" t="s">
        <v>76</v>
      </c>
      <c r="E434" s="26" t="s">
        <v>73</v>
      </c>
      <c r="F434" s="28" t="n">
        <v>2</v>
      </c>
      <c r="G434" s="28"/>
      <c r="H434" s="26"/>
      <c r="I434" s="26" t="s">
        <v>72</v>
      </c>
      <c r="J434" s="26"/>
      <c r="K434" s="29" t="str">
        <f aca="false">IF($A434="","",IF(COUNTIFS(tblMoveTypes[Movement],$E434)=0,"Unknown movement type",IF(COUNTIF(tblShipment[Shipment ID],$C434)=0,"Unknown shipment",IF(COUNTIFS(tblShipment[Shipment ID],$C434,tblShipment[Market],$B434)=0,"Market does not match shipment",IF(AND(IFERROR(INDEX(tblMoveTypes[Item?],MATCH($E434,tblMoveTypes[Movement],0)),"?")="Yes",$D434=""),"Item needed",IF(AND(IFERROR(INDEX(tblMoveTypes[Item?],MATCH($E434,tblMoveTypes[Movement],0)),"?")="No",$D434&lt;&gt;""),"Leave Item blank",IF(AND(IFERROR(INDEX(tblMoveTypes[Courier?],MATCH($E434,tblMoveTypes[Movement],0)),"?")="Yes",$H434=""),"Courier needed",IF(AND(IFERROR(INDEX(tblMoveTypes[Courier?],MATCH($E434,tblMoveTypes[Movement],0)),"?")="No",$H434&lt;&gt;""),"Leave Courier blank",IF(AND(IFERROR(INDEX(tblMoveTypes[Orders?],MATCH($E434,tblMoveTypes[Movement],0)),"?")="Yes",$G434=""),"Orders needed",IF(AND(IFERROR(INDEX(tblMoveTypes[Orders?],MATCH($E434,tblMoveTypes[Movement],0)),"?")="No",$G434&lt;&gt;""),"Leave Orders blank",IF(AND(IFERROR(INDEX(tblMoveTypes[Reason?],MATCH($E434,tblMoveTypes[Movement],0)),"?")="Yes",$I434=""),"Reason needed",IF(AND(IFERROR(INDEX(tblMoveTypes[Qty?],MATCH($E434,tblMoveTypes[Movement],0)),"?")="Yes",N($F434)&lt;=0),"Qty needed",IF($A434&lt;_xlfn.MINIFS(tblShipment[Arrival Date],tblShipment[Shipment ID],$C434),"Date before arrival",IF(AND($D434&lt;&gt;"",COUNTIFS(tblShipment[Shipment ID],$C434,tblShipment[Item Code],$D434)=0),"Item not in this shipment",IF(AND($H434&lt;&gt;"",COUNTIFS(tblCouriers[Courier],$H434,tblCouriers[Market],$B434)=0),"Courier not in this market","OK")))))))))))))))</f>
        <v>OK</v>
      </c>
    </row>
    <row r="435" customFormat="false" ht="15" hidden="false" customHeight="false" outlineLevel="0" collapsed="false">
      <c r="A435" s="27" t="n">
        <v>46236</v>
      </c>
      <c r="B435" s="26" t="s">
        <v>85</v>
      </c>
      <c r="C435" s="26" t="s">
        <v>143</v>
      </c>
      <c r="D435" s="26" t="s">
        <v>99</v>
      </c>
      <c r="E435" s="26" t="s">
        <v>73</v>
      </c>
      <c r="F435" s="28" t="n">
        <v>2</v>
      </c>
      <c r="G435" s="28"/>
      <c r="H435" s="26"/>
      <c r="I435" s="26" t="s">
        <v>80</v>
      </c>
      <c r="J435" s="26"/>
      <c r="K435" s="29" t="str">
        <f aca="false">IF($A435="","",IF(COUNTIFS(tblMoveTypes[Movement],$E435)=0,"Unknown movement type",IF(COUNTIF(tblShipment[Shipment ID],$C435)=0,"Unknown shipment",IF(COUNTIFS(tblShipment[Shipment ID],$C435,tblShipment[Market],$B435)=0,"Market does not match shipment",IF(AND(IFERROR(INDEX(tblMoveTypes[Item?],MATCH($E435,tblMoveTypes[Movement],0)),"?")="Yes",$D435=""),"Item needed",IF(AND(IFERROR(INDEX(tblMoveTypes[Item?],MATCH($E435,tblMoveTypes[Movement],0)),"?")="No",$D435&lt;&gt;""),"Leave Item blank",IF(AND(IFERROR(INDEX(tblMoveTypes[Courier?],MATCH($E435,tblMoveTypes[Movement],0)),"?")="Yes",$H435=""),"Courier needed",IF(AND(IFERROR(INDEX(tblMoveTypes[Courier?],MATCH($E435,tblMoveTypes[Movement],0)),"?")="No",$H435&lt;&gt;""),"Leave Courier blank",IF(AND(IFERROR(INDEX(tblMoveTypes[Orders?],MATCH($E435,tblMoveTypes[Movement],0)),"?")="Yes",$G435=""),"Orders needed",IF(AND(IFERROR(INDEX(tblMoveTypes[Orders?],MATCH($E435,tblMoveTypes[Movement],0)),"?")="No",$G435&lt;&gt;""),"Leave Orders blank",IF(AND(IFERROR(INDEX(tblMoveTypes[Reason?],MATCH($E435,tblMoveTypes[Movement],0)),"?")="Yes",$I435=""),"Reason needed",IF(AND(IFERROR(INDEX(tblMoveTypes[Qty?],MATCH($E435,tblMoveTypes[Movement],0)),"?")="Yes",N($F435)&lt;=0),"Qty needed",IF($A435&lt;_xlfn.MINIFS(tblShipment[Arrival Date],tblShipment[Shipment ID],$C435),"Date before arrival",IF(AND($D435&lt;&gt;"",COUNTIFS(tblShipment[Shipment ID],$C435,tblShipment[Item Code],$D435)=0),"Item not in this shipment",IF(AND($H435&lt;&gt;"",COUNTIFS(tblCouriers[Courier],$H435,tblCouriers[Market],$B435)=0),"Courier not in this market","OK")))))))))))))))</f>
        <v>OK</v>
      </c>
    </row>
    <row r="436" customFormat="false" ht="15" hidden="false" customHeight="false" outlineLevel="0" collapsed="false">
      <c r="A436" s="27" t="n">
        <v>46236</v>
      </c>
      <c r="B436" s="26" t="s">
        <v>85</v>
      </c>
      <c r="C436" s="26" t="s">
        <v>143</v>
      </c>
      <c r="D436" s="26" t="s">
        <v>94</v>
      </c>
      <c r="E436" s="26" t="s">
        <v>73</v>
      </c>
      <c r="F436" s="28" t="n">
        <v>1</v>
      </c>
      <c r="G436" s="28"/>
      <c r="H436" s="26"/>
      <c r="I436" s="26" t="s">
        <v>72</v>
      </c>
      <c r="J436" s="26"/>
      <c r="K436" s="29" t="str">
        <f aca="false">IF($A436="","",IF(COUNTIFS(tblMoveTypes[Movement],$E436)=0,"Unknown movement type",IF(COUNTIF(tblShipment[Shipment ID],$C436)=0,"Unknown shipment",IF(COUNTIFS(tblShipment[Shipment ID],$C436,tblShipment[Market],$B436)=0,"Market does not match shipment",IF(AND(IFERROR(INDEX(tblMoveTypes[Item?],MATCH($E436,tblMoveTypes[Movement],0)),"?")="Yes",$D436=""),"Item needed",IF(AND(IFERROR(INDEX(tblMoveTypes[Item?],MATCH($E436,tblMoveTypes[Movement],0)),"?")="No",$D436&lt;&gt;""),"Leave Item blank",IF(AND(IFERROR(INDEX(tblMoveTypes[Courier?],MATCH($E436,tblMoveTypes[Movement],0)),"?")="Yes",$H436=""),"Courier needed",IF(AND(IFERROR(INDEX(tblMoveTypes[Courier?],MATCH($E436,tblMoveTypes[Movement],0)),"?")="No",$H436&lt;&gt;""),"Leave Courier blank",IF(AND(IFERROR(INDEX(tblMoveTypes[Orders?],MATCH($E436,tblMoveTypes[Movement],0)),"?")="Yes",$G436=""),"Orders needed",IF(AND(IFERROR(INDEX(tblMoveTypes[Orders?],MATCH($E436,tblMoveTypes[Movement],0)),"?")="No",$G436&lt;&gt;""),"Leave Orders blank",IF(AND(IFERROR(INDEX(tblMoveTypes[Reason?],MATCH($E436,tblMoveTypes[Movement],0)),"?")="Yes",$I436=""),"Reason needed",IF(AND(IFERROR(INDEX(tblMoveTypes[Qty?],MATCH($E436,tblMoveTypes[Movement],0)),"?")="Yes",N($F436)&lt;=0),"Qty needed",IF($A436&lt;_xlfn.MINIFS(tblShipment[Arrival Date],tblShipment[Shipment ID],$C436),"Date before arrival",IF(AND($D436&lt;&gt;"",COUNTIFS(tblShipment[Shipment ID],$C436,tblShipment[Item Code],$D436)=0),"Item not in this shipment",IF(AND($H436&lt;&gt;"",COUNTIFS(tblCouriers[Courier],$H436,tblCouriers[Market],$B436)=0),"Courier not in this market","OK")))))))))))))))</f>
        <v>OK</v>
      </c>
    </row>
    <row r="437" customFormat="false" ht="15" hidden="false" customHeight="false" outlineLevel="0" collapsed="false">
      <c r="A437" s="27" t="n">
        <v>46236</v>
      </c>
      <c r="B437" s="26" t="s">
        <v>85</v>
      </c>
      <c r="C437" s="26" t="s">
        <v>143</v>
      </c>
      <c r="D437" s="26" t="s">
        <v>76</v>
      </c>
      <c r="E437" s="26" t="s">
        <v>93</v>
      </c>
      <c r="F437" s="28" t="n">
        <v>57</v>
      </c>
      <c r="G437" s="28"/>
      <c r="H437" s="26" t="s">
        <v>91</v>
      </c>
      <c r="I437" s="26"/>
      <c r="J437" s="26"/>
      <c r="K437" s="29" t="str">
        <f aca="false">IF($A437="","",IF(COUNTIFS(tblMoveTypes[Movement],$E437)=0,"Unknown movement type",IF(COUNTIF(tblShipment[Shipment ID],$C437)=0,"Unknown shipment",IF(COUNTIFS(tblShipment[Shipment ID],$C437,tblShipment[Market],$B437)=0,"Market does not match shipment",IF(AND(IFERROR(INDEX(tblMoveTypes[Item?],MATCH($E437,tblMoveTypes[Movement],0)),"?")="Yes",$D437=""),"Item needed",IF(AND(IFERROR(INDEX(tblMoveTypes[Item?],MATCH($E437,tblMoveTypes[Movement],0)),"?")="No",$D437&lt;&gt;""),"Leave Item blank",IF(AND(IFERROR(INDEX(tblMoveTypes[Courier?],MATCH($E437,tblMoveTypes[Movement],0)),"?")="Yes",$H437=""),"Courier needed",IF(AND(IFERROR(INDEX(tblMoveTypes[Courier?],MATCH($E437,tblMoveTypes[Movement],0)),"?")="No",$H437&lt;&gt;""),"Leave Courier blank",IF(AND(IFERROR(INDEX(tblMoveTypes[Orders?],MATCH($E437,tblMoveTypes[Movement],0)),"?")="Yes",$G437=""),"Orders needed",IF(AND(IFERROR(INDEX(tblMoveTypes[Orders?],MATCH($E437,tblMoveTypes[Movement],0)),"?")="No",$G437&lt;&gt;""),"Leave Orders blank",IF(AND(IFERROR(INDEX(tblMoveTypes[Reason?],MATCH($E437,tblMoveTypes[Movement],0)),"?")="Yes",$I437=""),"Reason needed",IF(AND(IFERROR(INDEX(tblMoveTypes[Qty?],MATCH($E437,tblMoveTypes[Movement],0)),"?")="Yes",N($F437)&lt;=0),"Qty needed",IF($A437&lt;_xlfn.MINIFS(tblShipment[Arrival Date],tblShipment[Shipment ID],$C437),"Date before arrival",IF(AND($D437&lt;&gt;"",COUNTIFS(tblShipment[Shipment ID],$C437,tblShipment[Item Code],$D437)=0),"Item not in this shipment",IF(AND($H437&lt;&gt;"",COUNTIFS(tblCouriers[Courier],$H437,tblCouriers[Market],$B437)=0),"Courier not in this market","OK")))))))))))))))</f>
        <v>OK</v>
      </c>
    </row>
    <row r="438" customFormat="false" ht="15" hidden="false" customHeight="false" outlineLevel="0" collapsed="false">
      <c r="A438" s="27" t="n">
        <v>46236</v>
      </c>
      <c r="B438" s="26" t="s">
        <v>85</v>
      </c>
      <c r="C438" s="26" t="s">
        <v>143</v>
      </c>
      <c r="D438" s="26" t="s">
        <v>76</v>
      </c>
      <c r="E438" s="26" t="s">
        <v>93</v>
      </c>
      <c r="F438" s="28" t="n">
        <v>38</v>
      </c>
      <c r="G438" s="28"/>
      <c r="H438" s="26" t="s">
        <v>96</v>
      </c>
      <c r="I438" s="26"/>
      <c r="J438" s="26"/>
      <c r="K438" s="29" t="str">
        <f aca="false">IF($A438="","",IF(COUNTIFS(tblMoveTypes[Movement],$E438)=0,"Unknown movement type",IF(COUNTIF(tblShipment[Shipment ID],$C438)=0,"Unknown shipment",IF(COUNTIFS(tblShipment[Shipment ID],$C438,tblShipment[Market],$B438)=0,"Market does not match shipment",IF(AND(IFERROR(INDEX(tblMoveTypes[Item?],MATCH($E438,tblMoveTypes[Movement],0)),"?")="Yes",$D438=""),"Item needed",IF(AND(IFERROR(INDEX(tblMoveTypes[Item?],MATCH($E438,tblMoveTypes[Movement],0)),"?")="No",$D438&lt;&gt;""),"Leave Item blank",IF(AND(IFERROR(INDEX(tblMoveTypes[Courier?],MATCH($E438,tblMoveTypes[Movement],0)),"?")="Yes",$H438=""),"Courier needed",IF(AND(IFERROR(INDEX(tblMoveTypes[Courier?],MATCH($E438,tblMoveTypes[Movement],0)),"?")="No",$H438&lt;&gt;""),"Leave Courier blank",IF(AND(IFERROR(INDEX(tblMoveTypes[Orders?],MATCH($E438,tblMoveTypes[Movement],0)),"?")="Yes",$G438=""),"Orders needed",IF(AND(IFERROR(INDEX(tblMoveTypes[Orders?],MATCH($E438,tblMoveTypes[Movement],0)),"?")="No",$G438&lt;&gt;""),"Leave Orders blank",IF(AND(IFERROR(INDEX(tblMoveTypes[Reason?],MATCH($E438,tblMoveTypes[Movement],0)),"?")="Yes",$I438=""),"Reason needed",IF(AND(IFERROR(INDEX(tblMoveTypes[Qty?],MATCH($E438,tblMoveTypes[Movement],0)),"?")="Yes",N($F438)&lt;=0),"Qty needed",IF($A438&lt;_xlfn.MINIFS(tblShipment[Arrival Date],tblShipment[Shipment ID],$C438),"Date before arrival",IF(AND($D438&lt;&gt;"",COUNTIFS(tblShipment[Shipment ID],$C438,tblShipment[Item Code],$D438)=0),"Item not in this shipment",IF(AND($H438&lt;&gt;"",COUNTIFS(tblCouriers[Courier],$H438,tblCouriers[Market],$B438)=0),"Courier not in this market","OK")))))))))))))))</f>
        <v>OK</v>
      </c>
    </row>
    <row r="439" customFormat="false" ht="15" hidden="false" customHeight="false" outlineLevel="0" collapsed="false">
      <c r="A439" s="27" t="n">
        <v>46236</v>
      </c>
      <c r="B439" s="26" t="s">
        <v>85</v>
      </c>
      <c r="C439" s="26" t="s">
        <v>143</v>
      </c>
      <c r="D439" s="26" t="s">
        <v>99</v>
      </c>
      <c r="E439" s="26" t="s">
        <v>93</v>
      </c>
      <c r="F439" s="28" t="n">
        <v>70</v>
      </c>
      <c r="G439" s="28"/>
      <c r="H439" s="26" t="s">
        <v>91</v>
      </c>
      <c r="I439" s="26"/>
      <c r="J439" s="26"/>
      <c r="K439" s="29" t="str">
        <f aca="false">IF($A439="","",IF(COUNTIFS(tblMoveTypes[Movement],$E439)=0,"Unknown movement type",IF(COUNTIF(tblShipment[Shipment ID],$C439)=0,"Unknown shipment",IF(COUNTIFS(tblShipment[Shipment ID],$C439,tblShipment[Market],$B439)=0,"Market does not match shipment",IF(AND(IFERROR(INDEX(tblMoveTypes[Item?],MATCH($E439,tblMoveTypes[Movement],0)),"?")="Yes",$D439=""),"Item needed",IF(AND(IFERROR(INDEX(tblMoveTypes[Item?],MATCH($E439,tblMoveTypes[Movement],0)),"?")="No",$D439&lt;&gt;""),"Leave Item blank",IF(AND(IFERROR(INDEX(tblMoveTypes[Courier?],MATCH($E439,tblMoveTypes[Movement],0)),"?")="Yes",$H439=""),"Courier needed",IF(AND(IFERROR(INDEX(tblMoveTypes[Courier?],MATCH($E439,tblMoveTypes[Movement],0)),"?")="No",$H439&lt;&gt;""),"Leave Courier blank",IF(AND(IFERROR(INDEX(tblMoveTypes[Orders?],MATCH($E439,tblMoveTypes[Movement],0)),"?")="Yes",$G439=""),"Orders needed",IF(AND(IFERROR(INDEX(tblMoveTypes[Orders?],MATCH($E439,tblMoveTypes[Movement],0)),"?")="No",$G439&lt;&gt;""),"Leave Orders blank",IF(AND(IFERROR(INDEX(tblMoveTypes[Reason?],MATCH($E439,tblMoveTypes[Movement],0)),"?")="Yes",$I439=""),"Reason needed",IF(AND(IFERROR(INDEX(tblMoveTypes[Qty?],MATCH($E439,tblMoveTypes[Movement],0)),"?")="Yes",N($F439)&lt;=0),"Qty needed",IF($A439&lt;_xlfn.MINIFS(tblShipment[Arrival Date],tblShipment[Shipment ID],$C439),"Date before arrival",IF(AND($D439&lt;&gt;"",COUNTIFS(tblShipment[Shipment ID],$C439,tblShipment[Item Code],$D439)=0),"Item not in this shipment",IF(AND($H439&lt;&gt;"",COUNTIFS(tblCouriers[Courier],$H439,tblCouriers[Market],$B439)=0),"Courier not in this market","OK")))))))))))))))</f>
        <v>OK</v>
      </c>
    </row>
    <row r="440" customFormat="false" ht="15" hidden="false" customHeight="false" outlineLevel="0" collapsed="false">
      <c r="A440" s="27" t="n">
        <v>46236</v>
      </c>
      <c r="B440" s="26" t="s">
        <v>85</v>
      </c>
      <c r="C440" s="26" t="s">
        <v>143</v>
      </c>
      <c r="D440" s="26" t="s">
        <v>99</v>
      </c>
      <c r="E440" s="26" t="s">
        <v>93</v>
      </c>
      <c r="F440" s="28" t="n">
        <v>46</v>
      </c>
      <c r="G440" s="28"/>
      <c r="H440" s="26" t="s">
        <v>96</v>
      </c>
      <c r="I440" s="26"/>
      <c r="J440" s="26"/>
      <c r="K440" s="29" t="str">
        <f aca="false">IF($A440="","",IF(COUNTIFS(tblMoveTypes[Movement],$E440)=0,"Unknown movement type",IF(COUNTIF(tblShipment[Shipment ID],$C440)=0,"Unknown shipment",IF(COUNTIFS(tblShipment[Shipment ID],$C440,tblShipment[Market],$B440)=0,"Market does not match shipment",IF(AND(IFERROR(INDEX(tblMoveTypes[Item?],MATCH($E440,tblMoveTypes[Movement],0)),"?")="Yes",$D440=""),"Item needed",IF(AND(IFERROR(INDEX(tblMoveTypes[Item?],MATCH($E440,tblMoveTypes[Movement],0)),"?")="No",$D440&lt;&gt;""),"Leave Item blank",IF(AND(IFERROR(INDEX(tblMoveTypes[Courier?],MATCH($E440,tblMoveTypes[Movement],0)),"?")="Yes",$H440=""),"Courier needed",IF(AND(IFERROR(INDEX(tblMoveTypes[Courier?],MATCH($E440,tblMoveTypes[Movement],0)),"?")="No",$H440&lt;&gt;""),"Leave Courier blank",IF(AND(IFERROR(INDEX(tblMoveTypes[Orders?],MATCH($E440,tblMoveTypes[Movement],0)),"?")="Yes",$G440=""),"Orders needed",IF(AND(IFERROR(INDEX(tblMoveTypes[Orders?],MATCH($E440,tblMoveTypes[Movement],0)),"?")="No",$G440&lt;&gt;""),"Leave Orders blank",IF(AND(IFERROR(INDEX(tblMoveTypes[Reason?],MATCH($E440,tblMoveTypes[Movement],0)),"?")="Yes",$I440=""),"Reason needed",IF(AND(IFERROR(INDEX(tblMoveTypes[Qty?],MATCH($E440,tblMoveTypes[Movement],0)),"?")="Yes",N($F440)&lt;=0),"Qty needed",IF($A440&lt;_xlfn.MINIFS(tblShipment[Arrival Date],tblShipment[Shipment ID],$C440),"Date before arrival",IF(AND($D440&lt;&gt;"",COUNTIFS(tblShipment[Shipment ID],$C440,tblShipment[Item Code],$D440)=0),"Item not in this shipment",IF(AND($H440&lt;&gt;"",COUNTIFS(tblCouriers[Courier],$H440,tblCouriers[Market],$B440)=0),"Courier not in this market","OK")))))))))))))))</f>
        <v>OK</v>
      </c>
    </row>
    <row r="441" customFormat="false" ht="15" hidden="false" customHeight="false" outlineLevel="0" collapsed="false">
      <c r="A441" s="27" t="n">
        <v>46236</v>
      </c>
      <c r="B441" s="26" t="s">
        <v>85</v>
      </c>
      <c r="C441" s="26" t="s">
        <v>143</v>
      </c>
      <c r="D441" s="26" t="s">
        <v>94</v>
      </c>
      <c r="E441" s="26" t="s">
        <v>93</v>
      </c>
      <c r="F441" s="28" t="n">
        <v>23</v>
      </c>
      <c r="G441" s="28"/>
      <c r="H441" s="26" t="s">
        <v>91</v>
      </c>
      <c r="I441" s="26"/>
      <c r="J441" s="26"/>
      <c r="K441" s="29" t="str">
        <f aca="false">IF($A441="","",IF(COUNTIFS(tblMoveTypes[Movement],$E441)=0,"Unknown movement type",IF(COUNTIF(tblShipment[Shipment ID],$C441)=0,"Unknown shipment",IF(COUNTIFS(tblShipment[Shipment ID],$C441,tblShipment[Market],$B441)=0,"Market does not match shipment",IF(AND(IFERROR(INDEX(tblMoveTypes[Item?],MATCH($E441,tblMoveTypes[Movement],0)),"?")="Yes",$D441=""),"Item needed",IF(AND(IFERROR(INDEX(tblMoveTypes[Item?],MATCH($E441,tblMoveTypes[Movement],0)),"?")="No",$D441&lt;&gt;""),"Leave Item blank",IF(AND(IFERROR(INDEX(tblMoveTypes[Courier?],MATCH($E441,tblMoveTypes[Movement],0)),"?")="Yes",$H441=""),"Courier needed",IF(AND(IFERROR(INDEX(tblMoveTypes[Courier?],MATCH($E441,tblMoveTypes[Movement],0)),"?")="No",$H441&lt;&gt;""),"Leave Courier blank",IF(AND(IFERROR(INDEX(tblMoveTypes[Orders?],MATCH($E441,tblMoveTypes[Movement],0)),"?")="Yes",$G441=""),"Orders needed",IF(AND(IFERROR(INDEX(tblMoveTypes[Orders?],MATCH($E441,tblMoveTypes[Movement],0)),"?")="No",$G441&lt;&gt;""),"Leave Orders blank",IF(AND(IFERROR(INDEX(tblMoveTypes[Reason?],MATCH($E441,tblMoveTypes[Movement],0)),"?")="Yes",$I441=""),"Reason needed",IF(AND(IFERROR(INDEX(tblMoveTypes[Qty?],MATCH($E441,tblMoveTypes[Movement],0)),"?")="Yes",N($F441)&lt;=0),"Qty needed",IF($A441&lt;_xlfn.MINIFS(tblShipment[Arrival Date],tblShipment[Shipment ID],$C441),"Date before arrival",IF(AND($D441&lt;&gt;"",COUNTIFS(tblShipment[Shipment ID],$C441,tblShipment[Item Code],$D441)=0),"Item not in this shipment",IF(AND($H441&lt;&gt;"",COUNTIFS(tblCouriers[Courier],$H441,tblCouriers[Market],$B441)=0),"Courier not in this market","OK")))))))))))))))</f>
        <v>OK</v>
      </c>
    </row>
    <row r="442" customFormat="false" ht="15" hidden="false" customHeight="false" outlineLevel="0" collapsed="false">
      <c r="A442" s="27" t="n">
        <v>46236</v>
      </c>
      <c r="B442" s="26" t="s">
        <v>85</v>
      </c>
      <c r="C442" s="26" t="s">
        <v>143</v>
      </c>
      <c r="D442" s="26" t="s">
        <v>94</v>
      </c>
      <c r="E442" s="26" t="s">
        <v>93</v>
      </c>
      <c r="F442" s="28" t="n">
        <v>16</v>
      </c>
      <c r="G442" s="28"/>
      <c r="H442" s="26" t="s">
        <v>96</v>
      </c>
      <c r="I442" s="26"/>
      <c r="J442" s="26"/>
      <c r="K442" s="29" t="str">
        <f aca="false">IF($A442="","",IF(COUNTIFS(tblMoveTypes[Movement],$E442)=0,"Unknown movement type",IF(COUNTIF(tblShipment[Shipment ID],$C442)=0,"Unknown shipment",IF(COUNTIFS(tblShipment[Shipment ID],$C442,tblShipment[Market],$B442)=0,"Market does not match shipment",IF(AND(IFERROR(INDEX(tblMoveTypes[Item?],MATCH($E442,tblMoveTypes[Movement],0)),"?")="Yes",$D442=""),"Item needed",IF(AND(IFERROR(INDEX(tblMoveTypes[Item?],MATCH($E442,tblMoveTypes[Movement],0)),"?")="No",$D442&lt;&gt;""),"Leave Item blank",IF(AND(IFERROR(INDEX(tblMoveTypes[Courier?],MATCH($E442,tblMoveTypes[Movement],0)),"?")="Yes",$H442=""),"Courier needed",IF(AND(IFERROR(INDEX(tblMoveTypes[Courier?],MATCH($E442,tblMoveTypes[Movement],0)),"?")="No",$H442&lt;&gt;""),"Leave Courier blank",IF(AND(IFERROR(INDEX(tblMoveTypes[Orders?],MATCH($E442,tblMoveTypes[Movement],0)),"?")="Yes",$G442=""),"Orders needed",IF(AND(IFERROR(INDEX(tblMoveTypes[Orders?],MATCH($E442,tblMoveTypes[Movement],0)),"?")="No",$G442&lt;&gt;""),"Leave Orders blank",IF(AND(IFERROR(INDEX(tblMoveTypes[Reason?],MATCH($E442,tblMoveTypes[Movement],0)),"?")="Yes",$I442=""),"Reason needed",IF(AND(IFERROR(INDEX(tblMoveTypes[Qty?],MATCH($E442,tblMoveTypes[Movement],0)),"?")="Yes",N($F442)&lt;=0),"Qty needed",IF($A442&lt;_xlfn.MINIFS(tblShipment[Arrival Date],tblShipment[Shipment ID],$C442),"Date before arrival",IF(AND($D442&lt;&gt;"",COUNTIFS(tblShipment[Shipment ID],$C442,tblShipment[Item Code],$D442)=0),"Item not in this shipment",IF(AND($H442&lt;&gt;"",COUNTIFS(tblCouriers[Courier],$H442,tblCouriers[Market],$B442)=0),"Courier not in this market","OK")))))))))))))))</f>
        <v>OK</v>
      </c>
    </row>
    <row r="443" customFormat="false" ht="15" hidden="false" customHeight="false" outlineLevel="0" collapsed="false">
      <c r="A443" s="27" t="n">
        <v>46236</v>
      </c>
      <c r="B443" s="26" t="s">
        <v>85</v>
      </c>
      <c r="C443" s="26" t="s">
        <v>143</v>
      </c>
      <c r="D443" s="26"/>
      <c r="E443" s="26" t="s">
        <v>104</v>
      </c>
      <c r="F443" s="28"/>
      <c r="G443" s="28" t="n">
        <v>22</v>
      </c>
      <c r="H443" s="26" t="s">
        <v>91</v>
      </c>
      <c r="I443" s="26"/>
      <c r="J443" s="26"/>
      <c r="K443" s="29" t="str">
        <f aca="false">IF($A443="","",IF(COUNTIFS(tblMoveTypes[Movement],$E443)=0,"Unknown movement type",IF(COUNTIF(tblShipment[Shipment ID],$C443)=0,"Unknown shipment",IF(COUNTIFS(tblShipment[Shipment ID],$C443,tblShipment[Market],$B443)=0,"Market does not match shipment",IF(AND(IFERROR(INDEX(tblMoveTypes[Item?],MATCH($E443,tblMoveTypes[Movement],0)),"?")="Yes",$D443=""),"Item needed",IF(AND(IFERROR(INDEX(tblMoveTypes[Item?],MATCH($E443,tblMoveTypes[Movement],0)),"?")="No",$D443&lt;&gt;""),"Leave Item blank",IF(AND(IFERROR(INDEX(tblMoveTypes[Courier?],MATCH($E443,tblMoveTypes[Movement],0)),"?")="Yes",$H443=""),"Courier needed",IF(AND(IFERROR(INDEX(tblMoveTypes[Courier?],MATCH($E443,tblMoveTypes[Movement],0)),"?")="No",$H443&lt;&gt;""),"Leave Courier blank",IF(AND(IFERROR(INDEX(tblMoveTypes[Orders?],MATCH($E443,tblMoveTypes[Movement],0)),"?")="Yes",$G443=""),"Orders needed",IF(AND(IFERROR(INDEX(tblMoveTypes[Orders?],MATCH($E443,tblMoveTypes[Movement],0)),"?")="No",$G443&lt;&gt;""),"Leave Orders blank",IF(AND(IFERROR(INDEX(tblMoveTypes[Reason?],MATCH($E443,tblMoveTypes[Movement],0)),"?")="Yes",$I443=""),"Reason needed",IF(AND(IFERROR(INDEX(tblMoveTypes[Qty?],MATCH($E443,tblMoveTypes[Movement],0)),"?")="Yes",N($F443)&lt;=0),"Qty needed",IF($A443&lt;_xlfn.MINIFS(tblShipment[Arrival Date],tblShipment[Shipment ID],$C443),"Date before arrival",IF(AND($D443&lt;&gt;"",COUNTIFS(tblShipment[Shipment ID],$C443,tblShipment[Item Code],$D443)=0),"Item not in this shipment",IF(AND($H443&lt;&gt;"",COUNTIFS(tblCouriers[Courier],$H443,tblCouriers[Market],$B443)=0),"Courier not in this market","OK")))))))))))))))</f>
        <v>OK</v>
      </c>
    </row>
    <row r="444" customFormat="false" ht="15" hidden="false" customHeight="false" outlineLevel="0" collapsed="false">
      <c r="A444" s="27" t="n">
        <v>46236</v>
      </c>
      <c r="B444" s="26" t="s">
        <v>85</v>
      </c>
      <c r="C444" s="26" t="s">
        <v>143</v>
      </c>
      <c r="D444" s="26"/>
      <c r="E444" s="26" t="s">
        <v>104</v>
      </c>
      <c r="F444" s="28"/>
      <c r="G444" s="28" t="n">
        <v>14</v>
      </c>
      <c r="H444" s="26" t="s">
        <v>96</v>
      </c>
      <c r="I444" s="26"/>
      <c r="J444" s="26"/>
      <c r="K444" s="29" t="str">
        <f aca="false">IF($A444="","",IF(COUNTIFS(tblMoveTypes[Movement],$E444)=0,"Unknown movement type",IF(COUNTIF(tblShipment[Shipment ID],$C444)=0,"Unknown shipment",IF(COUNTIFS(tblShipment[Shipment ID],$C444,tblShipment[Market],$B444)=0,"Market does not match shipment",IF(AND(IFERROR(INDEX(tblMoveTypes[Item?],MATCH($E444,tblMoveTypes[Movement],0)),"?")="Yes",$D444=""),"Item needed",IF(AND(IFERROR(INDEX(tblMoveTypes[Item?],MATCH($E444,tblMoveTypes[Movement],0)),"?")="No",$D444&lt;&gt;""),"Leave Item blank",IF(AND(IFERROR(INDEX(tblMoveTypes[Courier?],MATCH($E444,tblMoveTypes[Movement],0)),"?")="Yes",$H444=""),"Courier needed",IF(AND(IFERROR(INDEX(tblMoveTypes[Courier?],MATCH($E444,tblMoveTypes[Movement],0)),"?")="No",$H444&lt;&gt;""),"Leave Courier blank",IF(AND(IFERROR(INDEX(tblMoveTypes[Orders?],MATCH($E444,tblMoveTypes[Movement],0)),"?")="Yes",$G444=""),"Orders needed",IF(AND(IFERROR(INDEX(tblMoveTypes[Orders?],MATCH($E444,tblMoveTypes[Movement],0)),"?")="No",$G444&lt;&gt;""),"Leave Orders blank",IF(AND(IFERROR(INDEX(tblMoveTypes[Reason?],MATCH($E444,tblMoveTypes[Movement],0)),"?")="Yes",$I444=""),"Reason needed",IF(AND(IFERROR(INDEX(tblMoveTypes[Qty?],MATCH($E444,tblMoveTypes[Movement],0)),"?")="Yes",N($F444)&lt;=0),"Qty needed",IF($A444&lt;_xlfn.MINIFS(tblShipment[Arrival Date],tblShipment[Shipment ID],$C444),"Date before arrival",IF(AND($D444&lt;&gt;"",COUNTIFS(tblShipment[Shipment ID],$C444,tblShipment[Item Code],$D444)=0),"Item not in this shipment",IF(AND($H444&lt;&gt;"",COUNTIFS(tblCouriers[Courier],$H444,tblCouriers[Market],$B444)=0),"Courier not in this market","OK")))))))))))))))</f>
        <v>OK</v>
      </c>
    </row>
    <row r="445" customFormat="false" ht="15" hidden="false" customHeight="false" outlineLevel="0" collapsed="false">
      <c r="A445" s="27" t="n">
        <v>46236</v>
      </c>
      <c r="B445" s="26" t="s">
        <v>90</v>
      </c>
      <c r="C445" s="26" t="s">
        <v>149</v>
      </c>
      <c r="D445" s="26"/>
      <c r="E445" s="26" t="s">
        <v>106</v>
      </c>
      <c r="F445" s="28" t="n">
        <v>52</v>
      </c>
      <c r="G445" s="28" t="n">
        <v>8</v>
      </c>
      <c r="H445" s="26" t="s">
        <v>101</v>
      </c>
      <c r="I445" s="26"/>
      <c r="J445" s="26"/>
      <c r="K445" s="29" t="str">
        <f aca="false">IF($A445="","",IF(COUNTIFS(tblMoveTypes[Movement],$E445)=0,"Unknown movement type",IF(COUNTIF(tblShipment[Shipment ID],$C445)=0,"Unknown shipment",IF(COUNTIFS(tblShipment[Shipment ID],$C445,tblShipment[Market],$B445)=0,"Market does not match shipment",IF(AND(IFERROR(INDEX(tblMoveTypes[Item?],MATCH($E445,tblMoveTypes[Movement],0)),"?")="Yes",$D445=""),"Item needed",IF(AND(IFERROR(INDEX(tblMoveTypes[Item?],MATCH($E445,tblMoveTypes[Movement],0)),"?")="No",$D445&lt;&gt;""),"Leave Item blank",IF(AND(IFERROR(INDEX(tblMoveTypes[Courier?],MATCH($E445,tblMoveTypes[Movement],0)),"?")="Yes",$H445=""),"Courier needed",IF(AND(IFERROR(INDEX(tblMoveTypes[Courier?],MATCH($E445,tblMoveTypes[Movement],0)),"?")="No",$H445&lt;&gt;""),"Leave Courier blank",IF(AND(IFERROR(INDEX(tblMoveTypes[Orders?],MATCH($E445,tblMoveTypes[Movement],0)),"?")="Yes",$G445=""),"Orders needed",IF(AND(IFERROR(INDEX(tblMoveTypes[Orders?],MATCH($E445,tblMoveTypes[Movement],0)),"?")="No",$G445&lt;&gt;""),"Leave Orders blank",IF(AND(IFERROR(INDEX(tblMoveTypes[Reason?],MATCH($E445,tblMoveTypes[Movement],0)),"?")="Yes",$I445=""),"Reason needed",IF(AND(IFERROR(INDEX(tblMoveTypes[Qty?],MATCH($E445,tblMoveTypes[Movement],0)),"?")="Yes",N($F445)&lt;=0),"Qty needed",IF($A445&lt;_xlfn.MINIFS(tblShipment[Arrival Date],tblShipment[Shipment ID],$C445),"Date before arrival",IF(AND($D445&lt;&gt;"",COUNTIFS(tblShipment[Shipment ID],$C445,tblShipment[Item Code],$D445)=0),"Item not in this shipment",IF(AND($H445&lt;&gt;"",COUNTIFS(tblCouriers[Courier],$H445,tblCouriers[Market],$B445)=0),"Courier not in this market","OK")))))))))))))))</f>
        <v>OK</v>
      </c>
    </row>
    <row r="446" customFormat="false" ht="15" hidden="false" customHeight="false" outlineLevel="0" collapsed="false">
      <c r="A446" s="27" t="n">
        <v>46236</v>
      </c>
      <c r="B446" s="26" t="s">
        <v>90</v>
      </c>
      <c r="C446" s="26" t="s">
        <v>149</v>
      </c>
      <c r="D446" s="26"/>
      <c r="E446" s="26" t="s">
        <v>108</v>
      </c>
      <c r="F446" s="28" t="n">
        <v>11</v>
      </c>
      <c r="G446" s="28" t="n">
        <v>1</v>
      </c>
      <c r="H446" s="26" t="s">
        <v>101</v>
      </c>
      <c r="I446" s="26" t="s">
        <v>105</v>
      </c>
      <c r="J446" s="26"/>
      <c r="K446" s="29" t="str">
        <f aca="false">IF($A446="","",IF(COUNTIFS(tblMoveTypes[Movement],$E446)=0,"Unknown movement type",IF(COUNTIF(tblShipment[Shipment ID],$C446)=0,"Unknown shipment",IF(COUNTIFS(tblShipment[Shipment ID],$C446,tblShipment[Market],$B446)=0,"Market does not match shipment",IF(AND(IFERROR(INDEX(tblMoveTypes[Item?],MATCH($E446,tblMoveTypes[Movement],0)),"?")="Yes",$D446=""),"Item needed",IF(AND(IFERROR(INDEX(tblMoveTypes[Item?],MATCH($E446,tblMoveTypes[Movement],0)),"?")="No",$D446&lt;&gt;""),"Leave Item blank",IF(AND(IFERROR(INDEX(tblMoveTypes[Courier?],MATCH($E446,tblMoveTypes[Movement],0)),"?")="Yes",$H446=""),"Courier needed",IF(AND(IFERROR(INDEX(tblMoveTypes[Courier?],MATCH($E446,tblMoveTypes[Movement],0)),"?")="No",$H446&lt;&gt;""),"Leave Courier blank",IF(AND(IFERROR(INDEX(tblMoveTypes[Orders?],MATCH($E446,tblMoveTypes[Movement],0)),"?")="Yes",$G446=""),"Orders needed",IF(AND(IFERROR(INDEX(tblMoveTypes[Orders?],MATCH($E446,tblMoveTypes[Movement],0)),"?")="No",$G446&lt;&gt;""),"Leave Orders blank",IF(AND(IFERROR(INDEX(tblMoveTypes[Reason?],MATCH($E446,tblMoveTypes[Movement],0)),"?")="Yes",$I446=""),"Reason needed",IF(AND(IFERROR(INDEX(tblMoveTypes[Qty?],MATCH($E446,tblMoveTypes[Movement],0)),"?")="Yes",N($F446)&lt;=0),"Qty needed",IF($A446&lt;_xlfn.MINIFS(tblShipment[Arrival Date],tblShipment[Shipment ID],$C446),"Date before arrival",IF(AND($D446&lt;&gt;"",COUNTIFS(tblShipment[Shipment ID],$C446,tblShipment[Item Code],$D446)=0),"Item not in this shipment",IF(AND($H446&lt;&gt;"",COUNTIFS(tblCouriers[Courier],$H446,tblCouriers[Market],$B446)=0),"Courier not in this market","OK")))))))))))))))</f>
        <v>OK</v>
      </c>
    </row>
    <row r="447" customFormat="false" ht="15" hidden="false" customHeight="false" outlineLevel="0" collapsed="false">
      <c r="A447" s="27" t="n">
        <v>46236</v>
      </c>
      <c r="B447" s="26" t="s">
        <v>90</v>
      </c>
      <c r="C447" s="26" t="s">
        <v>149</v>
      </c>
      <c r="D447" s="26" t="s">
        <v>67</v>
      </c>
      <c r="E447" s="26" t="s">
        <v>110</v>
      </c>
      <c r="F447" s="28" t="n">
        <v>8</v>
      </c>
      <c r="G447" s="28"/>
      <c r="H447" s="26"/>
      <c r="I447" s="26"/>
      <c r="J447" s="26"/>
      <c r="K447" s="29" t="str">
        <f aca="false">IF($A447="","",IF(COUNTIFS(tblMoveTypes[Movement],$E447)=0,"Unknown movement type",IF(COUNTIF(tblShipment[Shipment ID],$C447)=0,"Unknown shipment",IF(COUNTIFS(tblShipment[Shipment ID],$C447,tblShipment[Market],$B447)=0,"Market does not match shipment",IF(AND(IFERROR(INDEX(tblMoveTypes[Item?],MATCH($E447,tblMoveTypes[Movement],0)),"?")="Yes",$D447=""),"Item needed",IF(AND(IFERROR(INDEX(tblMoveTypes[Item?],MATCH($E447,tblMoveTypes[Movement],0)),"?")="No",$D447&lt;&gt;""),"Leave Item blank",IF(AND(IFERROR(INDEX(tblMoveTypes[Courier?],MATCH($E447,tblMoveTypes[Movement],0)),"?")="Yes",$H447=""),"Courier needed",IF(AND(IFERROR(INDEX(tblMoveTypes[Courier?],MATCH($E447,tblMoveTypes[Movement],0)),"?")="No",$H447&lt;&gt;""),"Leave Courier blank",IF(AND(IFERROR(INDEX(tblMoveTypes[Orders?],MATCH($E447,tblMoveTypes[Movement],0)),"?")="Yes",$G447=""),"Orders needed",IF(AND(IFERROR(INDEX(tblMoveTypes[Orders?],MATCH($E447,tblMoveTypes[Movement],0)),"?")="No",$G447&lt;&gt;""),"Leave Orders blank",IF(AND(IFERROR(INDEX(tblMoveTypes[Reason?],MATCH($E447,tblMoveTypes[Movement],0)),"?")="Yes",$I447=""),"Reason needed",IF(AND(IFERROR(INDEX(tblMoveTypes[Qty?],MATCH($E447,tblMoveTypes[Movement],0)),"?")="Yes",N($F447)&lt;=0),"Qty needed",IF($A447&lt;_xlfn.MINIFS(tblShipment[Arrival Date],tblShipment[Shipment ID],$C447),"Date before arrival",IF(AND($D447&lt;&gt;"",COUNTIFS(tblShipment[Shipment ID],$C447,tblShipment[Item Code],$D447)=0),"Item not in this shipment",IF(AND($H447&lt;&gt;"",COUNTIFS(tblCouriers[Courier],$H447,tblCouriers[Market],$B447)=0),"Courier not in this market","OK")))))))))))))))</f>
        <v>OK</v>
      </c>
    </row>
    <row r="448" customFormat="false" ht="15" hidden="false" customHeight="false" outlineLevel="0" collapsed="false">
      <c r="A448" s="27" t="n">
        <v>46236</v>
      </c>
      <c r="B448" s="26" t="s">
        <v>90</v>
      </c>
      <c r="C448" s="26" t="s">
        <v>149</v>
      </c>
      <c r="D448" s="26" t="s">
        <v>67</v>
      </c>
      <c r="E448" s="26" t="s">
        <v>112</v>
      </c>
      <c r="F448" s="28" t="n">
        <v>3</v>
      </c>
      <c r="G448" s="28"/>
      <c r="H448" s="26"/>
      <c r="I448" s="26" t="s">
        <v>72</v>
      </c>
      <c r="J448" s="26"/>
      <c r="K448" s="29" t="str">
        <f aca="false">IF($A448="","",IF(COUNTIFS(tblMoveTypes[Movement],$E448)=0,"Unknown movement type",IF(COUNTIF(tblShipment[Shipment ID],$C448)=0,"Unknown shipment",IF(COUNTIFS(tblShipment[Shipment ID],$C448,tblShipment[Market],$B448)=0,"Market does not match shipment",IF(AND(IFERROR(INDEX(tblMoveTypes[Item?],MATCH($E448,tblMoveTypes[Movement],0)),"?")="Yes",$D448=""),"Item needed",IF(AND(IFERROR(INDEX(tblMoveTypes[Item?],MATCH($E448,tblMoveTypes[Movement],0)),"?")="No",$D448&lt;&gt;""),"Leave Item blank",IF(AND(IFERROR(INDEX(tblMoveTypes[Courier?],MATCH($E448,tblMoveTypes[Movement],0)),"?")="Yes",$H448=""),"Courier needed",IF(AND(IFERROR(INDEX(tblMoveTypes[Courier?],MATCH($E448,tblMoveTypes[Movement],0)),"?")="No",$H448&lt;&gt;""),"Leave Courier blank",IF(AND(IFERROR(INDEX(tblMoveTypes[Orders?],MATCH($E448,tblMoveTypes[Movement],0)),"?")="Yes",$G448=""),"Orders needed",IF(AND(IFERROR(INDEX(tblMoveTypes[Orders?],MATCH($E448,tblMoveTypes[Movement],0)),"?")="No",$G448&lt;&gt;""),"Leave Orders blank",IF(AND(IFERROR(INDEX(tblMoveTypes[Reason?],MATCH($E448,tblMoveTypes[Movement],0)),"?")="Yes",$I448=""),"Reason needed",IF(AND(IFERROR(INDEX(tblMoveTypes[Qty?],MATCH($E448,tblMoveTypes[Movement],0)),"?")="Yes",N($F448)&lt;=0),"Qty needed",IF($A448&lt;_xlfn.MINIFS(tblShipment[Arrival Date],tblShipment[Shipment ID],$C448),"Date before arrival",IF(AND($D448&lt;&gt;"",COUNTIFS(tblShipment[Shipment ID],$C448,tblShipment[Item Code],$D448)=0),"Item not in this shipment",IF(AND($H448&lt;&gt;"",COUNTIFS(tblCouriers[Courier],$H448,tblCouriers[Market],$B448)=0),"Courier not in this market","OK")))))))))))))))</f>
        <v>OK</v>
      </c>
    </row>
    <row r="449" customFormat="false" ht="15" hidden="false" customHeight="false" outlineLevel="0" collapsed="false">
      <c r="A449" s="27" t="n">
        <v>46236</v>
      </c>
      <c r="B449" s="26" t="s">
        <v>78</v>
      </c>
      <c r="C449" s="26" t="s">
        <v>134</v>
      </c>
      <c r="D449" s="26"/>
      <c r="E449" s="26" t="s">
        <v>106</v>
      </c>
      <c r="F449" s="28" t="n">
        <v>69</v>
      </c>
      <c r="G449" s="28" t="n">
        <v>11</v>
      </c>
      <c r="H449" s="26" t="s">
        <v>86</v>
      </c>
      <c r="I449" s="26"/>
      <c r="J449" s="26"/>
      <c r="K449" s="29" t="str">
        <f aca="false">IF($A449="","",IF(COUNTIFS(tblMoveTypes[Movement],$E449)=0,"Unknown movement type",IF(COUNTIF(tblShipment[Shipment ID],$C449)=0,"Unknown shipment",IF(COUNTIFS(tblShipment[Shipment ID],$C449,tblShipment[Market],$B449)=0,"Market does not match shipment",IF(AND(IFERROR(INDEX(tblMoveTypes[Item?],MATCH($E449,tblMoveTypes[Movement],0)),"?")="Yes",$D449=""),"Item needed",IF(AND(IFERROR(INDEX(tblMoveTypes[Item?],MATCH($E449,tblMoveTypes[Movement],0)),"?")="No",$D449&lt;&gt;""),"Leave Item blank",IF(AND(IFERROR(INDEX(tblMoveTypes[Courier?],MATCH($E449,tblMoveTypes[Movement],0)),"?")="Yes",$H449=""),"Courier needed",IF(AND(IFERROR(INDEX(tblMoveTypes[Courier?],MATCH($E449,tblMoveTypes[Movement],0)),"?")="No",$H449&lt;&gt;""),"Leave Courier blank",IF(AND(IFERROR(INDEX(tblMoveTypes[Orders?],MATCH($E449,tblMoveTypes[Movement],0)),"?")="Yes",$G449=""),"Orders needed",IF(AND(IFERROR(INDEX(tblMoveTypes[Orders?],MATCH($E449,tblMoveTypes[Movement],0)),"?")="No",$G449&lt;&gt;""),"Leave Orders blank",IF(AND(IFERROR(INDEX(tblMoveTypes[Reason?],MATCH($E449,tblMoveTypes[Movement],0)),"?")="Yes",$I449=""),"Reason needed",IF(AND(IFERROR(INDEX(tblMoveTypes[Qty?],MATCH($E449,tblMoveTypes[Movement],0)),"?")="Yes",N($F449)&lt;=0),"Qty needed",IF($A449&lt;_xlfn.MINIFS(tblShipment[Arrival Date],tblShipment[Shipment ID],$C449),"Date before arrival",IF(AND($D449&lt;&gt;"",COUNTIFS(tblShipment[Shipment ID],$C449,tblShipment[Item Code],$D449)=0),"Item not in this shipment",IF(AND($H449&lt;&gt;"",COUNTIFS(tblCouriers[Courier],$H449,tblCouriers[Market],$B449)=0),"Courier not in this market","OK")))))))))))))))</f>
        <v>OK</v>
      </c>
    </row>
    <row r="450" customFormat="false" ht="15" hidden="false" customHeight="false" outlineLevel="0" collapsed="false">
      <c r="A450" s="27" t="n">
        <v>46236</v>
      </c>
      <c r="B450" s="26" t="s">
        <v>78</v>
      </c>
      <c r="C450" s="26" t="s">
        <v>134</v>
      </c>
      <c r="D450" s="26" t="s">
        <v>83</v>
      </c>
      <c r="E450" s="26" t="s">
        <v>93</v>
      </c>
      <c r="F450" s="28" t="n">
        <v>7</v>
      </c>
      <c r="G450" s="28"/>
      <c r="H450" s="26" t="s">
        <v>79</v>
      </c>
      <c r="I450" s="26"/>
      <c r="J450" s="26"/>
      <c r="K450" s="29" t="str">
        <f aca="false">IF($A450="","",IF(COUNTIFS(tblMoveTypes[Movement],$E450)=0,"Unknown movement type",IF(COUNTIF(tblShipment[Shipment ID],$C450)=0,"Unknown shipment",IF(COUNTIFS(tblShipment[Shipment ID],$C450,tblShipment[Market],$B450)=0,"Market does not match shipment",IF(AND(IFERROR(INDEX(tblMoveTypes[Item?],MATCH($E450,tblMoveTypes[Movement],0)),"?")="Yes",$D450=""),"Item needed",IF(AND(IFERROR(INDEX(tblMoveTypes[Item?],MATCH($E450,tblMoveTypes[Movement],0)),"?")="No",$D450&lt;&gt;""),"Leave Item blank",IF(AND(IFERROR(INDEX(tblMoveTypes[Courier?],MATCH($E450,tblMoveTypes[Movement],0)),"?")="Yes",$H450=""),"Courier needed",IF(AND(IFERROR(INDEX(tblMoveTypes[Courier?],MATCH($E450,tblMoveTypes[Movement],0)),"?")="No",$H450&lt;&gt;""),"Leave Courier blank",IF(AND(IFERROR(INDEX(tblMoveTypes[Orders?],MATCH($E450,tblMoveTypes[Movement],0)),"?")="Yes",$G450=""),"Orders needed",IF(AND(IFERROR(INDEX(tblMoveTypes[Orders?],MATCH($E450,tblMoveTypes[Movement],0)),"?")="No",$G450&lt;&gt;""),"Leave Orders blank",IF(AND(IFERROR(INDEX(tblMoveTypes[Reason?],MATCH($E450,tblMoveTypes[Movement],0)),"?")="Yes",$I450=""),"Reason needed",IF(AND(IFERROR(INDEX(tblMoveTypes[Qty?],MATCH($E450,tblMoveTypes[Movement],0)),"?")="Yes",N($F450)&lt;=0),"Qty needed",IF($A450&lt;_xlfn.MINIFS(tblShipment[Arrival Date],tblShipment[Shipment ID],$C450),"Date before arrival",IF(AND($D450&lt;&gt;"",COUNTIFS(tblShipment[Shipment ID],$C450,tblShipment[Item Code],$D450)=0),"Item not in this shipment",IF(AND($H450&lt;&gt;"",COUNTIFS(tblCouriers[Courier],$H450,tblCouriers[Market],$B450)=0),"Courier not in this market","OK")))))))))))))))</f>
        <v>OK</v>
      </c>
    </row>
    <row r="451" customFormat="false" ht="15" hidden="false" customHeight="false" outlineLevel="0" collapsed="false">
      <c r="A451" s="27" t="n">
        <v>46236</v>
      </c>
      <c r="B451" s="26" t="s">
        <v>78</v>
      </c>
      <c r="C451" s="26" t="s">
        <v>134</v>
      </c>
      <c r="D451" s="26"/>
      <c r="E451" s="26" t="s">
        <v>104</v>
      </c>
      <c r="F451" s="28"/>
      <c r="G451" s="28" t="n">
        <v>1</v>
      </c>
      <c r="H451" s="26" t="s">
        <v>79</v>
      </c>
      <c r="I451" s="26"/>
      <c r="J451" s="26"/>
      <c r="K451" s="29" t="str">
        <f aca="false">IF($A451="","",IF(COUNTIFS(tblMoveTypes[Movement],$E451)=0,"Unknown movement type",IF(COUNTIF(tblShipment[Shipment ID],$C451)=0,"Unknown shipment",IF(COUNTIFS(tblShipment[Shipment ID],$C451,tblShipment[Market],$B451)=0,"Market does not match shipment",IF(AND(IFERROR(INDEX(tblMoveTypes[Item?],MATCH($E451,tblMoveTypes[Movement],0)),"?")="Yes",$D451=""),"Item needed",IF(AND(IFERROR(INDEX(tblMoveTypes[Item?],MATCH($E451,tblMoveTypes[Movement],0)),"?")="No",$D451&lt;&gt;""),"Leave Item blank",IF(AND(IFERROR(INDEX(tblMoveTypes[Courier?],MATCH($E451,tblMoveTypes[Movement],0)),"?")="Yes",$H451=""),"Courier needed",IF(AND(IFERROR(INDEX(tblMoveTypes[Courier?],MATCH($E451,tblMoveTypes[Movement],0)),"?")="No",$H451&lt;&gt;""),"Leave Courier blank",IF(AND(IFERROR(INDEX(tblMoveTypes[Orders?],MATCH($E451,tblMoveTypes[Movement],0)),"?")="Yes",$G451=""),"Orders needed",IF(AND(IFERROR(INDEX(tblMoveTypes[Orders?],MATCH($E451,tblMoveTypes[Movement],0)),"?")="No",$G451&lt;&gt;""),"Leave Orders blank",IF(AND(IFERROR(INDEX(tblMoveTypes[Reason?],MATCH($E451,tblMoveTypes[Movement],0)),"?")="Yes",$I451=""),"Reason needed",IF(AND(IFERROR(INDEX(tblMoveTypes[Qty?],MATCH($E451,tblMoveTypes[Movement],0)),"?")="Yes",N($F451)&lt;=0),"Qty needed",IF($A451&lt;_xlfn.MINIFS(tblShipment[Arrival Date],tblShipment[Shipment ID],$C451),"Date before arrival",IF(AND($D451&lt;&gt;"",COUNTIFS(tblShipment[Shipment ID],$C451,tblShipment[Item Code],$D451)=0),"Item not in this shipment",IF(AND($H451&lt;&gt;"",COUNTIFS(tblCouriers[Courier],$H451,tblCouriers[Market],$B451)=0),"Courier not in this market","OK")))))))))))))))</f>
        <v>OK</v>
      </c>
    </row>
    <row r="452" customFormat="false" ht="15" hidden="false" customHeight="false" outlineLevel="0" collapsed="false">
      <c r="A452" s="27" t="n">
        <v>46236</v>
      </c>
      <c r="B452" s="26" t="s">
        <v>78</v>
      </c>
      <c r="C452" s="26" t="s">
        <v>135</v>
      </c>
      <c r="D452" s="26" t="s">
        <v>76</v>
      </c>
      <c r="E452" s="26" t="s">
        <v>74</v>
      </c>
      <c r="F452" s="28" t="n">
        <v>40</v>
      </c>
      <c r="G452" s="28"/>
      <c r="H452" s="26"/>
      <c r="I452" s="26"/>
      <c r="J452" s="26"/>
      <c r="K452" s="29" t="str">
        <f aca="false">IF($A452="","",IF(COUNTIFS(tblMoveTypes[Movement],$E452)=0,"Unknown movement type",IF(COUNTIF(tblShipment[Shipment ID],$C452)=0,"Unknown shipment",IF(COUNTIFS(tblShipment[Shipment ID],$C452,tblShipment[Market],$B452)=0,"Market does not match shipment",IF(AND(IFERROR(INDEX(tblMoveTypes[Item?],MATCH($E452,tblMoveTypes[Movement],0)),"?")="Yes",$D452=""),"Item needed",IF(AND(IFERROR(INDEX(tblMoveTypes[Item?],MATCH($E452,tblMoveTypes[Movement],0)),"?")="No",$D452&lt;&gt;""),"Leave Item blank",IF(AND(IFERROR(INDEX(tblMoveTypes[Courier?],MATCH($E452,tblMoveTypes[Movement],0)),"?")="Yes",$H452=""),"Courier needed",IF(AND(IFERROR(INDEX(tblMoveTypes[Courier?],MATCH($E452,tblMoveTypes[Movement],0)),"?")="No",$H452&lt;&gt;""),"Leave Courier blank",IF(AND(IFERROR(INDEX(tblMoveTypes[Orders?],MATCH($E452,tblMoveTypes[Movement],0)),"?")="Yes",$G452=""),"Orders needed",IF(AND(IFERROR(INDEX(tblMoveTypes[Orders?],MATCH($E452,tblMoveTypes[Movement],0)),"?")="No",$G452&lt;&gt;""),"Leave Orders blank",IF(AND(IFERROR(INDEX(tblMoveTypes[Reason?],MATCH($E452,tblMoveTypes[Movement],0)),"?")="Yes",$I452=""),"Reason needed",IF(AND(IFERROR(INDEX(tblMoveTypes[Qty?],MATCH($E452,tblMoveTypes[Movement],0)),"?")="Yes",N($F452)&lt;=0),"Qty needed",IF($A452&lt;_xlfn.MINIFS(tblShipment[Arrival Date],tblShipment[Shipment ID],$C452),"Date before arrival",IF(AND($D452&lt;&gt;"",COUNTIFS(tblShipment[Shipment ID],$C452,tblShipment[Item Code],$D452)=0),"Item not in this shipment",IF(AND($H452&lt;&gt;"",COUNTIFS(tblCouriers[Courier],$H452,tblCouriers[Market],$B452)=0),"Courier not in this market","OK")))))))))))))))</f>
        <v>OK</v>
      </c>
    </row>
    <row r="453" customFormat="false" ht="15" hidden="false" customHeight="false" outlineLevel="0" collapsed="false">
      <c r="A453" s="27" t="n">
        <v>46236</v>
      </c>
      <c r="B453" s="26" t="s">
        <v>78</v>
      </c>
      <c r="C453" s="26" t="s">
        <v>135</v>
      </c>
      <c r="D453" s="26" t="s">
        <v>67</v>
      </c>
      <c r="E453" s="26" t="s">
        <v>74</v>
      </c>
      <c r="F453" s="28" t="n">
        <v>60</v>
      </c>
      <c r="G453" s="28"/>
      <c r="H453" s="26"/>
      <c r="I453" s="26"/>
      <c r="J453" s="26"/>
      <c r="K453" s="29" t="str">
        <f aca="false">IF($A453="","",IF(COUNTIFS(tblMoveTypes[Movement],$E453)=0,"Unknown movement type",IF(COUNTIF(tblShipment[Shipment ID],$C453)=0,"Unknown shipment",IF(COUNTIFS(tblShipment[Shipment ID],$C453,tblShipment[Market],$B453)=0,"Market does not match shipment",IF(AND(IFERROR(INDEX(tblMoveTypes[Item?],MATCH($E453,tblMoveTypes[Movement],0)),"?")="Yes",$D453=""),"Item needed",IF(AND(IFERROR(INDEX(tblMoveTypes[Item?],MATCH($E453,tblMoveTypes[Movement],0)),"?")="No",$D453&lt;&gt;""),"Leave Item blank",IF(AND(IFERROR(INDEX(tblMoveTypes[Courier?],MATCH($E453,tblMoveTypes[Movement],0)),"?")="Yes",$H453=""),"Courier needed",IF(AND(IFERROR(INDEX(tblMoveTypes[Courier?],MATCH($E453,tblMoveTypes[Movement],0)),"?")="No",$H453&lt;&gt;""),"Leave Courier blank",IF(AND(IFERROR(INDEX(tblMoveTypes[Orders?],MATCH($E453,tblMoveTypes[Movement],0)),"?")="Yes",$G453=""),"Orders needed",IF(AND(IFERROR(INDEX(tblMoveTypes[Orders?],MATCH($E453,tblMoveTypes[Movement],0)),"?")="No",$G453&lt;&gt;""),"Leave Orders blank",IF(AND(IFERROR(INDEX(tblMoveTypes[Reason?],MATCH($E453,tblMoveTypes[Movement],0)),"?")="Yes",$I453=""),"Reason needed",IF(AND(IFERROR(INDEX(tblMoveTypes[Qty?],MATCH($E453,tblMoveTypes[Movement],0)),"?")="Yes",N($F453)&lt;=0),"Qty needed",IF($A453&lt;_xlfn.MINIFS(tblShipment[Arrival Date],tblShipment[Shipment ID],$C453),"Date before arrival",IF(AND($D453&lt;&gt;"",COUNTIFS(tblShipment[Shipment ID],$C453,tblShipment[Item Code],$D453)=0),"Item not in this shipment",IF(AND($H453&lt;&gt;"",COUNTIFS(tblCouriers[Courier],$H453,tblCouriers[Market],$B453)=0),"Courier not in this market","OK")))))))))))))))</f>
        <v>OK</v>
      </c>
    </row>
    <row r="454" customFormat="false" ht="15" hidden="false" customHeight="false" outlineLevel="0" collapsed="false">
      <c r="A454" s="27" t="n">
        <v>46236</v>
      </c>
      <c r="B454" s="26" t="s">
        <v>78</v>
      </c>
      <c r="C454" s="26" t="s">
        <v>135</v>
      </c>
      <c r="D454" s="26" t="s">
        <v>83</v>
      </c>
      <c r="E454" s="26" t="s">
        <v>81</v>
      </c>
      <c r="F454" s="28" t="n">
        <v>1</v>
      </c>
      <c r="G454" s="28"/>
      <c r="H454" s="26"/>
      <c r="I454" s="26"/>
      <c r="J454" s="26" t="s">
        <v>162</v>
      </c>
      <c r="K454" s="29" t="str">
        <f aca="false">IF($A454="","",IF(COUNTIFS(tblMoveTypes[Movement],$E454)=0,"Unknown movement type",IF(COUNTIF(tblShipment[Shipment ID],$C454)=0,"Unknown shipment",IF(COUNTIFS(tblShipment[Shipment ID],$C454,tblShipment[Market],$B454)=0,"Market does not match shipment",IF(AND(IFERROR(INDEX(tblMoveTypes[Item?],MATCH($E454,tblMoveTypes[Movement],0)),"?")="Yes",$D454=""),"Item needed",IF(AND(IFERROR(INDEX(tblMoveTypes[Item?],MATCH($E454,tblMoveTypes[Movement],0)),"?")="No",$D454&lt;&gt;""),"Leave Item blank",IF(AND(IFERROR(INDEX(tblMoveTypes[Courier?],MATCH($E454,tblMoveTypes[Movement],0)),"?")="Yes",$H454=""),"Courier needed",IF(AND(IFERROR(INDEX(tblMoveTypes[Courier?],MATCH($E454,tblMoveTypes[Movement],0)),"?")="No",$H454&lt;&gt;""),"Leave Courier blank",IF(AND(IFERROR(INDEX(tblMoveTypes[Orders?],MATCH($E454,tblMoveTypes[Movement],0)),"?")="Yes",$G454=""),"Orders needed",IF(AND(IFERROR(INDEX(tblMoveTypes[Orders?],MATCH($E454,tblMoveTypes[Movement],0)),"?")="No",$G454&lt;&gt;""),"Leave Orders blank",IF(AND(IFERROR(INDEX(tblMoveTypes[Reason?],MATCH($E454,tblMoveTypes[Movement],0)),"?")="Yes",$I454=""),"Reason needed",IF(AND(IFERROR(INDEX(tblMoveTypes[Qty?],MATCH($E454,tblMoveTypes[Movement],0)),"?")="Yes",N($F454)&lt;=0),"Qty needed",IF($A454&lt;_xlfn.MINIFS(tblShipment[Arrival Date],tblShipment[Shipment ID],$C454),"Date before arrival",IF(AND($D454&lt;&gt;"",COUNTIFS(tblShipment[Shipment ID],$C454,tblShipment[Item Code],$D454)=0),"Item not in this shipment",IF(AND($H454&lt;&gt;"",COUNTIFS(tblCouriers[Courier],$H454,tblCouriers[Market],$B454)=0),"Courier not in this market","OK")))))))))))))))</f>
        <v>OK</v>
      </c>
    </row>
    <row r="455" customFormat="false" ht="15" hidden="false" customHeight="false" outlineLevel="0" collapsed="false">
      <c r="A455" s="27" t="n">
        <v>46236</v>
      </c>
      <c r="B455" s="26" t="s">
        <v>78</v>
      </c>
      <c r="C455" s="26" t="s">
        <v>135</v>
      </c>
      <c r="D455" s="26" t="s">
        <v>83</v>
      </c>
      <c r="E455" s="26" t="s">
        <v>74</v>
      </c>
      <c r="F455" s="28" t="n">
        <v>99</v>
      </c>
      <c r="G455" s="28"/>
      <c r="H455" s="26"/>
      <c r="I455" s="26"/>
      <c r="J455" s="26"/>
      <c r="K455" s="29" t="str">
        <f aca="false">IF($A455="","",IF(COUNTIFS(tblMoveTypes[Movement],$E455)=0,"Unknown movement type",IF(COUNTIF(tblShipment[Shipment ID],$C455)=0,"Unknown shipment",IF(COUNTIFS(tblShipment[Shipment ID],$C455,tblShipment[Market],$B455)=0,"Market does not match shipment",IF(AND(IFERROR(INDEX(tblMoveTypes[Item?],MATCH($E455,tblMoveTypes[Movement],0)),"?")="Yes",$D455=""),"Item needed",IF(AND(IFERROR(INDEX(tblMoveTypes[Item?],MATCH($E455,tblMoveTypes[Movement],0)),"?")="No",$D455&lt;&gt;""),"Leave Item blank",IF(AND(IFERROR(INDEX(tblMoveTypes[Courier?],MATCH($E455,tblMoveTypes[Movement],0)),"?")="Yes",$H455=""),"Courier needed",IF(AND(IFERROR(INDEX(tblMoveTypes[Courier?],MATCH($E455,tblMoveTypes[Movement],0)),"?")="No",$H455&lt;&gt;""),"Leave Courier blank",IF(AND(IFERROR(INDEX(tblMoveTypes[Orders?],MATCH($E455,tblMoveTypes[Movement],0)),"?")="Yes",$G455=""),"Orders needed",IF(AND(IFERROR(INDEX(tblMoveTypes[Orders?],MATCH($E455,tblMoveTypes[Movement],0)),"?")="No",$G455&lt;&gt;""),"Leave Orders blank",IF(AND(IFERROR(INDEX(tblMoveTypes[Reason?],MATCH($E455,tblMoveTypes[Movement],0)),"?")="Yes",$I455=""),"Reason needed",IF(AND(IFERROR(INDEX(tblMoveTypes[Qty?],MATCH($E455,tblMoveTypes[Movement],0)),"?")="Yes",N($F455)&lt;=0),"Qty needed",IF($A455&lt;_xlfn.MINIFS(tblShipment[Arrival Date],tblShipment[Shipment ID],$C455),"Date before arrival",IF(AND($D455&lt;&gt;"",COUNTIFS(tblShipment[Shipment ID],$C455,tblShipment[Item Code],$D455)=0),"Item not in this shipment",IF(AND($H455&lt;&gt;"",COUNTIFS(tblCouriers[Courier],$H455,tblCouriers[Market],$B455)=0),"Courier not in this market","OK")))))))))))))))</f>
        <v>OK</v>
      </c>
    </row>
    <row r="456" customFormat="false" ht="15" hidden="false" customHeight="false" outlineLevel="0" collapsed="false">
      <c r="A456" s="27" t="n">
        <v>46236</v>
      </c>
      <c r="B456" s="26" t="s">
        <v>78</v>
      </c>
      <c r="C456" s="26" t="s">
        <v>135</v>
      </c>
      <c r="D456" s="26" t="s">
        <v>94</v>
      </c>
      <c r="E456" s="26" t="s">
        <v>81</v>
      </c>
      <c r="F456" s="28" t="n">
        <v>2</v>
      </c>
      <c r="G456" s="28"/>
      <c r="H456" s="26"/>
      <c r="I456" s="26"/>
      <c r="J456" s="26" t="s">
        <v>162</v>
      </c>
      <c r="K456" s="29" t="str">
        <f aca="false">IF($A456="","",IF(COUNTIFS(tblMoveTypes[Movement],$E456)=0,"Unknown movement type",IF(COUNTIF(tblShipment[Shipment ID],$C456)=0,"Unknown shipment",IF(COUNTIFS(tblShipment[Shipment ID],$C456,tblShipment[Market],$B456)=0,"Market does not match shipment",IF(AND(IFERROR(INDEX(tblMoveTypes[Item?],MATCH($E456,tblMoveTypes[Movement],0)),"?")="Yes",$D456=""),"Item needed",IF(AND(IFERROR(INDEX(tblMoveTypes[Item?],MATCH($E456,tblMoveTypes[Movement],0)),"?")="No",$D456&lt;&gt;""),"Leave Item blank",IF(AND(IFERROR(INDEX(tblMoveTypes[Courier?],MATCH($E456,tblMoveTypes[Movement],0)),"?")="Yes",$H456=""),"Courier needed",IF(AND(IFERROR(INDEX(tblMoveTypes[Courier?],MATCH($E456,tblMoveTypes[Movement],0)),"?")="No",$H456&lt;&gt;""),"Leave Courier blank",IF(AND(IFERROR(INDEX(tblMoveTypes[Orders?],MATCH($E456,tblMoveTypes[Movement],0)),"?")="Yes",$G456=""),"Orders needed",IF(AND(IFERROR(INDEX(tblMoveTypes[Orders?],MATCH($E456,tblMoveTypes[Movement],0)),"?")="No",$G456&lt;&gt;""),"Leave Orders blank",IF(AND(IFERROR(INDEX(tblMoveTypes[Reason?],MATCH($E456,tblMoveTypes[Movement],0)),"?")="Yes",$I456=""),"Reason needed",IF(AND(IFERROR(INDEX(tblMoveTypes[Qty?],MATCH($E456,tblMoveTypes[Movement],0)),"?")="Yes",N($F456)&lt;=0),"Qty needed",IF($A456&lt;_xlfn.MINIFS(tblShipment[Arrival Date],tblShipment[Shipment ID],$C456),"Date before arrival",IF(AND($D456&lt;&gt;"",COUNTIFS(tblShipment[Shipment ID],$C456,tblShipment[Item Code],$D456)=0),"Item not in this shipment",IF(AND($H456&lt;&gt;"",COUNTIFS(tblCouriers[Courier],$H456,tblCouriers[Market],$B456)=0),"Courier not in this market","OK")))))))))))))))</f>
        <v>OK</v>
      </c>
    </row>
    <row r="457" customFormat="false" ht="15" hidden="false" customHeight="false" outlineLevel="0" collapsed="false">
      <c r="A457" s="27" t="n">
        <v>46236</v>
      </c>
      <c r="B457" s="26" t="s">
        <v>78</v>
      </c>
      <c r="C457" s="26" t="s">
        <v>135</v>
      </c>
      <c r="D457" s="26" t="s">
        <v>94</v>
      </c>
      <c r="E457" s="26" t="s">
        <v>74</v>
      </c>
      <c r="F457" s="28" t="n">
        <v>78</v>
      </c>
      <c r="G457" s="28"/>
      <c r="H457" s="26"/>
      <c r="I457" s="26"/>
      <c r="J457" s="26"/>
      <c r="K457" s="29" t="str">
        <f aca="false">IF($A457="","",IF(COUNTIFS(tblMoveTypes[Movement],$E457)=0,"Unknown movement type",IF(COUNTIF(tblShipment[Shipment ID],$C457)=0,"Unknown shipment",IF(COUNTIFS(tblShipment[Shipment ID],$C457,tblShipment[Market],$B457)=0,"Market does not match shipment",IF(AND(IFERROR(INDEX(tblMoveTypes[Item?],MATCH($E457,tblMoveTypes[Movement],0)),"?")="Yes",$D457=""),"Item needed",IF(AND(IFERROR(INDEX(tblMoveTypes[Item?],MATCH($E457,tblMoveTypes[Movement],0)),"?")="No",$D457&lt;&gt;""),"Leave Item blank",IF(AND(IFERROR(INDEX(tblMoveTypes[Courier?],MATCH($E457,tblMoveTypes[Movement],0)),"?")="Yes",$H457=""),"Courier needed",IF(AND(IFERROR(INDEX(tblMoveTypes[Courier?],MATCH($E457,tblMoveTypes[Movement],0)),"?")="No",$H457&lt;&gt;""),"Leave Courier blank",IF(AND(IFERROR(INDEX(tblMoveTypes[Orders?],MATCH($E457,tblMoveTypes[Movement],0)),"?")="Yes",$G457=""),"Orders needed",IF(AND(IFERROR(INDEX(tblMoveTypes[Orders?],MATCH($E457,tblMoveTypes[Movement],0)),"?")="No",$G457&lt;&gt;""),"Leave Orders blank",IF(AND(IFERROR(INDEX(tblMoveTypes[Reason?],MATCH($E457,tblMoveTypes[Movement],0)),"?")="Yes",$I457=""),"Reason needed",IF(AND(IFERROR(INDEX(tblMoveTypes[Qty?],MATCH($E457,tblMoveTypes[Movement],0)),"?")="Yes",N($F457)&lt;=0),"Qty needed",IF($A457&lt;_xlfn.MINIFS(tblShipment[Arrival Date],tblShipment[Shipment ID],$C457),"Date before arrival",IF(AND($D457&lt;&gt;"",COUNTIFS(tblShipment[Shipment ID],$C457,tblShipment[Item Code],$D457)=0),"Item not in this shipment",IF(AND($H457&lt;&gt;"",COUNTIFS(tblCouriers[Courier],$H457,tblCouriers[Market],$B457)=0),"Courier not in this market","OK")))))))))))))))</f>
        <v>OK</v>
      </c>
    </row>
    <row r="458" customFormat="false" ht="15" hidden="false" customHeight="false" outlineLevel="0" collapsed="false">
      <c r="A458" s="27" t="n">
        <v>46236</v>
      </c>
      <c r="B458" s="26" t="s">
        <v>78</v>
      </c>
      <c r="C458" s="26" t="s">
        <v>135</v>
      </c>
      <c r="D458" s="26" t="s">
        <v>99</v>
      </c>
      <c r="E458" s="26" t="s">
        <v>74</v>
      </c>
      <c r="F458" s="28" t="n">
        <v>60</v>
      </c>
      <c r="G458" s="28"/>
      <c r="H458" s="26"/>
      <c r="I458" s="26"/>
      <c r="J458" s="26"/>
      <c r="K458" s="29" t="str">
        <f aca="false">IF($A458="","",IF(COUNTIFS(tblMoveTypes[Movement],$E458)=0,"Unknown movement type",IF(COUNTIF(tblShipment[Shipment ID],$C458)=0,"Unknown shipment",IF(COUNTIFS(tblShipment[Shipment ID],$C458,tblShipment[Market],$B458)=0,"Market does not match shipment",IF(AND(IFERROR(INDEX(tblMoveTypes[Item?],MATCH($E458,tblMoveTypes[Movement],0)),"?")="Yes",$D458=""),"Item needed",IF(AND(IFERROR(INDEX(tblMoveTypes[Item?],MATCH($E458,tblMoveTypes[Movement],0)),"?")="No",$D458&lt;&gt;""),"Leave Item blank",IF(AND(IFERROR(INDEX(tblMoveTypes[Courier?],MATCH($E458,tblMoveTypes[Movement],0)),"?")="Yes",$H458=""),"Courier needed",IF(AND(IFERROR(INDEX(tblMoveTypes[Courier?],MATCH($E458,tblMoveTypes[Movement],0)),"?")="No",$H458&lt;&gt;""),"Leave Courier blank",IF(AND(IFERROR(INDEX(tblMoveTypes[Orders?],MATCH($E458,tblMoveTypes[Movement],0)),"?")="Yes",$G458=""),"Orders needed",IF(AND(IFERROR(INDEX(tblMoveTypes[Orders?],MATCH($E458,tblMoveTypes[Movement],0)),"?")="No",$G458&lt;&gt;""),"Leave Orders blank",IF(AND(IFERROR(INDEX(tblMoveTypes[Reason?],MATCH($E458,tblMoveTypes[Movement],0)),"?")="Yes",$I458=""),"Reason needed",IF(AND(IFERROR(INDEX(tblMoveTypes[Qty?],MATCH($E458,tblMoveTypes[Movement],0)),"?")="Yes",N($F458)&lt;=0),"Qty needed",IF($A458&lt;_xlfn.MINIFS(tblShipment[Arrival Date],tblShipment[Shipment ID],$C458),"Date before arrival",IF(AND($D458&lt;&gt;"",COUNTIFS(tblShipment[Shipment ID],$C458,tblShipment[Item Code],$D458)=0),"Item not in this shipment",IF(AND($H458&lt;&gt;"",COUNTIFS(tblCouriers[Courier],$H458,tblCouriers[Market],$B458)=0),"Courier not in this market","OK")))))))))))))))</f>
        <v>OK</v>
      </c>
    </row>
    <row r="459" customFormat="false" ht="15" hidden="false" customHeight="false" outlineLevel="0" collapsed="false">
      <c r="A459" s="27" t="n">
        <v>46236</v>
      </c>
      <c r="B459" s="26" t="s">
        <v>78</v>
      </c>
      <c r="C459" s="26" t="s">
        <v>135</v>
      </c>
      <c r="D459" s="26"/>
      <c r="E459" s="26" t="s">
        <v>98</v>
      </c>
      <c r="F459" s="28"/>
      <c r="G459" s="28" t="n">
        <v>48</v>
      </c>
      <c r="H459" s="26"/>
      <c r="I459" s="26"/>
      <c r="J459" s="26"/>
      <c r="K459" s="29" t="str">
        <f aca="false">IF($A459="","",IF(COUNTIFS(tblMoveTypes[Movement],$E459)=0,"Unknown movement type",IF(COUNTIF(tblShipment[Shipment ID],$C459)=0,"Unknown shipment",IF(COUNTIFS(tblShipment[Shipment ID],$C459,tblShipment[Market],$B459)=0,"Market does not match shipment",IF(AND(IFERROR(INDEX(tblMoveTypes[Item?],MATCH($E459,tblMoveTypes[Movement],0)),"?")="Yes",$D459=""),"Item needed",IF(AND(IFERROR(INDEX(tblMoveTypes[Item?],MATCH($E459,tblMoveTypes[Movement],0)),"?")="No",$D459&lt;&gt;""),"Leave Item blank",IF(AND(IFERROR(INDEX(tblMoveTypes[Courier?],MATCH($E459,tblMoveTypes[Movement],0)),"?")="Yes",$H459=""),"Courier needed",IF(AND(IFERROR(INDEX(tblMoveTypes[Courier?],MATCH($E459,tblMoveTypes[Movement],0)),"?")="No",$H459&lt;&gt;""),"Leave Courier blank",IF(AND(IFERROR(INDEX(tblMoveTypes[Orders?],MATCH($E459,tblMoveTypes[Movement],0)),"?")="Yes",$G459=""),"Orders needed",IF(AND(IFERROR(INDEX(tblMoveTypes[Orders?],MATCH($E459,tblMoveTypes[Movement],0)),"?")="No",$G459&lt;&gt;""),"Leave Orders blank",IF(AND(IFERROR(INDEX(tblMoveTypes[Reason?],MATCH($E459,tblMoveTypes[Movement],0)),"?")="Yes",$I459=""),"Reason needed",IF(AND(IFERROR(INDEX(tblMoveTypes[Qty?],MATCH($E459,tblMoveTypes[Movement],0)),"?")="Yes",N($F459)&lt;=0),"Qty needed",IF($A459&lt;_xlfn.MINIFS(tblShipment[Arrival Date],tblShipment[Shipment ID],$C459),"Date before arrival",IF(AND($D459&lt;&gt;"",COUNTIFS(tblShipment[Shipment ID],$C459,tblShipment[Item Code],$D459)=0),"Item not in this shipment",IF(AND($H459&lt;&gt;"",COUNTIFS(tblCouriers[Courier],$H459,tblCouriers[Market],$B459)=0),"Courier not in this market","OK")))))))))))))))</f>
        <v>OK</v>
      </c>
    </row>
    <row r="460" customFormat="false" ht="15" hidden="false" customHeight="false" outlineLevel="0" collapsed="false">
      <c r="A460" s="27" t="n">
        <v>46236</v>
      </c>
      <c r="B460" s="26" t="s">
        <v>78</v>
      </c>
      <c r="C460" s="26" t="s">
        <v>135</v>
      </c>
      <c r="D460" s="26" t="s">
        <v>76</v>
      </c>
      <c r="E460" s="26" t="s">
        <v>73</v>
      </c>
      <c r="F460" s="28" t="n">
        <v>1</v>
      </c>
      <c r="G460" s="28"/>
      <c r="H460" s="26"/>
      <c r="I460" s="26" t="s">
        <v>72</v>
      </c>
      <c r="J460" s="26"/>
      <c r="K460" s="29" t="str">
        <f aca="false">IF($A460="","",IF(COUNTIFS(tblMoveTypes[Movement],$E460)=0,"Unknown movement type",IF(COUNTIF(tblShipment[Shipment ID],$C460)=0,"Unknown shipment",IF(COUNTIFS(tblShipment[Shipment ID],$C460,tblShipment[Market],$B460)=0,"Market does not match shipment",IF(AND(IFERROR(INDEX(tblMoveTypes[Item?],MATCH($E460,tblMoveTypes[Movement],0)),"?")="Yes",$D460=""),"Item needed",IF(AND(IFERROR(INDEX(tblMoveTypes[Item?],MATCH($E460,tblMoveTypes[Movement],0)),"?")="No",$D460&lt;&gt;""),"Leave Item blank",IF(AND(IFERROR(INDEX(tblMoveTypes[Courier?],MATCH($E460,tblMoveTypes[Movement],0)),"?")="Yes",$H460=""),"Courier needed",IF(AND(IFERROR(INDEX(tblMoveTypes[Courier?],MATCH($E460,tblMoveTypes[Movement],0)),"?")="No",$H460&lt;&gt;""),"Leave Courier blank",IF(AND(IFERROR(INDEX(tblMoveTypes[Orders?],MATCH($E460,tblMoveTypes[Movement],0)),"?")="Yes",$G460=""),"Orders needed",IF(AND(IFERROR(INDEX(tblMoveTypes[Orders?],MATCH($E460,tblMoveTypes[Movement],0)),"?")="No",$G460&lt;&gt;""),"Leave Orders blank",IF(AND(IFERROR(INDEX(tblMoveTypes[Reason?],MATCH($E460,tblMoveTypes[Movement],0)),"?")="Yes",$I460=""),"Reason needed",IF(AND(IFERROR(INDEX(tblMoveTypes[Qty?],MATCH($E460,tblMoveTypes[Movement],0)),"?")="Yes",N($F460)&lt;=0),"Qty needed",IF($A460&lt;_xlfn.MINIFS(tblShipment[Arrival Date],tblShipment[Shipment ID],$C460),"Date before arrival",IF(AND($D460&lt;&gt;"",COUNTIFS(tblShipment[Shipment ID],$C460,tblShipment[Item Code],$D460)=0),"Item not in this shipment",IF(AND($H460&lt;&gt;"",COUNTIFS(tblCouriers[Courier],$H460,tblCouriers[Market],$B460)=0),"Courier not in this market","OK")))))))))))))))</f>
        <v>OK</v>
      </c>
    </row>
    <row r="461" customFormat="false" ht="15" hidden="false" customHeight="false" outlineLevel="0" collapsed="false">
      <c r="A461" s="27" t="n">
        <v>46236</v>
      </c>
      <c r="B461" s="26" t="s">
        <v>78</v>
      </c>
      <c r="C461" s="26" t="s">
        <v>135</v>
      </c>
      <c r="D461" s="26" t="s">
        <v>67</v>
      </c>
      <c r="E461" s="26" t="s">
        <v>73</v>
      </c>
      <c r="F461" s="28" t="n">
        <v>3</v>
      </c>
      <c r="G461" s="28"/>
      <c r="H461" s="26"/>
      <c r="I461" s="26" t="s">
        <v>80</v>
      </c>
      <c r="J461" s="26"/>
      <c r="K461" s="29" t="str">
        <f aca="false">IF($A461="","",IF(COUNTIFS(tblMoveTypes[Movement],$E461)=0,"Unknown movement type",IF(COUNTIF(tblShipment[Shipment ID],$C461)=0,"Unknown shipment",IF(COUNTIFS(tblShipment[Shipment ID],$C461,tblShipment[Market],$B461)=0,"Market does not match shipment",IF(AND(IFERROR(INDEX(tblMoveTypes[Item?],MATCH($E461,tblMoveTypes[Movement],0)),"?")="Yes",$D461=""),"Item needed",IF(AND(IFERROR(INDEX(tblMoveTypes[Item?],MATCH($E461,tblMoveTypes[Movement],0)),"?")="No",$D461&lt;&gt;""),"Leave Item blank",IF(AND(IFERROR(INDEX(tblMoveTypes[Courier?],MATCH($E461,tblMoveTypes[Movement],0)),"?")="Yes",$H461=""),"Courier needed",IF(AND(IFERROR(INDEX(tblMoveTypes[Courier?],MATCH($E461,tblMoveTypes[Movement],0)),"?")="No",$H461&lt;&gt;""),"Leave Courier blank",IF(AND(IFERROR(INDEX(tblMoveTypes[Orders?],MATCH($E461,tblMoveTypes[Movement],0)),"?")="Yes",$G461=""),"Orders needed",IF(AND(IFERROR(INDEX(tblMoveTypes[Orders?],MATCH($E461,tblMoveTypes[Movement],0)),"?")="No",$G461&lt;&gt;""),"Leave Orders blank",IF(AND(IFERROR(INDEX(tblMoveTypes[Reason?],MATCH($E461,tblMoveTypes[Movement],0)),"?")="Yes",$I461=""),"Reason needed",IF(AND(IFERROR(INDEX(tblMoveTypes[Qty?],MATCH($E461,tblMoveTypes[Movement],0)),"?")="Yes",N($F461)&lt;=0),"Qty needed",IF($A461&lt;_xlfn.MINIFS(tblShipment[Arrival Date],tblShipment[Shipment ID],$C461),"Date before arrival",IF(AND($D461&lt;&gt;"",COUNTIFS(tblShipment[Shipment ID],$C461,tblShipment[Item Code],$D461)=0),"Item not in this shipment",IF(AND($H461&lt;&gt;"",COUNTIFS(tblCouriers[Courier],$H461,tblCouriers[Market],$B461)=0),"Courier not in this market","OK")))))))))))))))</f>
        <v>OK</v>
      </c>
    </row>
    <row r="462" customFormat="false" ht="15" hidden="false" customHeight="false" outlineLevel="0" collapsed="false">
      <c r="A462" s="27" t="n">
        <v>46236</v>
      </c>
      <c r="B462" s="26" t="s">
        <v>78</v>
      </c>
      <c r="C462" s="26" t="s">
        <v>135</v>
      </c>
      <c r="D462" s="26" t="s">
        <v>83</v>
      </c>
      <c r="E462" s="26" t="s">
        <v>73</v>
      </c>
      <c r="F462" s="28" t="n">
        <v>6</v>
      </c>
      <c r="G462" s="28"/>
      <c r="H462" s="26"/>
      <c r="I462" s="26" t="s">
        <v>72</v>
      </c>
      <c r="J462" s="26"/>
      <c r="K462" s="29" t="str">
        <f aca="false">IF($A462="","",IF(COUNTIFS(tblMoveTypes[Movement],$E462)=0,"Unknown movement type",IF(COUNTIF(tblShipment[Shipment ID],$C462)=0,"Unknown shipment",IF(COUNTIFS(tblShipment[Shipment ID],$C462,tblShipment[Market],$B462)=0,"Market does not match shipment",IF(AND(IFERROR(INDEX(tblMoveTypes[Item?],MATCH($E462,tblMoveTypes[Movement],0)),"?")="Yes",$D462=""),"Item needed",IF(AND(IFERROR(INDEX(tblMoveTypes[Item?],MATCH($E462,tblMoveTypes[Movement],0)),"?")="No",$D462&lt;&gt;""),"Leave Item blank",IF(AND(IFERROR(INDEX(tblMoveTypes[Courier?],MATCH($E462,tblMoveTypes[Movement],0)),"?")="Yes",$H462=""),"Courier needed",IF(AND(IFERROR(INDEX(tblMoveTypes[Courier?],MATCH($E462,tblMoveTypes[Movement],0)),"?")="No",$H462&lt;&gt;""),"Leave Courier blank",IF(AND(IFERROR(INDEX(tblMoveTypes[Orders?],MATCH($E462,tblMoveTypes[Movement],0)),"?")="Yes",$G462=""),"Orders needed",IF(AND(IFERROR(INDEX(tblMoveTypes[Orders?],MATCH($E462,tblMoveTypes[Movement],0)),"?")="No",$G462&lt;&gt;""),"Leave Orders blank",IF(AND(IFERROR(INDEX(tblMoveTypes[Reason?],MATCH($E462,tblMoveTypes[Movement],0)),"?")="Yes",$I462=""),"Reason needed",IF(AND(IFERROR(INDEX(tblMoveTypes[Qty?],MATCH($E462,tblMoveTypes[Movement],0)),"?")="Yes",N($F462)&lt;=0),"Qty needed",IF($A462&lt;_xlfn.MINIFS(tblShipment[Arrival Date],tblShipment[Shipment ID],$C462),"Date before arrival",IF(AND($D462&lt;&gt;"",COUNTIFS(tblShipment[Shipment ID],$C462,tblShipment[Item Code],$D462)=0),"Item not in this shipment",IF(AND($H462&lt;&gt;"",COUNTIFS(tblCouriers[Courier],$H462,tblCouriers[Market],$B462)=0),"Courier not in this market","OK")))))))))))))))</f>
        <v>OK</v>
      </c>
    </row>
    <row r="463" customFormat="false" ht="15" hidden="false" customHeight="false" outlineLevel="0" collapsed="false">
      <c r="A463" s="27" t="n">
        <v>46236</v>
      </c>
      <c r="B463" s="26" t="s">
        <v>78</v>
      </c>
      <c r="C463" s="26" t="s">
        <v>135</v>
      </c>
      <c r="D463" s="26" t="s">
        <v>94</v>
      </c>
      <c r="E463" s="26" t="s">
        <v>73</v>
      </c>
      <c r="F463" s="28" t="n">
        <v>3</v>
      </c>
      <c r="G463" s="28"/>
      <c r="H463" s="26"/>
      <c r="I463" s="26" t="s">
        <v>80</v>
      </c>
      <c r="J463" s="26"/>
      <c r="K463" s="29" t="str">
        <f aca="false">IF($A463="","",IF(COUNTIFS(tblMoveTypes[Movement],$E463)=0,"Unknown movement type",IF(COUNTIF(tblShipment[Shipment ID],$C463)=0,"Unknown shipment",IF(COUNTIFS(tblShipment[Shipment ID],$C463,tblShipment[Market],$B463)=0,"Market does not match shipment",IF(AND(IFERROR(INDEX(tblMoveTypes[Item?],MATCH($E463,tblMoveTypes[Movement],0)),"?")="Yes",$D463=""),"Item needed",IF(AND(IFERROR(INDEX(tblMoveTypes[Item?],MATCH($E463,tblMoveTypes[Movement],0)),"?")="No",$D463&lt;&gt;""),"Leave Item blank",IF(AND(IFERROR(INDEX(tblMoveTypes[Courier?],MATCH($E463,tblMoveTypes[Movement],0)),"?")="Yes",$H463=""),"Courier needed",IF(AND(IFERROR(INDEX(tblMoveTypes[Courier?],MATCH($E463,tblMoveTypes[Movement],0)),"?")="No",$H463&lt;&gt;""),"Leave Courier blank",IF(AND(IFERROR(INDEX(tblMoveTypes[Orders?],MATCH($E463,tblMoveTypes[Movement],0)),"?")="Yes",$G463=""),"Orders needed",IF(AND(IFERROR(INDEX(tblMoveTypes[Orders?],MATCH($E463,tblMoveTypes[Movement],0)),"?")="No",$G463&lt;&gt;""),"Leave Orders blank",IF(AND(IFERROR(INDEX(tblMoveTypes[Reason?],MATCH($E463,tblMoveTypes[Movement],0)),"?")="Yes",$I463=""),"Reason needed",IF(AND(IFERROR(INDEX(tblMoveTypes[Qty?],MATCH($E463,tblMoveTypes[Movement],0)),"?")="Yes",N($F463)&lt;=0),"Qty needed",IF($A463&lt;_xlfn.MINIFS(tblShipment[Arrival Date],tblShipment[Shipment ID],$C463),"Date before arrival",IF(AND($D463&lt;&gt;"",COUNTIFS(tblShipment[Shipment ID],$C463,tblShipment[Item Code],$D463)=0),"Item not in this shipment",IF(AND($H463&lt;&gt;"",COUNTIFS(tblCouriers[Courier],$H463,tblCouriers[Market],$B463)=0),"Courier not in this market","OK")))))))))))))))</f>
        <v>OK</v>
      </c>
    </row>
    <row r="464" customFormat="false" ht="15" hidden="false" customHeight="false" outlineLevel="0" collapsed="false">
      <c r="A464" s="27" t="n">
        <v>46236</v>
      </c>
      <c r="B464" s="26" t="s">
        <v>78</v>
      </c>
      <c r="C464" s="26" t="s">
        <v>135</v>
      </c>
      <c r="D464" s="26" t="s">
        <v>99</v>
      </c>
      <c r="E464" s="26" t="s">
        <v>73</v>
      </c>
      <c r="F464" s="28" t="n">
        <v>2</v>
      </c>
      <c r="G464" s="28"/>
      <c r="H464" s="26"/>
      <c r="I464" s="26" t="s">
        <v>72</v>
      </c>
      <c r="J464" s="26"/>
      <c r="K464" s="29" t="str">
        <f aca="false">IF($A464="","",IF(COUNTIFS(tblMoveTypes[Movement],$E464)=0,"Unknown movement type",IF(COUNTIF(tblShipment[Shipment ID],$C464)=0,"Unknown shipment",IF(COUNTIFS(tblShipment[Shipment ID],$C464,tblShipment[Market],$B464)=0,"Market does not match shipment",IF(AND(IFERROR(INDEX(tblMoveTypes[Item?],MATCH($E464,tblMoveTypes[Movement],0)),"?")="Yes",$D464=""),"Item needed",IF(AND(IFERROR(INDEX(tblMoveTypes[Item?],MATCH($E464,tblMoveTypes[Movement],0)),"?")="No",$D464&lt;&gt;""),"Leave Item blank",IF(AND(IFERROR(INDEX(tblMoveTypes[Courier?],MATCH($E464,tblMoveTypes[Movement],0)),"?")="Yes",$H464=""),"Courier needed",IF(AND(IFERROR(INDEX(tblMoveTypes[Courier?],MATCH($E464,tblMoveTypes[Movement],0)),"?")="No",$H464&lt;&gt;""),"Leave Courier blank",IF(AND(IFERROR(INDEX(tblMoveTypes[Orders?],MATCH($E464,tblMoveTypes[Movement],0)),"?")="Yes",$G464=""),"Orders needed",IF(AND(IFERROR(INDEX(tblMoveTypes[Orders?],MATCH($E464,tblMoveTypes[Movement],0)),"?")="No",$G464&lt;&gt;""),"Leave Orders blank",IF(AND(IFERROR(INDEX(tblMoveTypes[Reason?],MATCH($E464,tblMoveTypes[Movement],0)),"?")="Yes",$I464=""),"Reason needed",IF(AND(IFERROR(INDEX(tblMoveTypes[Qty?],MATCH($E464,tblMoveTypes[Movement],0)),"?")="Yes",N($F464)&lt;=0),"Qty needed",IF($A464&lt;_xlfn.MINIFS(tblShipment[Arrival Date],tblShipment[Shipment ID],$C464),"Date before arrival",IF(AND($D464&lt;&gt;"",COUNTIFS(tblShipment[Shipment ID],$C464,tblShipment[Item Code],$D464)=0),"Item not in this shipment",IF(AND($H464&lt;&gt;"",COUNTIFS(tblCouriers[Courier],$H464,tblCouriers[Market],$B464)=0),"Courier not in this market","OK")))))))))))))))</f>
        <v>OK</v>
      </c>
    </row>
    <row r="465" customFormat="false" ht="15" hidden="false" customHeight="false" outlineLevel="0" collapsed="false">
      <c r="A465" s="27" t="n">
        <v>46236</v>
      </c>
      <c r="B465" s="26" t="s">
        <v>78</v>
      </c>
      <c r="C465" s="26" t="s">
        <v>135</v>
      </c>
      <c r="D465" s="26" t="s">
        <v>76</v>
      </c>
      <c r="E465" s="26" t="s">
        <v>93</v>
      </c>
      <c r="F465" s="28" t="n">
        <v>23</v>
      </c>
      <c r="G465" s="28"/>
      <c r="H465" s="26" t="s">
        <v>79</v>
      </c>
      <c r="I465" s="26"/>
      <c r="J465" s="26"/>
      <c r="K465" s="29" t="str">
        <f aca="false">IF($A465="","",IF(COUNTIFS(tblMoveTypes[Movement],$E465)=0,"Unknown movement type",IF(COUNTIF(tblShipment[Shipment ID],$C465)=0,"Unknown shipment",IF(COUNTIFS(tblShipment[Shipment ID],$C465,tblShipment[Market],$B465)=0,"Market does not match shipment",IF(AND(IFERROR(INDEX(tblMoveTypes[Item?],MATCH($E465,tblMoveTypes[Movement],0)),"?")="Yes",$D465=""),"Item needed",IF(AND(IFERROR(INDEX(tblMoveTypes[Item?],MATCH($E465,tblMoveTypes[Movement],0)),"?")="No",$D465&lt;&gt;""),"Leave Item blank",IF(AND(IFERROR(INDEX(tblMoveTypes[Courier?],MATCH($E465,tblMoveTypes[Movement],0)),"?")="Yes",$H465=""),"Courier needed",IF(AND(IFERROR(INDEX(tblMoveTypes[Courier?],MATCH($E465,tblMoveTypes[Movement],0)),"?")="No",$H465&lt;&gt;""),"Leave Courier blank",IF(AND(IFERROR(INDEX(tblMoveTypes[Orders?],MATCH($E465,tblMoveTypes[Movement],0)),"?")="Yes",$G465=""),"Orders needed",IF(AND(IFERROR(INDEX(tblMoveTypes[Orders?],MATCH($E465,tblMoveTypes[Movement],0)),"?")="No",$G465&lt;&gt;""),"Leave Orders blank",IF(AND(IFERROR(INDEX(tblMoveTypes[Reason?],MATCH($E465,tblMoveTypes[Movement],0)),"?")="Yes",$I465=""),"Reason needed",IF(AND(IFERROR(INDEX(tblMoveTypes[Qty?],MATCH($E465,tblMoveTypes[Movement],0)),"?")="Yes",N($F465)&lt;=0),"Qty needed",IF($A465&lt;_xlfn.MINIFS(tblShipment[Arrival Date],tblShipment[Shipment ID],$C465),"Date before arrival",IF(AND($D465&lt;&gt;"",COUNTIFS(tblShipment[Shipment ID],$C465,tblShipment[Item Code],$D465)=0),"Item not in this shipment",IF(AND($H465&lt;&gt;"",COUNTIFS(tblCouriers[Courier],$H465,tblCouriers[Market],$B465)=0),"Courier not in this market","OK")))))))))))))))</f>
        <v>OK</v>
      </c>
    </row>
    <row r="466" customFormat="false" ht="15" hidden="false" customHeight="false" outlineLevel="0" collapsed="false">
      <c r="A466" s="27" t="n">
        <v>46236</v>
      </c>
      <c r="B466" s="26" t="s">
        <v>78</v>
      </c>
      <c r="C466" s="26" t="s">
        <v>135</v>
      </c>
      <c r="D466" s="26" t="s">
        <v>76</v>
      </c>
      <c r="E466" s="26" t="s">
        <v>93</v>
      </c>
      <c r="F466" s="28" t="n">
        <v>16</v>
      </c>
      <c r="G466" s="28"/>
      <c r="H466" s="26" t="s">
        <v>86</v>
      </c>
      <c r="I466" s="26"/>
      <c r="J466" s="26"/>
      <c r="K466" s="29" t="str">
        <f aca="false">IF($A466="","",IF(COUNTIFS(tblMoveTypes[Movement],$E466)=0,"Unknown movement type",IF(COUNTIF(tblShipment[Shipment ID],$C466)=0,"Unknown shipment",IF(COUNTIFS(tblShipment[Shipment ID],$C466,tblShipment[Market],$B466)=0,"Market does not match shipment",IF(AND(IFERROR(INDEX(tblMoveTypes[Item?],MATCH($E466,tblMoveTypes[Movement],0)),"?")="Yes",$D466=""),"Item needed",IF(AND(IFERROR(INDEX(tblMoveTypes[Item?],MATCH($E466,tblMoveTypes[Movement],0)),"?")="No",$D466&lt;&gt;""),"Leave Item blank",IF(AND(IFERROR(INDEX(tblMoveTypes[Courier?],MATCH($E466,tblMoveTypes[Movement],0)),"?")="Yes",$H466=""),"Courier needed",IF(AND(IFERROR(INDEX(tblMoveTypes[Courier?],MATCH($E466,tblMoveTypes[Movement],0)),"?")="No",$H466&lt;&gt;""),"Leave Courier blank",IF(AND(IFERROR(INDEX(tblMoveTypes[Orders?],MATCH($E466,tblMoveTypes[Movement],0)),"?")="Yes",$G466=""),"Orders needed",IF(AND(IFERROR(INDEX(tblMoveTypes[Orders?],MATCH($E466,tblMoveTypes[Movement],0)),"?")="No",$G466&lt;&gt;""),"Leave Orders blank",IF(AND(IFERROR(INDEX(tblMoveTypes[Reason?],MATCH($E466,tblMoveTypes[Movement],0)),"?")="Yes",$I466=""),"Reason needed",IF(AND(IFERROR(INDEX(tblMoveTypes[Qty?],MATCH($E466,tblMoveTypes[Movement],0)),"?")="Yes",N($F466)&lt;=0),"Qty needed",IF($A466&lt;_xlfn.MINIFS(tblShipment[Arrival Date],tblShipment[Shipment ID],$C466),"Date before arrival",IF(AND($D466&lt;&gt;"",COUNTIFS(tblShipment[Shipment ID],$C466,tblShipment[Item Code],$D466)=0),"Item not in this shipment",IF(AND($H466&lt;&gt;"",COUNTIFS(tblCouriers[Courier],$H466,tblCouriers[Market],$B466)=0),"Courier not in this market","OK")))))))))))))))</f>
        <v>OK</v>
      </c>
    </row>
    <row r="467" customFormat="false" ht="15" hidden="false" customHeight="false" outlineLevel="0" collapsed="false">
      <c r="A467" s="27" t="n">
        <v>46236</v>
      </c>
      <c r="B467" s="26" t="s">
        <v>78</v>
      </c>
      <c r="C467" s="26" t="s">
        <v>135</v>
      </c>
      <c r="D467" s="26" t="s">
        <v>67</v>
      </c>
      <c r="E467" s="26" t="s">
        <v>93</v>
      </c>
      <c r="F467" s="28" t="n">
        <v>34</v>
      </c>
      <c r="G467" s="28"/>
      <c r="H467" s="26" t="s">
        <v>79</v>
      </c>
      <c r="I467" s="26"/>
      <c r="J467" s="26"/>
      <c r="K467" s="29" t="str">
        <f aca="false">IF($A467="","",IF(COUNTIFS(tblMoveTypes[Movement],$E467)=0,"Unknown movement type",IF(COUNTIF(tblShipment[Shipment ID],$C467)=0,"Unknown shipment",IF(COUNTIFS(tblShipment[Shipment ID],$C467,tblShipment[Market],$B467)=0,"Market does not match shipment",IF(AND(IFERROR(INDEX(tblMoveTypes[Item?],MATCH($E467,tblMoveTypes[Movement],0)),"?")="Yes",$D467=""),"Item needed",IF(AND(IFERROR(INDEX(tblMoveTypes[Item?],MATCH($E467,tblMoveTypes[Movement],0)),"?")="No",$D467&lt;&gt;""),"Leave Item blank",IF(AND(IFERROR(INDEX(tblMoveTypes[Courier?],MATCH($E467,tblMoveTypes[Movement],0)),"?")="Yes",$H467=""),"Courier needed",IF(AND(IFERROR(INDEX(tblMoveTypes[Courier?],MATCH($E467,tblMoveTypes[Movement],0)),"?")="No",$H467&lt;&gt;""),"Leave Courier blank",IF(AND(IFERROR(INDEX(tblMoveTypes[Orders?],MATCH($E467,tblMoveTypes[Movement],0)),"?")="Yes",$G467=""),"Orders needed",IF(AND(IFERROR(INDEX(tblMoveTypes[Orders?],MATCH($E467,tblMoveTypes[Movement],0)),"?")="No",$G467&lt;&gt;""),"Leave Orders blank",IF(AND(IFERROR(INDEX(tblMoveTypes[Reason?],MATCH($E467,tblMoveTypes[Movement],0)),"?")="Yes",$I467=""),"Reason needed",IF(AND(IFERROR(INDEX(tblMoveTypes[Qty?],MATCH($E467,tblMoveTypes[Movement],0)),"?")="Yes",N($F467)&lt;=0),"Qty needed",IF($A467&lt;_xlfn.MINIFS(tblShipment[Arrival Date],tblShipment[Shipment ID],$C467),"Date before arrival",IF(AND($D467&lt;&gt;"",COUNTIFS(tblShipment[Shipment ID],$C467,tblShipment[Item Code],$D467)=0),"Item not in this shipment",IF(AND($H467&lt;&gt;"",COUNTIFS(tblCouriers[Courier],$H467,tblCouriers[Market],$B467)=0),"Courier not in this market","OK")))))))))))))))</f>
        <v>OK</v>
      </c>
    </row>
    <row r="468" customFormat="false" ht="15" hidden="false" customHeight="false" outlineLevel="0" collapsed="false">
      <c r="A468" s="27" t="n">
        <v>46236</v>
      </c>
      <c r="B468" s="26" t="s">
        <v>78</v>
      </c>
      <c r="C468" s="26" t="s">
        <v>135</v>
      </c>
      <c r="D468" s="26" t="s">
        <v>67</v>
      </c>
      <c r="E468" s="26" t="s">
        <v>93</v>
      </c>
      <c r="F468" s="28" t="n">
        <v>23</v>
      </c>
      <c r="G468" s="28"/>
      <c r="H468" s="26" t="s">
        <v>86</v>
      </c>
      <c r="I468" s="26"/>
      <c r="J468" s="26"/>
      <c r="K468" s="29" t="str">
        <f aca="false">IF($A468="","",IF(COUNTIFS(tblMoveTypes[Movement],$E468)=0,"Unknown movement type",IF(COUNTIF(tblShipment[Shipment ID],$C468)=0,"Unknown shipment",IF(COUNTIFS(tblShipment[Shipment ID],$C468,tblShipment[Market],$B468)=0,"Market does not match shipment",IF(AND(IFERROR(INDEX(tblMoveTypes[Item?],MATCH($E468,tblMoveTypes[Movement],0)),"?")="Yes",$D468=""),"Item needed",IF(AND(IFERROR(INDEX(tblMoveTypes[Item?],MATCH($E468,tblMoveTypes[Movement],0)),"?")="No",$D468&lt;&gt;""),"Leave Item blank",IF(AND(IFERROR(INDEX(tblMoveTypes[Courier?],MATCH($E468,tblMoveTypes[Movement],0)),"?")="Yes",$H468=""),"Courier needed",IF(AND(IFERROR(INDEX(tblMoveTypes[Courier?],MATCH($E468,tblMoveTypes[Movement],0)),"?")="No",$H468&lt;&gt;""),"Leave Courier blank",IF(AND(IFERROR(INDEX(tblMoveTypes[Orders?],MATCH($E468,tblMoveTypes[Movement],0)),"?")="Yes",$G468=""),"Orders needed",IF(AND(IFERROR(INDEX(tblMoveTypes[Orders?],MATCH($E468,tblMoveTypes[Movement],0)),"?")="No",$G468&lt;&gt;""),"Leave Orders blank",IF(AND(IFERROR(INDEX(tblMoveTypes[Reason?],MATCH($E468,tblMoveTypes[Movement],0)),"?")="Yes",$I468=""),"Reason needed",IF(AND(IFERROR(INDEX(tblMoveTypes[Qty?],MATCH($E468,tblMoveTypes[Movement],0)),"?")="Yes",N($F468)&lt;=0),"Qty needed",IF($A468&lt;_xlfn.MINIFS(tblShipment[Arrival Date],tblShipment[Shipment ID],$C468),"Date before arrival",IF(AND($D468&lt;&gt;"",COUNTIFS(tblShipment[Shipment ID],$C468,tblShipment[Item Code],$D468)=0),"Item not in this shipment",IF(AND($H468&lt;&gt;"",COUNTIFS(tblCouriers[Courier],$H468,tblCouriers[Market],$B468)=0),"Courier not in this market","OK")))))))))))))))</f>
        <v>OK</v>
      </c>
    </row>
    <row r="469" customFormat="false" ht="15" hidden="false" customHeight="false" outlineLevel="0" collapsed="false">
      <c r="A469" s="27" t="n">
        <v>46236</v>
      </c>
      <c r="B469" s="26" t="s">
        <v>78</v>
      </c>
      <c r="C469" s="26" t="s">
        <v>135</v>
      </c>
      <c r="D469" s="26" t="s">
        <v>83</v>
      </c>
      <c r="E469" s="26" t="s">
        <v>93</v>
      </c>
      <c r="F469" s="28" t="n">
        <v>56</v>
      </c>
      <c r="G469" s="28"/>
      <c r="H469" s="26" t="s">
        <v>79</v>
      </c>
      <c r="I469" s="26"/>
      <c r="J469" s="26"/>
      <c r="K469" s="29" t="str">
        <f aca="false">IF($A469="","",IF(COUNTIFS(tblMoveTypes[Movement],$E469)=0,"Unknown movement type",IF(COUNTIF(tblShipment[Shipment ID],$C469)=0,"Unknown shipment",IF(COUNTIFS(tblShipment[Shipment ID],$C469,tblShipment[Market],$B469)=0,"Market does not match shipment",IF(AND(IFERROR(INDEX(tblMoveTypes[Item?],MATCH($E469,tblMoveTypes[Movement],0)),"?")="Yes",$D469=""),"Item needed",IF(AND(IFERROR(INDEX(tblMoveTypes[Item?],MATCH($E469,tblMoveTypes[Movement],0)),"?")="No",$D469&lt;&gt;""),"Leave Item blank",IF(AND(IFERROR(INDEX(tblMoveTypes[Courier?],MATCH($E469,tblMoveTypes[Movement],0)),"?")="Yes",$H469=""),"Courier needed",IF(AND(IFERROR(INDEX(tblMoveTypes[Courier?],MATCH($E469,tblMoveTypes[Movement],0)),"?")="No",$H469&lt;&gt;""),"Leave Courier blank",IF(AND(IFERROR(INDEX(tblMoveTypes[Orders?],MATCH($E469,tblMoveTypes[Movement],0)),"?")="Yes",$G469=""),"Orders needed",IF(AND(IFERROR(INDEX(tblMoveTypes[Orders?],MATCH($E469,tblMoveTypes[Movement],0)),"?")="No",$G469&lt;&gt;""),"Leave Orders blank",IF(AND(IFERROR(INDEX(tblMoveTypes[Reason?],MATCH($E469,tblMoveTypes[Movement],0)),"?")="Yes",$I469=""),"Reason needed",IF(AND(IFERROR(INDEX(tblMoveTypes[Qty?],MATCH($E469,tblMoveTypes[Movement],0)),"?")="Yes",N($F469)&lt;=0),"Qty needed",IF($A469&lt;_xlfn.MINIFS(tblShipment[Arrival Date],tblShipment[Shipment ID],$C469),"Date before arrival",IF(AND($D469&lt;&gt;"",COUNTIFS(tblShipment[Shipment ID],$C469,tblShipment[Item Code],$D469)=0),"Item not in this shipment",IF(AND($H469&lt;&gt;"",COUNTIFS(tblCouriers[Courier],$H469,tblCouriers[Market],$B469)=0),"Courier not in this market","OK")))))))))))))))</f>
        <v>OK</v>
      </c>
    </row>
    <row r="470" customFormat="false" ht="15" hidden="false" customHeight="false" outlineLevel="0" collapsed="false">
      <c r="A470" s="27" t="n">
        <v>46236</v>
      </c>
      <c r="B470" s="26" t="s">
        <v>78</v>
      </c>
      <c r="C470" s="26" t="s">
        <v>135</v>
      </c>
      <c r="D470" s="26" t="s">
        <v>83</v>
      </c>
      <c r="E470" s="26" t="s">
        <v>93</v>
      </c>
      <c r="F470" s="28" t="n">
        <v>37</v>
      </c>
      <c r="G470" s="28"/>
      <c r="H470" s="26" t="s">
        <v>86</v>
      </c>
      <c r="I470" s="26"/>
      <c r="J470" s="26"/>
      <c r="K470" s="29" t="str">
        <f aca="false">IF($A470="","",IF(COUNTIFS(tblMoveTypes[Movement],$E470)=0,"Unknown movement type",IF(COUNTIF(tblShipment[Shipment ID],$C470)=0,"Unknown shipment",IF(COUNTIFS(tblShipment[Shipment ID],$C470,tblShipment[Market],$B470)=0,"Market does not match shipment",IF(AND(IFERROR(INDEX(tblMoveTypes[Item?],MATCH($E470,tblMoveTypes[Movement],0)),"?")="Yes",$D470=""),"Item needed",IF(AND(IFERROR(INDEX(tblMoveTypes[Item?],MATCH($E470,tblMoveTypes[Movement],0)),"?")="No",$D470&lt;&gt;""),"Leave Item blank",IF(AND(IFERROR(INDEX(tblMoveTypes[Courier?],MATCH($E470,tblMoveTypes[Movement],0)),"?")="Yes",$H470=""),"Courier needed",IF(AND(IFERROR(INDEX(tblMoveTypes[Courier?],MATCH($E470,tblMoveTypes[Movement],0)),"?")="No",$H470&lt;&gt;""),"Leave Courier blank",IF(AND(IFERROR(INDEX(tblMoveTypes[Orders?],MATCH($E470,tblMoveTypes[Movement],0)),"?")="Yes",$G470=""),"Orders needed",IF(AND(IFERROR(INDEX(tblMoveTypes[Orders?],MATCH($E470,tblMoveTypes[Movement],0)),"?")="No",$G470&lt;&gt;""),"Leave Orders blank",IF(AND(IFERROR(INDEX(tblMoveTypes[Reason?],MATCH($E470,tblMoveTypes[Movement],0)),"?")="Yes",$I470=""),"Reason needed",IF(AND(IFERROR(INDEX(tblMoveTypes[Qty?],MATCH($E470,tblMoveTypes[Movement],0)),"?")="Yes",N($F470)&lt;=0),"Qty needed",IF($A470&lt;_xlfn.MINIFS(tblShipment[Arrival Date],tblShipment[Shipment ID],$C470),"Date before arrival",IF(AND($D470&lt;&gt;"",COUNTIFS(tblShipment[Shipment ID],$C470,tblShipment[Item Code],$D470)=0),"Item not in this shipment",IF(AND($H470&lt;&gt;"",COUNTIFS(tblCouriers[Courier],$H470,tblCouriers[Market],$B470)=0),"Courier not in this market","OK")))))))))))))))</f>
        <v>OK</v>
      </c>
    </row>
    <row r="471" customFormat="false" ht="15" hidden="false" customHeight="false" outlineLevel="0" collapsed="false">
      <c r="A471" s="27" t="n">
        <v>46236</v>
      </c>
      <c r="B471" s="26" t="s">
        <v>78</v>
      </c>
      <c r="C471" s="26" t="s">
        <v>135</v>
      </c>
      <c r="D471" s="26" t="s">
        <v>94</v>
      </c>
      <c r="E471" s="26" t="s">
        <v>93</v>
      </c>
      <c r="F471" s="28" t="n">
        <v>45</v>
      </c>
      <c r="G471" s="28"/>
      <c r="H471" s="26" t="s">
        <v>79</v>
      </c>
      <c r="I471" s="26"/>
      <c r="J471" s="26"/>
      <c r="K471" s="29" t="str">
        <f aca="false">IF($A471="","",IF(COUNTIFS(tblMoveTypes[Movement],$E471)=0,"Unknown movement type",IF(COUNTIF(tblShipment[Shipment ID],$C471)=0,"Unknown shipment",IF(COUNTIFS(tblShipment[Shipment ID],$C471,tblShipment[Market],$B471)=0,"Market does not match shipment",IF(AND(IFERROR(INDEX(tblMoveTypes[Item?],MATCH($E471,tblMoveTypes[Movement],0)),"?")="Yes",$D471=""),"Item needed",IF(AND(IFERROR(INDEX(tblMoveTypes[Item?],MATCH($E471,tblMoveTypes[Movement],0)),"?")="No",$D471&lt;&gt;""),"Leave Item blank",IF(AND(IFERROR(INDEX(tblMoveTypes[Courier?],MATCH($E471,tblMoveTypes[Movement],0)),"?")="Yes",$H471=""),"Courier needed",IF(AND(IFERROR(INDEX(tblMoveTypes[Courier?],MATCH($E471,tblMoveTypes[Movement],0)),"?")="No",$H471&lt;&gt;""),"Leave Courier blank",IF(AND(IFERROR(INDEX(tblMoveTypes[Orders?],MATCH($E471,tblMoveTypes[Movement],0)),"?")="Yes",$G471=""),"Orders needed",IF(AND(IFERROR(INDEX(tblMoveTypes[Orders?],MATCH($E471,tblMoveTypes[Movement],0)),"?")="No",$G471&lt;&gt;""),"Leave Orders blank",IF(AND(IFERROR(INDEX(tblMoveTypes[Reason?],MATCH($E471,tblMoveTypes[Movement],0)),"?")="Yes",$I471=""),"Reason needed",IF(AND(IFERROR(INDEX(tblMoveTypes[Qty?],MATCH($E471,tblMoveTypes[Movement],0)),"?")="Yes",N($F471)&lt;=0),"Qty needed",IF($A471&lt;_xlfn.MINIFS(tblShipment[Arrival Date],tblShipment[Shipment ID],$C471),"Date before arrival",IF(AND($D471&lt;&gt;"",COUNTIFS(tblShipment[Shipment ID],$C471,tblShipment[Item Code],$D471)=0),"Item not in this shipment",IF(AND($H471&lt;&gt;"",COUNTIFS(tblCouriers[Courier],$H471,tblCouriers[Market],$B471)=0),"Courier not in this market","OK")))))))))))))))</f>
        <v>OK</v>
      </c>
    </row>
    <row r="472" customFormat="false" ht="15" hidden="false" customHeight="false" outlineLevel="0" collapsed="false">
      <c r="A472" s="27" t="n">
        <v>46236</v>
      </c>
      <c r="B472" s="26" t="s">
        <v>78</v>
      </c>
      <c r="C472" s="26" t="s">
        <v>135</v>
      </c>
      <c r="D472" s="26" t="s">
        <v>94</v>
      </c>
      <c r="E472" s="26" t="s">
        <v>93</v>
      </c>
      <c r="F472" s="28" t="n">
        <v>30</v>
      </c>
      <c r="G472" s="28"/>
      <c r="H472" s="26" t="s">
        <v>86</v>
      </c>
      <c r="I472" s="26"/>
      <c r="J472" s="26"/>
      <c r="K472" s="29" t="str">
        <f aca="false">IF($A472="","",IF(COUNTIFS(tblMoveTypes[Movement],$E472)=0,"Unknown movement type",IF(COUNTIF(tblShipment[Shipment ID],$C472)=0,"Unknown shipment",IF(COUNTIFS(tblShipment[Shipment ID],$C472,tblShipment[Market],$B472)=0,"Market does not match shipment",IF(AND(IFERROR(INDEX(tblMoveTypes[Item?],MATCH($E472,tblMoveTypes[Movement],0)),"?")="Yes",$D472=""),"Item needed",IF(AND(IFERROR(INDEX(tblMoveTypes[Item?],MATCH($E472,tblMoveTypes[Movement],0)),"?")="No",$D472&lt;&gt;""),"Leave Item blank",IF(AND(IFERROR(INDEX(tblMoveTypes[Courier?],MATCH($E472,tblMoveTypes[Movement],0)),"?")="Yes",$H472=""),"Courier needed",IF(AND(IFERROR(INDEX(tblMoveTypes[Courier?],MATCH($E472,tblMoveTypes[Movement],0)),"?")="No",$H472&lt;&gt;""),"Leave Courier blank",IF(AND(IFERROR(INDEX(tblMoveTypes[Orders?],MATCH($E472,tblMoveTypes[Movement],0)),"?")="Yes",$G472=""),"Orders needed",IF(AND(IFERROR(INDEX(tblMoveTypes[Orders?],MATCH($E472,tblMoveTypes[Movement],0)),"?")="No",$G472&lt;&gt;""),"Leave Orders blank",IF(AND(IFERROR(INDEX(tblMoveTypes[Reason?],MATCH($E472,tblMoveTypes[Movement],0)),"?")="Yes",$I472=""),"Reason needed",IF(AND(IFERROR(INDEX(tblMoveTypes[Qty?],MATCH($E472,tblMoveTypes[Movement],0)),"?")="Yes",N($F472)&lt;=0),"Qty needed",IF($A472&lt;_xlfn.MINIFS(tblShipment[Arrival Date],tblShipment[Shipment ID],$C472),"Date before arrival",IF(AND($D472&lt;&gt;"",COUNTIFS(tblShipment[Shipment ID],$C472,tblShipment[Item Code],$D472)=0),"Item not in this shipment",IF(AND($H472&lt;&gt;"",COUNTIFS(tblCouriers[Courier],$H472,tblCouriers[Market],$B472)=0),"Courier not in this market","OK")))))))))))))))</f>
        <v>OK</v>
      </c>
    </row>
    <row r="473" customFormat="false" ht="15" hidden="false" customHeight="false" outlineLevel="0" collapsed="false">
      <c r="A473" s="27" t="n">
        <v>46236</v>
      </c>
      <c r="B473" s="26" t="s">
        <v>78</v>
      </c>
      <c r="C473" s="26" t="s">
        <v>135</v>
      </c>
      <c r="D473" s="26" t="s">
        <v>99</v>
      </c>
      <c r="E473" s="26" t="s">
        <v>93</v>
      </c>
      <c r="F473" s="28" t="n">
        <v>35</v>
      </c>
      <c r="G473" s="28"/>
      <c r="H473" s="26" t="s">
        <v>79</v>
      </c>
      <c r="I473" s="26"/>
      <c r="J473" s="26"/>
      <c r="K473" s="29" t="str">
        <f aca="false">IF($A473="","",IF(COUNTIFS(tblMoveTypes[Movement],$E473)=0,"Unknown movement type",IF(COUNTIF(tblShipment[Shipment ID],$C473)=0,"Unknown shipment",IF(COUNTIFS(tblShipment[Shipment ID],$C473,tblShipment[Market],$B473)=0,"Market does not match shipment",IF(AND(IFERROR(INDEX(tblMoveTypes[Item?],MATCH($E473,tblMoveTypes[Movement],0)),"?")="Yes",$D473=""),"Item needed",IF(AND(IFERROR(INDEX(tblMoveTypes[Item?],MATCH($E473,tblMoveTypes[Movement],0)),"?")="No",$D473&lt;&gt;""),"Leave Item blank",IF(AND(IFERROR(INDEX(tblMoveTypes[Courier?],MATCH($E473,tblMoveTypes[Movement],0)),"?")="Yes",$H473=""),"Courier needed",IF(AND(IFERROR(INDEX(tblMoveTypes[Courier?],MATCH($E473,tblMoveTypes[Movement],0)),"?")="No",$H473&lt;&gt;""),"Leave Courier blank",IF(AND(IFERROR(INDEX(tblMoveTypes[Orders?],MATCH($E473,tblMoveTypes[Movement],0)),"?")="Yes",$G473=""),"Orders needed",IF(AND(IFERROR(INDEX(tblMoveTypes[Orders?],MATCH($E473,tblMoveTypes[Movement],0)),"?")="No",$G473&lt;&gt;""),"Leave Orders blank",IF(AND(IFERROR(INDEX(tblMoveTypes[Reason?],MATCH($E473,tblMoveTypes[Movement],0)),"?")="Yes",$I473=""),"Reason needed",IF(AND(IFERROR(INDEX(tblMoveTypes[Qty?],MATCH($E473,tblMoveTypes[Movement],0)),"?")="Yes",N($F473)&lt;=0),"Qty needed",IF($A473&lt;_xlfn.MINIFS(tblShipment[Arrival Date],tblShipment[Shipment ID],$C473),"Date before arrival",IF(AND($D473&lt;&gt;"",COUNTIFS(tblShipment[Shipment ID],$C473,tblShipment[Item Code],$D473)=0),"Item not in this shipment",IF(AND($H473&lt;&gt;"",COUNTIFS(tblCouriers[Courier],$H473,tblCouriers[Market],$B473)=0),"Courier not in this market","OK")))))))))))))))</f>
        <v>OK</v>
      </c>
    </row>
    <row r="474" customFormat="false" ht="15" hidden="false" customHeight="false" outlineLevel="0" collapsed="false">
      <c r="A474" s="27" t="n">
        <v>46236</v>
      </c>
      <c r="B474" s="26" t="s">
        <v>78</v>
      </c>
      <c r="C474" s="26" t="s">
        <v>135</v>
      </c>
      <c r="D474" s="26" t="s">
        <v>99</v>
      </c>
      <c r="E474" s="26" t="s">
        <v>93</v>
      </c>
      <c r="F474" s="28" t="n">
        <v>23</v>
      </c>
      <c r="G474" s="28"/>
      <c r="H474" s="26" t="s">
        <v>86</v>
      </c>
      <c r="I474" s="26"/>
      <c r="J474" s="26"/>
      <c r="K474" s="29" t="str">
        <f aca="false">IF($A474="","",IF(COUNTIFS(tblMoveTypes[Movement],$E474)=0,"Unknown movement type",IF(COUNTIF(tblShipment[Shipment ID],$C474)=0,"Unknown shipment",IF(COUNTIFS(tblShipment[Shipment ID],$C474,tblShipment[Market],$B474)=0,"Market does not match shipment",IF(AND(IFERROR(INDEX(tblMoveTypes[Item?],MATCH($E474,tblMoveTypes[Movement],0)),"?")="Yes",$D474=""),"Item needed",IF(AND(IFERROR(INDEX(tblMoveTypes[Item?],MATCH($E474,tblMoveTypes[Movement],0)),"?")="No",$D474&lt;&gt;""),"Leave Item blank",IF(AND(IFERROR(INDEX(tblMoveTypes[Courier?],MATCH($E474,tblMoveTypes[Movement],0)),"?")="Yes",$H474=""),"Courier needed",IF(AND(IFERROR(INDEX(tblMoveTypes[Courier?],MATCH($E474,tblMoveTypes[Movement],0)),"?")="No",$H474&lt;&gt;""),"Leave Courier blank",IF(AND(IFERROR(INDEX(tblMoveTypes[Orders?],MATCH($E474,tblMoveTypes[Movement],0)),"?")="Yes",$G474=""),"Orders needed",IF(AND(IFERROR(INDEX(tblMoveTypes[Orders?],MATCH($E474,tblMoveTypes[Movement],0)),"?")="No",$G474&lt;&gt;""),"Leave Orders blank",IF(AND(IFERROR(INDEX(tblMoveTypes[Reason?],MATCH($E474,tblMoveTypes[Movement],0)),"?")="Yes",$I474=""),"Reason needed",IF(AND(IFERROR(INDEX(tblMoveTypes[Qty?],MATCH($E474,tblMoveTypes[Movement],0)),"?")="Yes",N($F474)&lt;=0),"Qty needed",IF($A474&lt;_xlfn.MINIFS(tblShipment[Arrival Date],tblShipment[Shipment ID],$C474),"Date before arrival",IF(AND($D474&lt;&gt;"",COUNTIFS(tblShipment[Shipment ID],$C474,tblShipment[Item Code],$D474)=0),"Item not in this shipment",IF(AND($H474&lt;&gt;"",COUNTIFS(tblCouriers[Courier],$H474,tblCouriers[Market],$B474)=0),"Courier not in this market","OK")))))))))))))))</f>
        <v>OK</v>
      </c>
    </row>
    <row r="475" customFormat="false" ht="15" hidden="false" customHeight="false" outlineLevel="0" collapsed="false">
      <c r="A475" s="27" t="n">
        <v>46236</v>
      </c>
      <c r="B475" s="26" t="s">
        <v>78</v>
      </c>
      <c r="C475" s="26" t="s">
        <v>135</v>
      </c>
      <c r="D475" s="26"/>
      <c r="E475" s="26" t="s">
        <v>104</v>
      </c>
      <c r="F475" s="28"/>
      <c r="G475" s="28" t="n">
        <v>29</v>
      </c>
      <c r="H475" s="26" t="s">
        <v>79</v>
      </c>
      <c r="I475" s="26"/>
      <c r="J475" s="26"/>
      <c r="K475" s="29" t="str">
        <f aca="false">IF($A475="","",IF(COUNTIFS(tblMoveTypes[Movement],$E475)=0,"Unknown movement type",IF(COUNTIF(tblShipment[Shipment ID],$C475)=0,"Unknown shipment",IF(COUNTIFS(tblShipment[Shipment ID],$C475,tblShipment[Market],$B475)=0,"Market does not match shipment",IF(AND(IFERROR(INDEX(tblMoveTypes[Item?],MATCH($E475,tblMoveTypes[Movement],0)),"?")="Yes",$D475=""),"Item needed",IF(AND(IFERROR(INDEX(tblMoveTypes[Item?],MATCH($E475,tblMoveTypes[Movement],0)),"?")="No",$D475&lt;&gt;""),"Leave Item blank",IF(AND(IFERROR(INDEX(tblMoveTypes[Courier?],MATCH($E475,tblMoveTypes[Movement],0)),"?")="Yes",$H475=""),"Courier needed",IF(AND(IFERROR(INDEX(tblMoveTypes[Courier?],MATCH($E475,tblMoveTypes[Movement],0)),"?")="No",$H475&lt;&gt;""),"Leave Courier blank",IF(AND(IFERROR(INDEX(tblMoveTypes[Orders?],MATCH($E475,tblMoveTypes[Movement],0)),"?")="Yes",$G475=""),"Orders needed",IF(AND(IFERROR(INDEX(tblMoveTypes[Orders?],MATCH($E475,tblMoveTypes[Movement],0)),"?")="No",$G475&lt;&gt;""),"Leave Orders blank",IF(AND(IFERROR(INDEX(tblMoveTypes[Reason?],MATCH($E475,tblMoveTypes[Movement],0)),"?")="Yes",$I475=""),"Reason needed",IF(AND(IFERROR(INDEX(tblMoveTypes[Qty?],MATCH($E475,tblMoveTypes[Movement],0)),"?")="Yes",N($F475)&lt;=0),"Qty needed",IF($A475&lt;_xlfn.MINIFS(tblShipment[Arrival Date],tblShipment[Shipment ID],$C475),"Date before arrival",IF(AND($D475&lt;&gt;"",COUNTIFS(tblShipment[Shipment ID],$C475,tblShipment[Item Code],$D475)=0),"Item not in this shipment",IF(AND($H475&lt;&gt;"",COUNTIFS(tblCouriers[Courier],$H475,tblCouriers[Market],$B475)=0),"Courier not in this market","OK")))))))))))))))</f>
        <v>OK</v>
      </c>
    </row>
    <row r="476" customFormat="false" ht="15" hidden="false" customHeight="false" outlineLevel="0" collapsed="false">
      <c r="A476" s="27" t="n">
        <v>46236</v>
      </c>
      <c r="B476" s="26" t="s">
        <v>78</v>
      </c>
      <c r="C476" s="26" t="s">
        <v>135</v>
      </c>
      <c r="D476" s="26"/>
      <c r="E476" s="26" t="s">
        <v>106</v>
      </c>
      <c r="F476" s="28" t="n">
        <v>112</v>
      </c>
      <c r="G476" s="28" t="n">
        <v>17</v>
      </c>
      <c r="H476" s="26" t="s">
        <v>79</v>
      </c>
      <c r="I476" s="26"/>
      <c r="J476" s="26"/>
      <c r="K476" s="29" t="str">
        <f aca="false">IF($A476="","",IF(COUNTIFS(tblMoveTypes[Movement],$E476)=0,"Unknown movement type",IF(COUNTIF(tblShipment[Shipment ID],$C476)=0,"Unknown shipment",IF(COUNTIFS(tblShipment[Shipment ID],$C476,tblShipment[Market],$B476)=0,"Market does not match shipment",IF(AND(IFERROR(INDEX(tblMoveTypes[Item?],MATCH($E476,tblMoveTypes[Movement],0)),"?")="Yes",$D476=""),"Item needed",IF(AND(IFERROR(INDEX(tblMoveTypes[Item?],MATCH($E476,tblMoveTypes[Movement],0)),"?")="No",$D476&lt;&gt;""),"Leave Item blank",IF(AND(IFERROR(INDEX(tblMoveTypes[Courier?],MATCH($E476,tblMoveTypes[Movement],0)),"?")="Yes",$H476=""),"Courier needed",IF(AND(IFERROR(INDEX(tblMoveTypes[Courier?],MATCH($E476,tblMoveTypes[Movement],0)),"?")="No",$H476&lt;&gt;""),"Leave Courier blank",IF(AND(IFERROR(INDEX(tblMoveTypes[Orders?],MATCH($E476,tblMoveTypes[Movement],0)),"?")="Yes",$G476=""),"Orders needed",IF(AND(IFERROR(INDEX(tblMoveTypes[Orders?],MATCH($E476,tblMoveTypes[Movement],0)),"?")="No",$G476&lt;&gt;""),"Leave Orders blank",IF(AND(IFERROR(INDEX(tblMoveTypes[Reason?],MATCH($E476,tblMoveTypes[Movement],0)),"?")="Yes",$I476=""),"Reason needed",IF(AND(IFERROR(INDEX(tblMoveTypes[Qty?],MATCH($E476,tblMoveTypes[Movement],0)),"?")="Yes",N($F476)&lt;=0),"Qty needed",IF($A476&lt;_xlfn.MINIFS(tblShipment[Arrival Date],tblShipment[Shipment ID],$C476),"Date before arrival",IF(AND($D476&lt;&gt;"",COUNTIFS(tblShipment[Shipment ID],$C476,tblShipment[Item Code],$D476)=0),"Item not in this shipment",IF(AND($H476&lt;&gt;"",COUNTIFS(tblCouriers[Courier],$H476,tblCouriers[Market],$B476)=0),"Courier not in this market","OK")))))))))))))))</f>
        <v>OK</v>
      </c>
    </row>
    <row r="477" customFormat="false" ht="15" hidden="false" customHeight="false" outlineLevel="0" collapsed="false">
      <c r="A477" s="27" t="n">
        <v>46236</v>
      </c>
      <c r="B477" s="26" t="s">
        <v>78</v>
      </c>
      <c r="C477" s="26" t="s">
        <v>135</v>
      </c>
      <c r="D477" s="26"/>
      <c r="E477" s="26" t="s">
        <v>104</v>
      </c>
      <c r="F477" s="28"/>
      <c r="G477" s="28" t="n">
        <v>19</v>
      </c>
      <c r="H477" s="26" t="s">
        <v>86</v>
      </c>
      <c r="I477" s="26"/>
      <c r="J477" s="26"/>
      <c r="K477" s="29" t="str">
        <f aca="false">IF($A477="","",IF(COUNTIFS(tblMoveTypes[Movement],$E477)=0,"Unknown movement type",IF(COUNTIF(tblShipment[Shipment ID],$C477)=0,"Unknown shipment",IF(COUNTIFS(tblShipment[Shipment ID],$C477,tblShipment[Market],$B477)=0,"Market does not match shipment",IF(AND(IFERROR(INDEX(tblMoveTypes[Item?],MATCH($E477,tblMoveTypes[Movement],0)),"?")="Yes",$D477=""),"Item needed",IF(AND(IFERROR(INDEX(tblMoveTypes[Item?],MATCH($E477,tblMoveTypes[Movement],0)),"?")="No",$D477&lt;&gt;""),"Leave Item blank",IF(AND(IFERROR(INDEX(tblMoveTypes[Courier?],MATCH($E477,tblMoveTypes[Movement],0)),"?")="Yes",$H477=""),"Courier needed",IF(AND(IFERROR(INDEX(tblMoveTypes[Courier?],MATCH($E477,tblMoveTypes[Movement],0)),"?")="No",$H477&lt;&gt;""),"Leave Courier blank",IF(AND(IFERROR(INDEX(tblMoveTypes[Orders?],MATCH($E477,tblMoveTypes[Movement],0)),"?")="Yes",$G477=""),"Orders needed",IF(AND(IFERROR(INDEX(tblMoveTypes[Orders?],MATCH($E477,tblMoveTypes[Movement],0)),"?")="No",$G477&lt;&gt;""),"Leave Orders blank",IF(AND(IFERROR(INDEX(tblMoveTypes[Reason?],MATCH($E477,tblMoveTypes[Movement],0)),"?")="Yes",$I477=""),"Reason needed",IF(AND(IFERROR(INDEX(tblMoveTypes[Qty?],MATCH($E477,tblMoveTypes[Movement],0)),"?")="Yes",N($F477)&lt;=0),"Qty needed",IF($A477&lt;_xlfn.MINIFS(tblShipment[Arrival Date],tblShipment[Shipment ID],$C477),"Date before arrival",IF(AND($D477&lt;&gt;"",COUNTIFS(tblShipment[Shipment ID],$C477,tblShipment[Item Code],$D477)=0),"Item not in this shipment",IF(AND($H477&lt;&gt;"",COUNTIFS(tblCouriers[Courier],$H477,tblCouriers[Market],$B477)=0),"Courier not in this market","OK")))))))))))))))</f>
        <v>OK</v>
      </c>
    </row>
    <row r="478" customFormat="false" ht="15" hidden="false" customHeight="false" outlineLevel="0" collapsed="false">
      <c r="A478" s="27" t="n">
        <v>46236</v>
      </c>
      <c r="B478" s="26" t="s">
        <v>78</v>
      </c>
      <c r="C478" s="26" t="s">
        <v>135</v>
      </c>
      <c r="D478" s="26"/>
      <c r="E478" s="26" t="s">
        <v>106</v>
      </c>
      <c r="F478" s="28" t="n">
        <v>69</v>
      </c>
      <c r="G478" s="28" t="n">
        <v>10</v>
      </c>
      <c r="H478" s="26" t="s">
        <v>86</v>
      </c>
      <c r="I478" s="26"/>
      <c r="J478" s="26"/>
      <c r="K478" s="29" t="str">
        <f aca="false">IF($A478="","",IF(COUNTIFS(tblMoveTypes[Movement],$E478)=0,"Unknown movement type",IF(COUNTIF(tblShipment[Shipment ID],$C478)=0,"Unknown shipment",IF(COUNTIFS(tblShipment[Shipment ID],$C478,tblShipment[Market],$B478)=0,"Market does not match shipment",IF(AND(IFERROR(INDEX(tblMoveTypes[Item?],MATCH($E478,tblMoveTypes[Movement],0)),"?")="Yes",$D478=""),"Item needed",IF(AND(IFERROR(INDEX(tblMoveTypes[Item?],MATCH($E478,tblMoveTypes[Movement],0)),"?")="No",$D478&lt;&gt;""),"Leave Item blank",IF(AND(IFERROR(INDEX(tblMoveTypes[Courier?],MATCH($E478,tblMoveTypes[Movement],0)),"?")="Yes",$H478=""),"Courier needed",IF(AND(IFERROR(INDEX(tblMoveTypes[Courier?],MATCH($E478,tblMoveTypes[Movement],0)),"?")="No",$H478&lt;&gt;""),"Leave Courier blank",IF(AND(IFERROR(INDEX(tblMoveTypes[Orders?],MATCH($E478,tblMoveTypes[Movement],0)),"?")="Yes",$G478=""),"Orders needed",IF(AND(IFERROR(INDEX(tblMoveTypes[Orders?],MATCH($E478,tblMoveTypes[Movement],0)),"?")="No",$G478&lt;&gt;""),"Leave Orders blank",IF(AND(IFERROR(INDEX(tblMoveTypes[Reason?],MATCH($E478,tblMoveTypes[Movement],0)),"?")="Yes",$I478=""),"Reason needed",IF(AND(IFERROR(INDEX(tblMoveTypes[Qty?],MATCH($E478,tblMoveTypes[Movement],0)),"?")="Yes",N($F478)&lt;=0),"Qty needed",IF($A478&lt;_xlfn.MINIFS(tblShipment[Arrival Date],tblShipment[Shipment ID],$C478),"Date before arrival",IF(AND($D478&lt;&gt;"",COUNTIFS(tblShipment[Shipment ID],$C478,tblShipment[Item Code],$D478)=0),"Item not in this shipment",IF(AND($H478&lt;&gt;"",COUNTIFS(tblCouriers[Courier],$H478,tblCouriers[Market],$B478)=0),"Courier not in this market","OK")))))))))))))))</f>
        <v>OK</v>
      </c>
    </row>
    <row r="479" customFormat="false" ht="15" hidden="false" customHeight="false" outlineLevel="0" collapsed="false">
      <c r="A479" s="27" t="n">
        <v>46237</v>
      </c>
      <c r="B479" s="26" t="s">
        <v>70</v>
      </c>
      <c r="C479" s="26" t="s">
        <v>126</v>
      </c>
      <c r="D479" s="26"/>
      <c r="E479" s="26" t="s">
        <v>108</v>
      </c>
      <c r="F479" s="28" t="n">
        <v>7</v>
      </c>
      <c r="G479" s="28" t="n">
        <v>1</v>
      </c>
      <c r="H479" s="26" t="s">
        <v>71</v>
      </c>
      <c r="I479" s="26" t="s">
        <v>111</v>
      </c>
      <c r="J479" s="26"/>
      <c r="K479" s="29" t="str">
        <f aca="false">IF($A479="","",IF(COUNTIFS(tblMoveTypes[Movement],$E479)=0,"Unknown movement type",IF(COUNTIF(tblShipment[Shipment ID],$C479)=0,"Unknown shipment",IF(COUNTIFS(tblShipment[Shipment ID],$C479,tblShipment[Market],$B479)=0,"Market does not match shipment",IF(AND(IFERROR(INDEX(tblMoveTypes[Item?],MATCH($E479,tblMoveTypes[Movement],0)),"?")="Yes",$D479=""),"Item needed",IF(AND(IFERROR(INDEX(tblMoveTypes[Item?],MATCH($E479,tblMoveTypes[Movement],0)),"?")="No",$D479&lt;&gt;""),"Leave Item blank",IF(AND(IFERROR(INDEX(tblMoveTypes[Courier?],MATCH($E479,tblMoveTypes[Movement],0)),"?")="Yes",$H479=""),"Courier needed",IF(AND(IFERROR(INDEX(tblMoveTypes[Courier?],MATCH($E479,tblMoveTypes[Movement],0)),"?")="No",$H479&lt;&gt;""),"Leave Courier blank",IF(AND(IFERROR(INDEX(tblMoveTypes[Orders?],MATCH($E479,tblMoveTypes[Movement],0)),"?")="Yes",$G479=""),"Orders needed",IF(AND(IFERROR(INDEX(tblMoveTypes[Orders?],MATCH($E479,tblMoveTypes[Movement],0)),"?")="No",$G479&lt;&gt;""),"Leave Orders blank",IF(AND(IFERROR(INDEX(tblMoveTypes[Reason?],MATCH($E479,tblMoveTypes[Movement],0)),"?")="Yes",$I479=""),"Reason needed",IF(AND(IFERROR(INDEX(tblMoveTypes[Qty?],MATCH($E479,tblMoveTypes[Movement],0)),"?")="Yes",N($F479)&lt;=0),"Qty needed",IF($A479&lt;_xlfn.MINIFS(tblShipment[Arrival Date],tblShipment[Shipment ID],$C479),"Date before arrival",IF(AND($D479&lt;&gt;"",COUNTIFS(tblShipment[Shipment ID],$C479,tblShipment[Item Code],$D479)=0),"Item not in this shipment",IF(AND($H479&lt;&gt;"",COUNTIFS(tblCouriers[Courier],$H479,tblCouriers[Market],$B479)=0),"Courier not in this market","OK")))))))))))))))</f>
        <v>OK</v>
      </c>
    </row>
    <row r="480" customFormat="false" ht="15" hidden="false" customHeight="false" outlineLevel="0" collapsed="false">
      <c r="A480" s="27" t="n">
        <v>46237</v>
      </c>
      <c r="B480" s="26" t="s">
        <v>70</v>
      </c>
      <c r="C480" s="26" t="s">
        <v>126</v>
      </c>
      <c r="D480" s="26" t="s">
        <v>94</v>
      </c>
      <c r="E480" s="26" t="s">
        <v>110</v>
      </c>
      <c r="F480" s="28" t="n">
        <v>5</v>
      </c>
      <c r="G480" s="28"/>
      <c r="H480" s="26"/>
      <c r="I480" s="26"/>
      <c r="J480" s="26"/>
      <c r="K480" s="29" t="str">
        <f aca="false">IF($A480="","",IF(COUNTIFS(tblMoveTypes[Movement],$E480)=0,"Unknown movement type",IF(COUNTIF(tblShipment[Shipment ID],$C480)=0,"Unknown shipment",IF(COUNTIFS(tblShipment[Shipment ID],$C480,tblShipment[Market],$B480)=0,"Market does not match shipment",IF(AND(IFERROR(INDEX(tblMoveTypes[Item?],MATCH($E480,tblMoveTypes[Movement],0)),"?")="Yes",$D480=""),"Item needed",IF(AND(IFERROR(INDEX(tblMoveTypes[Item?],MATCH($E480,tblMoveTypes[Movement],0)),"?")="No",$D480&lt;&gt;""),"Leave Item blank",IF(AND(IFERROR(INDEX(tblMoveTypes[Courier?],MATCH($E480,tblMoveTypes[Movement],0)),"?")="Yes",$H480=""),"Courier needed",IF(AND(IFERROR(INDEX(tblMoveTypes[Courier?],MATCH($E480,tblMoveTypes[Movement],0)),"?")="No",$H480&lt;&gt;""),"Leave Courier blank",IF(AND(IFERROR(INDEX(tblMoveTypes[Orders?],MATCH($E480,tblMoveTypes[Movement],0)),"?")="Yes",$G480=""),"Orders needed",IF(AND(IFERROR(INDEX(tblMoveTypes[Orders?],MATCH($E480,tblMoveTypes[Movement],0)),"?")="No",$G480&lt;&gt;""),"Leave Orders blank",IF(AND(IFERROR(INDEX(tblMoveTypes[Reason?],MATCH($E480,tblMoveTypes[Movement],0)),"?")="Yes",$I480=""),"Reason needed",IF(AND(IFERROR(INDEX(tblMoveTypes[Qty?],MATCH($E480,tblMoveTypes[Movement],0)),"?")="Yes",N($F480)&lt;=0),"Qty needed",IF($A480&lt;_xlfn.MINIFS(tblShipment[Arrival Date],tblShipment[Shipment ID],$C480),"Date before arrival",IF(AND($D480&lt;&gt;"",COUNTIFS(tblShipment[Shipment ID],$C480,tblShipment[Item Code],$D480)=0),"Item not in this shipment",IF(AND($H480&lt;&gt;"",COUNTIFS(tblCouriers[Courier],$H480,tblCouriers[Market],$B480)=0),"Courier not in this market","OK")))))))))))))))</f>
        <v>OK</v>
      </c>
    </row>
    <row r="481" customFormat="false" ht="15" hidden="false" customHeight="false" outlineLevel="0" collapsed="false">
      <c r="A481" s="27" t="n">
        <v>46237</v>
      </c>
      <c r="B481" s="26" t="s">
        <v>70</v>
      </c>
      <c r="C481" s="26" t="s">
        <v>126</v>
      </c>
      <c r="D481" s="26" t="s">
        <v>94</v>
      </c>
      <c r="E481" s="26" t="s">
        <v>112</v>
      </c>
      <c r="F481" s="28" t="n">
        <v>2</v>
      </c>
      <c r="G481" s="28"/>
      <c r="H481" s="26"/>
      <c r="I481" s="26" t="s">
        <v>80</v>
      </c>
      <c r="J481" s="26"/>
      <c r="K481" s="29" t="str">
        <f aca="false">IF($A481="","",IF(COUNTIFS(tblMoveTypes[Movement],$E481)=0,"Unknown movement type",IF(COUNTIF(tblShipment[Shipment ID],$C481)=0,"Unknown shipment",IF(COUNTIFS(tblShipment[Shipment ID],$C481,tblShipment[Market],$B481)=0,"Market does not match shipment",IF(AND(IFERROR(INDEX(tblMoveTypes[Item?],MATCH($E481,tblMoveTypes[Movement],0)),"?")="Yes",$D481=""),"Item needed",IF(AND(IFERROR(INDEX(tblMoveTypes[Item?],MATCH($E481,tblMoveTypes[Movement],0)),"?")="No",$D481&lt;&gt;""),"Leave Item blank",IF(AND(IFERROR(INDEX(tblMoveTypes[Courier?],MATCH($E481,tblMoveTypes[Movement],0)),"?")="Yes",$H481=""),"Courier needed",IF(AND(IFERROR(INDEX(tblMoveTypes[Courier?],MATCH($E481,tblMoveTypes[Movement],0)),"?")="No",$H481&lt;&gt;""),"Leave Courier blank",IF(AND(IFERROR(INDEX(tblMoveTypes[Orders?],MATCH($E481,tblMoveTypes[Movement],0)),"?")="Yes",$G481=""),"Orders needed",IF(AND(IFERROR(INDEX(tblMoveTypes[Orders?],MATCH($E481,tblMoveTypes[Movement],0)),"?")="No",$G481&lt;&gt;""),"Leave Orders blank",IF(AND(IFERROR(INDEX(tblMoveTypes[Reason?],MATCH($E481,tblMoveTypes[Movement],0)),"?")="Yes",$I481=""),"Reason needed",IF(AND(IFERROR(INDEX(tblMoveTypes[Qty?],MATCH($E481,tblMoveTypes[Movement],0)),"?")="Yes",N($F481)&lt;=0),"Qty needed",IF($A481&lt;_xlfn.MINIFS(tblShipment[Arrival Date],tblShipment[Shipment ID],$C481),"Date before arrival",IF(AND($D481&lt;&gt;"",COUNTIFS(tblShipment[Shipment ID],$C481,tblShipment[Item Code],$D481)=0),"Item not in this shipment",IF(AND($H481&lt;&gt;"",COUNTIFS(tblCouriers[Courier],$H481,tblCouriers[Market],$B481)=0),"Courier not in this market","OK")))))))))))))))</f>
        <v>OK</v>
      </c>
    </row>
    <row r="482" customFormat="false" ht="15" hidden="false" customHeight="false" outlineLevel="0" collapsed="false">
      <c r="A482" s="27" t="n">
        <v>46237</v>
      </c>
      <c r="B482" s="26" t="s">
        <v>70</v>
      </c>
      <c r="C482" s="26" t="s">
        <v>127</v>
      </c>
      <c r="D482" s="26" t="s">
        <v>99</v>
      </c>
      <c r="E482" s="26" t="s">
        <v>74</v>
      </c>
      <c r="F482" s="28" t="n">
        <v>80</v>
      </c>
      <c r="G482" s="28"/>
      <c r="H482" s="26"/>
      <c r="I482" s="26"/>
      <c r="J482" s="26"/>
      <c r="K482" s="29" t="str">
        <f aca="false">IF($A482="","",IF(COUNTIFS(tblMoveTypes[Movement],$E482)=0,"Unknown movement type",IF(COUNTIF(tblShipment[Shipment ID],$C482)=0,"Unknown shipment",IF(COUNTIFS(tblShipment[Shipment ID],$C482,tblShipment[Market],$B482)=0,"Market does not match shipment",IF(AND(IFERROR(INDEX(tblMoveTypes[Item?],MATCH($E482,tblMoveTypes[Movement],0)),"?")="Yes",$D482=""),"Item needed",IF(AND(IFERROR(INDEX(tblMoveTypes[Item?],MATCH($E482,tblMoveTypes[Movement],0)),"?")="No",$D482&lt;&gt;""),"Leave Item blank",IF(AND(IFERROR(INDEX(tblMoveTypes[Courier?],MATCH($E482,tblMoveTypes[Movement],0)),"?")="Yes",$H482=""),"Courier needed",IF(AND(IFERROR(INDEX(tblMoveTypes[Courier?],MATCH($E482,tblMoveTypes[Movement],0)),"?")="No",$H482&lt;&gt;""),"Leave Courier blank",IF(AND(IFERROR(INDEX(tblMoveTypes[Orders?],MATCH($E482,tblMoveTypes[Movement],0)),"?")="Yes",$G482=""),"Orders needed",IF(AND(IFERROR(INDEX(tblMoveTypes[Orders?],MATCH($E482,tblMoveTypes[Movement],0)),"?")="No",$G482&lt;&gt;""),"Leave Orders blank",IF(AND(IFERROR(INDEX(tblMoveTypes[Reason?],MATCH($E482,tblMoveTypes[Movement],0)),"?")="Yes",$I482=""),"Reason needed",IF(AND(IFERROR(INDEX(tblMoveTypes[Qty?],MATCH($E482,tblMoveTypes[Movement],0)),"?")="Yes",N($F482)&lt;=0),"Qty needed",IF($A482&lt;_xlfn.MINIFS(tblShipment[Arrival Date],tblShipment[Shipment ID],$C482),"Date before arrival",IF(AND($D482&lt;&gt;"",COUNTIFS(tblShipment[Shipment ID],$C482,tblShipment[Item Code],$D482)=0),"Item not in this shipment",IF(AND($H482&lt;&gt;"",COUNTIFS(tblCouriers[Courier],$H482,tblCouriers[Market],$B482)=0),"Courier not in this market","OK")))))))))))))))</f>
        <v>OK</v>
      </c>
    </row>
    <row r="483" customFormat="false" ht="15" hidden="false" customHeight="false" outlineLevel="0" collapsed="false">
      <c r="A483" s="27" t="n">
        <v>46237</v>
      </c>
      <c r="B483" s="26" t="s">
        <v>70</v>
      </c>
      <c r="C483" s="26" t="s">
        <v>127</v>
      </c>
      <c r="D483" s="26" t="s">
        <v>88</v>
      </c>
      <c r="E483" s="26" t="s">
        <v>74</v>
      </c>
      <c r="F483" s="28" t="n">
        <v>50</v>
      </c>
      <c r="G483" s="28"/>
      <c r="H483" s="26"/>
      <c r="I483" s="26"/>
      <c r="J483" s="26"/>
      <c r="K483" s="29" t="str">
        <f aca="false">IF($A483="","",IF(COUNTIFS(tblMoveTypes[Movement],$E483)=0,"Unknown movement type",IF(COUNTIF(tblShipment[Shipment ID],$C483)=0,"Unknown shipment",IF(COUNTIFS(tblShipment[Shipment ID],$C483,tblShipment[Market],$B483)=0,"Market does not match shipment",IF(AND(IFERROR(INDEX(tblMoveTypes[Item?],MATCH($E483,tblMoveTypes[Movement],0)),"?")="Yes",$D483=""),"Item needed",IF(AND(IFERROR(INDEX(tblMoveTypes[Item?],MATCH($E483,tblMoveTypes[Movement],0)),"?")="No",$D483&lt;&gt;""),"Leave Item blank",IF(AND(IFERROR(INDEX(tblMoveTypes[Courier?],MATCH($E483,tblMoveTypes[Movement],0)),"?")="Yes",$H483=""),"Courier needed",IF(AND(IFERROR(INDEX(tblMoveTypes[Courier?],MATCH($E483,tblMoveTypes[Movement],0)),"?")="No",$H483&lt;&gt;""),"Leave Courier blank",IF(AND(IFERROR(INDEX(tblMoveTypes[Orders?],MATCH($E483,tblMoveTypes[Movement],0)),"?")="Yes",$G483=""),"Orders needed",IF(AND(IFERROR(INDEX(tblMoveTypes[Orders?],MATCH($E483,tblMoveTypes[Movement],0)),"?")="No",$G483&lt;&gt;""),"Leave Orders blank",IF(AND(IFERROR(INDEX(tblMoveTypes[Reason?],MATCH($E483,tblMoveTypes[Movement],0)),"?")="Yes",$I483=""),"Reason needed",IF(AND(IFERROR(INDEX(tblMoveTypes[Qty?],MATCH($E483,tblMoveTypes[Movement],0)),"?")="Yes",N($F483)&lt;=0),"Qty needed",IF($A483&lt;_xlfn.MINIFS(tblShipment[Arrival Date],tblShipment[Shipment ID],$C483),"Date before arrival",IF(AND($D483&lt;&gt;"",COUNTIFS(tblShipment[Shipment ID],$C483,tblShipment[Item Code],$D483)=0),"Item not in this shipment",IF(AND($H483&lt;&gt;"",COUNTIFS(tblCouriers[Courier],$H483,tblCouriers[Market],$B483)=0),"Courier not in this market","OK")))))))))))))))</f>
        <v>OK</v>
      </c>
    </row>
    <row r="484" customFormat="false" ht="15" hidden="false" customHeight="false" outlineLevel="0" collapsed="false">
      <c r="A484" s="27" t="n">
        <v>46237</v>
      </c>
      <c r="B484" s="26" t="s">
        <v>70</v>
      </c>
      <c r="C484" s="26" t="s">
        <v>127</v>
      </c>
      <c r="D484" s="26" t="s">
        <v>83</v>
      </c>
      <c r="E484" s="26" t="s">
        <v>74</v>
      </c>
      <c r="F484" s="28" t="n">
        <v>50</v>
      </c>
      <c r="G484" s="28"/>
      <c r="H484" s="26"/>
      <c r="I484" s="26"/>
      <c r="J484" s="26"/>
      <c r="K484" s="29" t="str">
        <f aca="false">IF($A484="","",IF(COUNTIFS(tblMoveTypes[Movement],$E484)=0,"Unknown movement type",IF(COUNTIF(tblShipment[Shipment ID],$C484)=0,"Unknown shipment",IF(COUNTIFS(tblShipment[Shipment ID],$C484,tblShipment[Market],$B484)=0,"Market does not match shipment",IF(AND(IFERROR(INDEX(tblMoveTypes[Item?],MATCH($E484,tblMoveTypes[Movement],0)),"?")="Yes",$D484=""),"Item needed",IF(AND(IFERROR(INDEX(tblMoveTypes[Item?],MATCH($E484,tblMoveTypes[Movement],0)),"?")="No",$D484&lt;&gt;""),"Leave Item blank",IF(AND(IFERROR(INDEX(tblMoveTypes[Courier?],MATCH($E484,tblMoveTypes[Movement],0)),"?")="Yes",$H484=""),"Courier needed",IF(AND(IFERROR(INDEX(tblMoveTypes[Courier?],MATCH($E484,tblMoveTypes[Movement],0)),"?")="No",$H484&lt;&gt;""),"Leave Courier blank",IF(AND(IFERROR(INDEX(tblMoveTypes[Orders?],MATCH($E484,tblMoveTypes[Movement],0)),"?")="Yes",$G484=""),"Orders needed",IF(AND(IFERROR(INDEX(tblMoveTypes[Orders?],MATCH($E484,tblMoveTypes[Movement],0)),"?")="No",$G484&lt;&gt;""),"Leave Orders blank",IF(AND(IFERROR(INDEX(tblMoveTypes[Reason?],MATCH($E484,tblMoveTypes[Movement],0)),"?")="Yes",$I484=""),"Reason needed",IF(AND(IFERROR(INDEX(tblMoveTypes[Qty?],MATCH($E484,tblMoveTypes[Movement],0)),"?")="Yes",N($F484)&lt;=0),"Qty needed",IF($A484&lt;_xlfn.MINIFS(tblShipment[Arrival Date],tblShipment[Shipment ID],$C484),"Date before arrival",IF(AND($D484&lt;&gt;"",COUNTIFS(tblShipment[Shipment ID],$C484,tblShipment[Item Code],$D484)=0),"Item not in this shipment",IF(AND($H484&lt;&gt;"",COUNTIFS(tblCouriers[Courier],$H484,tblCouriers[Market],$B484)=0),"Courier not in this market","OK")))))))))))))))</f>
        <v>OK</v>
      </c>
    </row>
    <row r="485" customFormat="false" ht="15" hidden="false" customHeight="false" outlineLevel="0" collapsed="false">
      <c r="A485" s="27" t="n">
        <v>46237</v>
      </c>
      <c r="B485" s="26" t="s">
        <v>70</v>
      </c>
      <c r="C485" s="26" t="s">
        <v>127</v>
      </c>
      <c r="D485" s="26" t="s">
        <v>94</v>
      </c>
      <c r="E485" s="26" t="s">
        <v>74</v>
      </c>
      <c r="F485" s="28" t="n">
        <v>40</v>
      </c>
      <c r="G485" s="28"/>
      <c r="H485" s="26"/>
      <c r="I485" s="26"/>
      <c r="J485" s="26"/>
      <c r="K485" s="29" t="str">
        <f aca="false">IF($A485="","",IF(COUNTIFS(tblMoveTypes[Movement],$E485)=0,"Unknown movement type",IF(COUNTIF(tblShipment[Shipment ID],$C485)=0,"Unknown shipment",IF(COUNTIFS(tblShipment[Shipment ID],$C485,tblShipment[Market],$B485)=0,"Market does not match shipment",IF(AND(IFERROR(INDEX(tblMoveTypes[Item?],MATCH($E485,tblMoveTypes[Movement],0)),"?")="Yes",$D485=""),"Item needed",IF(AND(IFERROR(INDEX(tblMoveTypes[Item?],MATCH($E485,tblMoveTypes[Movement],0)),"?")="No",$D485&lt;&gt;""),"Leave Item blank",IF(AND(IFERROR(INDEX(tblMoveTypes[Courier?],MATCH($E485,tblMoveTypes[Movement],0)),"?")="Yes",$H485=""),"Courier needed",IF(AND(IFERROR(INDEX(tblMoveTypes[Courier?],MATCH($E485,tblMoveTypes[Movement],0)),"?")="No",$H485&lt;&gt;""),"Leave Courier blank",IF(AND(IFERROR(INDEX(tblMoveTypes[Orders?],MATCH($E485,tblMoveTypes[Movement],0)),"?")="Yes",$G485=""),"Orders needed",IF(AND(IFERROR(INDEX(tblMoveTypes[Orders?],MATCH($E485,tblMoveTypes[Movement],0)),"?")="No",$G485&lt;&gt;""),"Leave Orders blank",IF(AND(IFERROR(INDEX(tblMoveTypes[Reason?],MATCH($E485,tblMoveTypes[Movement],0)),"?")="Yes",$I485=""),"Reason needed",IF(AND(IFERROR(INDEX(tblMoveTypes[Qty?],MATCH($E485,tblMoveTypes[Movement],0)),"?")="Yes",N($F485)&lt;=0),"Qty needed",IF($A485&lt;_xlfn.MINIFS(tblShipment[Arrival Date],tblShipment[Shipment ID],$C485),"Date before arrival",IF(AND($D485&lt;&gt;"",COUNTIFS(tblShipment[Shipment ID],$C485,tblShipment[Item Code],$D485)=0),"Item not in this shipment",IF(AND($H485&lt;&gt;"",COUNTIFS(tblCouriers[Courier],$H485,tblCouriers[Market],$B485)=0),"Courier not in this market","OK")))))))))))))))</f>
        <v>OK</v>
      </c>
    </row>
    <row r="486" customFormat="false" ht="15" hidden="false" customHeight="false" outlineLevel="0" collapsed="false">
      <c r="A486" s="27" t="n">
        <v>46237</v>
      </c>
      <c r="B486" s="26" t="s">
        <v>70</v>
      </c>
      <c r="C486" s="26" t="s">
        <v>127</v>
      </c>
      <c r="D486" s="26"/>
      <c r="E486" s="26" t="s">
        <v>98</v>
      </c>
      <c r="F486" s="28"/>
      <c r="G486" s="28" t="n">
        <v>31</v>
      </c>
      <c r="H486" s="26"/>
      <c r="I486" s="26"/>
      <c r="J486" s="26"/>
      <c r="K486" s="29" t="str">
        <f aca="false">IF($A486="","",IF(COUNTIFS(tblMoveTypes[Movement],$E486)=0,"Unknown movement type",IF(COUNTIF(tblShipment[Shipment ID],$C486)=0,"Unknown shipment",IF(COUNTIFS(tblShipment[Shipment ID],$C486,tblShipment[Market],$B486)=0,"Market does not match shipment",IF(AND(IFERROR(INDEX(tblMoveTypes[Item?],MATCH($E486,tblMoveTypes[Movement],0)),"?")="Yes",$D486=""),"Item needed",IF(AND(IFERROR(INDEX(tblMoveTypes[Item?],MATCH($E486,tblMoveTypes[Movement],0)),"?")="No",$D486&lt;&gt;""),"Leave Item blank",IF(AND(IFERROR(INDEX(tblMoveTypes[Courier?],MATCH($E486,tblMoveTypes[Movement],0)),"?")="Yes",$H486=""),"Courier needed",IF(AND(IFERROR(INDEX(tblMoveTypes[Courier?],MATCH($E486,tblMoveTypes[Movement],0)),"?")="No",$H486&lt;&gt;""),"Leave Courier blank",IF(AND(IFERROR(INDEX(tblMoveTypes[Orders?],MATCH($E486,tblMoveTypes[Movement],0)),"?")="Yes",$G486=""),"Orders needed",IF(AND(IFERROR(INDEX(tblMoveTypes[Orders?],MATCH($E486,tblMoveTypes[Movement],0)),"?")="No",$G486&lt;&gt;""),"Leave Orders blank",IF(AND(IFERROR(INDEX(tblMoveTypes[Reason?],MATCH($E486,tblMoveTypes[Movement],0)),"?")="Yes",$I486=""),"Reason needed",IF(AND(IFERROR(INDEX(tblMoveTypes[Qty?],MATCH($E486,tblMoveTypes[Movement],0)),"?")="Yes",N($F486)&lt;=0),"Qty needed",IF($A486&lt;_xlfn.MINIFS(tblShipment[Arrival Date],tblShipment[Shipment ID],$C486),"Date before arrival",IF(AND($D486&lt;&gt;"",COUNTIFS(tblShipment[Shipment ID],$C486,tblShipment[Item Code],$D486)=0),"Item not in this shipment",IF(AND($H486&lt;&gt;"",COUNTIFS(tblCouriers[Courier],$H486,tblCouriers[Market],$B486)=0),"Courier not in this market","OK")))))))))))))))</f>
        <v>OK</v>
      </c>
    </row>
    <row r="487" customFormat="false" ht="15" hidden="false" customHeight="false" outlineLevel="0" collapsed="false">
      <c r="A487" s="27" t="n">
        <v>46237</v>
      </c>
      <c r="B487" s="26" t="s">
        <v>70</v>
      </c>
      <c r="C487" s="26" t="s">
        <v>127</v>
      </c>
      <c r="D487" s="26" t="s">
        <v>99</v>
      </c>
      <c r="E487" s="26" t="s">
        <v>73</v>
      </c>
      <c r="F487" s="28" t="n">
        <v>4</v>
      </c>
      <c r="G487" s="28"/>
      <c r="H487" s="26"/>
      <c r="I487" s="26" t="s">
        <v>72</v>
      </c>
      <c r="J487" s="26"/>
      <c r="K487" s="29" t="str">
        <f aca="false">IF($A487="","",IF(COUNTIFS(tblMoveTypes[Movement],$E487)=0,"Unknown movement type",IF(COUNTIF(tblShipment[Shipment ID],$C487)=0,"Unknown shipment",IF(COUNTIFS(tblShipment[Shipment ID],$C487,tblShipment[Market],$B487)=0,"Market does not match shipment",IF(AND(IFERROR(INDEX(tblMoveTypes[Item?],MATCH($E487,tblMoveTypes[Movement],0)),"?")="Yes",$D487=""),"Item needed",IF(AND(IFERROR(INDEX(tblMoveTypes[Item?],MATCH($E487,tblMoveTypes[Movement],0)),"?")="No",$D487&lt;&gt;""),"Leave Item blank",IF(AND(IFERROR(INDEX(tblMoveTypes[Courier?],MATCH($E487,tblMoveTypes[Movement],0)),"?")="Yes",$H487=""),"Courier needed",IF(AND(IFERROR(INDEX(tblMoveTypes[Courier?],MATCH($E487,tblMoveTypes[Movement],0)),"?")="No",$H487&lt;&gt;""),"Leave Courier blank",IF(AND(IFERROR(INDEX(tblMoveTypes[Orders?],MATCH($E487,tblMoveTypes[Movement],0)),"?")="Yes",$G487=""),"Orders needed",IF(AND(IFERROR(INDEX(tblMoveTypes[Orders?],MATCH($E487,tblMoveTypes[Movement],0)),"?")="No",$G487&lt;&gt;""),"Leave Orders blank",IF(AND(IFERROR(INDEX(tblMoveTypes[Reason?],MATCH($E487,tblMoveTypes[Movement],0)),"?")="Yes",$I487=""),"Reason needed",IF(AND(IFERROR(INDEX(tblMoveTypes[Qty?],MATCH($E487,tblMoveTypes[Movement],0)),"?")="Yes",N($F487)&lt;=0),"Qty needed",IF($A487&lt;_xlfn.MINIFS(tblShipment[Arrival Date],tblShipment[Shipment ID],$C487),"Date before arrival",IF(AND($D487&lt;&gt;"",COUNTIFS(tblShipment[Shipment ID],$C487,tblShipment[Item Code],$D487)=0),"Item not in this shipment",IF(AND($H487&lt;&gt;"",COUNTIFS(tblCouriers[Courier],$H487,tblCouriers[Market],$B487)=0),"Courier not in this market","OK")))))))))))))))</f>
        <v>OK</v>
      </c>
    </row>
    <row r="488" customFormat="false" ht="15" hidden="false" customHeight="false" outlineLevel="0" collapsed="false">
      <c r="A488" s="27" t="n">
        <v>46237</v>
      </c>
      <c r="B488" s="26" t="s">
        <v>70</v>
      </c>
      <c r="C488" s="26" t="s">
        <v>127</v>
      </c>
      <c r="D488" s="26" t="s">
        <v>88</v>
      </c>
      <c r="E488" s="26" t="s">
        <v>73</v>
      </c>
      <c r="F488" s="28" t="n">
        <v>2</v>
      </c>
      <c r="G488" s="28"/>
      <c r="H488" s="26"/>
      <c r="I488" s="26" t="s">
        <v>80</v>
      </c>
      <c r="J488" s="26"/>
      <c r="K488" s="29" t="str">
        <f aca="false">IF($A488="","",IF(COUNTIFS(tblMoveTypes[Movement],$E488)=0,"Unknown movement type",IF(COUNTIF(tblShipment[Shipment ID],$C488)=0,"Unknown shipment",IF(COUNTIFS(tblShipment[Shipment ID],$C488,tblShipment[Market],$B488)=0,"Market does not match shipment",IF(AND(IFERROR(INDEX(tblMoveTypes[Item?],MATCH($E488,tblMoveTypes[Movement],0)),"?")="Yes",$D488=""),"Item needed",IF(AND(IFERROR(INDEX(tblMoveTypes[Item?],MATCH($E488,tblMoveTypes[Movement],0)),"?")="No",$D488&lt;&gt;""),"Leave Item blank",IF(AND(IFERROR(INDEX(tblMoveTypes[Courier?],MATCH($E488,tblMoveTypes[Movement],0)),"?")="Yes",$H488=""),"Courier needed",IF(AND(IFERROR(INDEX(tblMoveTypes[Courier?],MATCH($E488,tblMoveTypes[Movement],0)),"?")="No",$H488&lt;&gt;""),"Leave Courier blank",IF(AND(IFERROR(INDEX(tblMoveTypes[Orders?],MATCH($E488,tblMoveTypes[Movement],0)),"?")="Yes",$G488=""),"Orders needed",IF(AND(IFERROR(INDEX(tblMoveTypes[Orders?],MATCH($E488,tblMoveTypes[Movement],0)),"?")="No",$G488&lt;&gt;""),"Leave Orders blank",IF(AND(IFERROR(INDEX(tblMoveTypes[Reason?],MATCH($E488,tblMoveTypes[Movement],0)),"?")="Yes",$I488=""),"Reason needed",IF(AND(IFERROR(INDEX(tblMoveTypes[Qty?],MATCH($E488,tblMoveTypes[Movement],0)),"?")="Yes",N($F488)&lt;=0),"Qty needed",IF($A488&lt;_xlfn.MINIFS(tblShipment[Arrival Date],tblShipment[Shipment ID],$C488),"Date before arrival",IF(AND($D488&lt;&gt;"",COUNTIFS(tblShipment[Shipment ID],$C488,tblShipment[Item Code],$D488)=0),"Item not in this shipment",IF(AND($H488&lt;&gt;"",COUNTIFS(tblCouriers[Courier],$H488,tblCouriers[Market],$B488)=0),"Courier not in this market","OK")))))))))))))))</f>
        <v>OK</v>
      </c>
    </row>
    <row r="489" customFormat="false" ht="15" hidden="false" customHeight="false" outlineLevel="0" collapsed="false">
      <c r="A489" s="27" t="n">
        <v>46237</v>
      </c>
      <c r="B489" s="26" t="s">
        <v>70</v>
      </c>
      <c r="C489" s="26" t="s">
        <v>127</v>
      </c>
      <c r="D489" s="26" t="s">
        <v>83</v>
      </c>
      <c r="E489" s="26" t="s">
        <v>73</v>
      </c>
      <c r="F489" s="28" t="n">
        <v>2</v>
      </c>
      <c r="G489" s="28"/>
      <c r="H489" s="26"/>
      <c r="I489" s="26" t="s">
        <v>72</v>
      </c>
      <c r="J489" s="26"/>
      <c r="K489" s="29" t="str">
        <f aca="false">IF($A489="","",IF(COUNTIFS(tblMoveTypes[Movement],$E489)=0,"Unknown movement type",IF(COUNTIF(tblShipment[Shipment ID],$C489)=0,"Unknown shipment",IF(COUNTIFS(tblShipment[Shipment ID],$C489,tblShipment[Market],$B489)=0,"Market does not match shipment",IF(AND(IFERROR(INDEX(tblMoveTypes[Item?],MATCH($E489,tblMoveTypes[Movement],0)),"?")="Yes",$D489=""),"Item needed",IF(AND(IFERROR(INDEX(tblMoveTypes[Item?],MATCH($E489,tblMoveTypes[Movement],0)),"?")="No",$D489&lt;&gt;""),"Leave Item blank",IF(AND(IFERROR(INDEX(tblMoveTypes[Courier?],MATCH($E489,tblMoveTypes[Movement],0)),"?")="Yes",$H489=""),"Courier needed",IF(AND(IFERROR(INDEX(tblMoveTypes[Courier?],MATCH($E489,tblMoveTypes[Movement],0)),"?")="No",$H489&lt;&gt;""),"Leave Courier blank",IF(AND(IFERROR(INDEX(tblMoveTypes[Orders?],MATCH($E489,tblMoveTypes[Movement],0)),"?")="Yes",$G489=""),"Orders needed",IF(AND(IFERROR(INDEX(tblMoveTypes[Orders?],MATCH($E489,tblMoveTypes[Movement],0)),"?")="No",$G489&lt;&gt;""),"Leave Orders blank",IF(AND(IFERROR(INDEX(tblMoveTypes[Reason?],MATCH($E489,tblMoveTypes[Movement],0)),"?")="Yes",$I489=""),"Reason needed",IF(AND(IFERROR(INDEX(tblMoveTypes[Qty?],MATCH($E489,tblMoveTypes[Movement],0)),"?")="Yes",N($F489)&lt;=0),"Qty needed",IF($A489&lt;_xlfn.MINIFS(tblShipment[Arrival Date],tblShipment[Shipment ID],$C489),"Date before arrival",IF(AND($D489&lt;&gt;"",COUNTIFS(tblShipment[Shipment ID],$C489,tblShipment[Item Code],$D489)=0),"Item not in this shipment",IF(AND($H489&lt;&gt;"",COUNTIFS(tblCouriers[Courier],$H489,tblCouriers[Market],$B489)=0),"Courier not in this market","OK")))))))))))))))</f>
        <v>OK</v>
      </c>
    </row>
    <row r="490" customFormat="false" ht="15" hidden="false" customHeight="false" outlineLevel="0" collapsed="false">
      <c r="A490" s="27" t="n">
        <v>46237</v>
      </c>
      <c r="B490" s="26" t="s">
        <v>70</v>
      </c>
      <c r="C490" s="26" t="s">
        <v>127</v>
      </c>
      <c r="D490" s="26" t="s">
        <v>94</v>
      </c>
      <c r="E490" s="26" t="s">
        <v>73</v>
      </c>
      <c r="F490" s="28" t="n">
        <v>2</v>
      </c>
      <c r="G490" s="28"/>
      <c r="H490" s="26"/>
      <c r="I490" s="26" t="s">
        <v>72</v>
      </c>
      <c r="J490" s="26"/>
      <c r="K490" s="29" t="str">
        <f aca="false">IF($A490="","",IF(COUNTIFS(tblMoveTypes[Movement],$E490)=0,"Unknown movement type",IF(COUNTIF(tblShipment[Shipment ID],$C490)=0,"Unknown shipment",IF(COUNTIFS(tblShipment[Shipment ID],$C490,tblShipment[Market],$B490)=0,"Market does not match shipment",IF(AND(IFERROR(INDEX(tblMoveTypes[Item?],MATCH($E490,tblMoveTypes[Movement],0)),"?")="Yes",$D490=""),"Item needed",IF(AND(IFERROR(INDEX(tblMoveTypes[Item?],MATCH($E490,tblMoveTypes[Movement],0)),"?")="No",$D490&lt;&gt;""),"Leave Item blank",IF(AND(IFERROR(INDEX(tblMoveTypes[Courier?],MATCH($E490,tblMoveTypes[Movement],0)),"?")="Yes",$H490=""),"Courier needed",IF(AND(IFERROR(INDEX(tblMoveTypes[Courier?],MATCH($E490,tblMoveTypes[Movement],0)),"?")="No",$H490&lt;&gt;""),"Leave Courier blank",IF(AND(IFERROR(INDEX(tblMoveTypes[Orders?],MATCH($E490,tblMoveTypes[Movement],0)),"?")="Yes",$G490=""),"Orders needed",IF(AND(IFERROR(INDEX(tblMoveTypes[Orders?],MATCH($E490,tblMoveTypes[Movement],0)),"?")="No",$G490&lt;&gt;""),"Leave Orders blank",IF(AND(IFERROR(INDEX(tblMoveTypes[Reason?],MATCH($E490,tblMoveTypes[Movement],0)),"?")="Yes",$I490=""),"Reason needed",IF(AND(IFERROR(INDEX(tblMoveTypes[Qty?],MATCH($E490,tblMoveTypes[Movement],0)),"?")="Yes",N($F490)&lt;=0),"Qty needed",IF($A490&lt;_xlfn.MINIFS(tblShipment[Arrival Date],tblShipment[Shipment ID],$C490),"Date before arrival",IF(AND($D490&lt;&gt;"",COUNTIFS(tblShipment[Shipment ID],$C490,tblShipment[Item Code],$D490)=0),"Item not in this shipment",IF(AND($H490&lt;&gt;"",COUNTIFS(tblCouriers[Courier],$H490,tblCouriers[Market],$B490)=0),"Courier not in this market","OK")))))))))))))))</f>
        <v>OK</v>
      </c>
    </row>
    <row r="491" customFormat="false" ht="15" hidden="false" customHeight="false" outlineLevel="0" collapsed="false">
      <c r="A491" s="27" t="n">
        <v>46237</v>
      </c>
      <c r="B491" s="26" t="s">
        <v>70</v>
      </c>
      <c r="C491" s="26" t="s">
        <v>127</v>
      </c>
      <c r="D491" s="26" t="s">
        <v>99</v>
      </c>
      <c r="E491" s="26" t="s">
        <v>93</v>
      </c>
      <c r="F491" s="28" t="n">
        <v>76</v>
      </c>
      <c r="G491" s="28"/>
      <c r="H491" s="26" t="s">
        <v>71</v>
      </c>
      <c r="I491" s="26"/>
      <c r="J491" s="26"/>
      <c r="K491" s="29" t="str">
        <f aca="false">IF($A491="","",IF(COUNTIFS(tblMoveTypes[Movement],$E491)=0,"Unknown movement type",IF(COUNTIF(tblShipment[Shipment ID],$C491)=0,"Unknown shipment",IF(COUNTIFS(tblShipment[Shipment ID],$C491,tblShipment[Market],$B491)=0,"Market does not match shipment",IF(AND(IFERROR(INDEX(tblMoveTypes[Item?],MATCH($E491,tblMoveTypes[Movement],0)),"?")="Yes",$D491=""),"Item needed",IF(AND(IFERROR(INDEX(tblMoveTypes[Item?],MATCH($E491,tblMoveTypes[Movement],0)),"?")="No",$D491&lt;&gt;""),"Leave Item blank",IF(AND(IFERROR(INDEX(tblMoveTypes[Courier?],MATCH($E491,tblMoveTypes[Movement],0)),"?")="Yes",$H491=""),"Courier needed",IF(AND(IFERROR(INDEX(tblMoveTypes[Courier?],MATCH($E491,tblMoveTypes[Movement],0)),"?")="No",$H491&lt;&gt;""),"Leave Courier blank",IF(AND(IFERROR(INDEX(tblMoveTypes[Orders?],MATCH($E491,tblMoveTypes[Movement],0)),"?")="Yes",$G491=""),"Orders needed",IF(AND(IFERROR(INDEX(tblMoveTypes[Orders?],MATCH($E491,tblMoveTypes[Movement],0)),"?")="No",$G491&lt;&gt;""),"Leave Orders blank",IF(AND(IFERROR(INDEX(tblMoveTypes[Reason?],MATCH($E491,tblMoveTypes[Movement],0)),"?")="Yes",$I491=""),"Reason needed",IF(AND(IFERROR(INDEX(tblMoveTypes[Qty?],MATCH($E491,tblMoveTypes[Movement],0)),"?")="Yes",N($F491)&lt;=0),"Qty needed",IF($A491&lt;_xlfn.MINIFS(tblShipment[Arrival Date],tblShipment[Shipment ID],$C491),"Date before arrival",IF(AND($D491&lt;&gt;"",COUNTIFS(tblShipment[Shipment ID],$C491,tblShipment[Item Code],$D491)=0),"Item not in this shipment",IF(AND($H491&lt;&gt;"",COUNTIFS(tblCouriers[Courier],$H491,tblCouriers[Market],$B491)=0),"Courier not in this market","OK")))))))))))))))</f>
        <v>OK</v>
      </c>
    </row>
    <row r="492" customFormat="false" ht="15" hidden="false" customHeight="false" outlineLevel="0" collapsed="false">
      <c r="A492" s="27" t="n">
        <v>46237</v>
      </c>
      <c r="B492" s="26" t="s">
        <v>70</v>
      </c>
      <c r="C492" s="26" t="s">
        <v>127</v>
      </c>
      <c r="D492" s="26" t="s">
        <v>88</v>
      </c>
      <c r="E492" s="26" t="s">
        <v>93</v>
      </c>
      <c r="F492" s="28" t="n">
        <v>48</v>
      </c>
      <c r="G492" s="28"/>
      <c r="H492" s="26" t="s">
        <v>71</v>
      </c>
      <c r="I492" s="26"/>
      <c r="J492" s="26"/>
      <c r="K492" s="29" t="str">
        <f aca="false">IF($A492="","",IF(COUNTIFS(tblMoveTypes[Movement],$E492)=0,"Unknown movement type",IF(COUNTIF(tblShipment[Shipment ID],$C492)=0,"Unknown shipment",IF(COUNTIFS(tblShipment[Shipment ID],$C492,tblShipment[Market],$B492)=0,"Market does not match shipment",IF(AND(IFERROR(INDEX(tblMoveTypes[Item?],MATCH($E492,tblMoveTypes[Movement],0)),"?")="Yes",$D492=""),"Item needed",IF(AND(IFERROR(INDEX(tblMoveTypes[Item?],MATCH($E492,tblMoveTypes[Movement],0)),"?")="No",$D492&lt;&gt;""),"Leave Item blank",IF(AND(IFERROR(INDEX(tblMoveTypes[Courier?],MATCH($E492,tblMoveTypes[Movement],0)),"?")="Yes",$H492=""),"Courier needed",IF(AND(IFERROR(INDEX(tblMoveTypes[Courier?],MATCH($E492,tblMoveTypes[Movement],0)),"?")="No",$H492&lt;&gt;""),"Leave Courier blank",IF(AND(IFERROR(INDEX(tblMoveTypes[Orders?],MATCH($E492,tblMoveTypes[Movement],0)),"?")="Yes",$G492=""),"Orders needed",IF(AND(IFERROR(INDEX(tblMoveTypes[Orders?],MATCH($E492,tblMoveTypes[Movement],0)),"?")="No",$G492&lt;&gt;""),"Leave Orders blank",IF(AND(IFERROR(INDEX(tblMoveTypes[Reason?],MATCH($E492,tblMoveTypes[Movement],0)),"?")="Yes",$I492=""),"Reason needed",IF(AND(IFERROR(INDEX(tblMoveTypes[Qty?],MATCH($E492,tblMoveTypes[Movement],0)),"?")="Yes",N($F492)&lt;=0),"Qty needed",IF($A492&lt;_xlfn.MINIFS(tblShipment[Arrival Date],tblShipment[Shipment ID],$C492),"Date before arrival",IF(AND($D492&lt;&gt;"",COUNTIFS(tblShipment[Shipment ID],$C492,tblShipment[Item Code],$D492)=0),"Item not in this shipment",IF(AND($H492&lt;&gt;"",COUNTIFS(tblCouriers[Courier],$H492,tblCouriers[Market],$B492)=0),"Courier not in this market","OK")))))))))))))))</f>
        <v>OK</v>
      </c>
    </row>
    <row r="493" customFormat="false" ht="15" hidden="false" customHeight="false" outlineLevel="0" collapsed="false">
      <c r="A493" s="27" t="n">
        <v>46237</v>
      </c>
      <c r="B493" s="26" t="s">
        <v>70</v>
      </c>
      <c r="C493" s="26" t="s">
        <v>127</v>
      </c>
      <c r="D493" s="26" t="s">
        <v>83</v>
      </c>
      <c r="E493" s="26" t="s">
        <v>93</v>
      </c>
      <c r="F493" s="28" t="n">
        <v>48</v>
      </c>
      <c r="G493" s="28"/>
      <c r="H493" s="26" t="s">
        <v>71</v>
      </c>
      <c r="I493" s="26"/>
      <c r="J493" s="26"/>
      <c r="K493" s="29" t="str">
        <f aca="false">IF($A493="","",IF(COUNTIFS(tblMoveTypes[Movement],$E493)=0,"Unknown movement type",IF(COUNTIF(tblShipment[Shipment ID],$C493)=0,"Unknown shipment",IF(COUNTIFS(tblShipment[Shipment ID],$C493,tblShipment[Market],$B493)=0,"Market does not match shipment",IF(AND(IFERROR(INDEX(tblMoveTypes[Item?],MATCH($E493,tblMoveTypes[Movement],0)),"?")="Yes",$D493=""),"Item needed",IF(AND(IFERROR(INDEX(tblMoveTypes[Item?],MATCH($E493,tblMoveTypes[Movement],0)),"?")="No",$D493&lt;&gt;""),"Leave Item blank",IF(AND(IFERROR(INDEX(tblMoveTypes[Courier?],MATCH($E493,tblMoveTypes[Movement],0)),"?")="Yes",$H493=""),"Courier needed",IF(AND(IFERROR(INDEX(tblMoveTypes[Courier?],MATCH($E493,tblMoveTypes[Movement],0)),"?")="No",$H493&lt;&gt;""),"Leave Courier blank",IF(AND(IFERROR(INDEX(tblMoveTypes[Orders?],MATCH($E493,tblMoveTypes[Movement],0)),"?")="Yes",$G493=""),"Orders needed",IF(AND(IFERROR(INDEX(tblMoveTypes[Orders?],MATCH($E493,tblMoveTypes[Movement],0)),"?")="No",$G493&lt;&gt;""),"Leave Orders blank",IF(AND(IFERROR(INDEX(tblMoveTypes[Reason?],MATCH($E493,tblMoveTypes[Movement],0)),"?")="Yes",$I493=""),"Reason needed",IF(AND(IFERROR(INDEX(tblMoveTypes[Qty?],MATCH($E493,tblMoveTypes[Movement],0)),"?")="Yes",N($F493)&lt;=0),"Qty needed",IF($A493&lt;_xlfn.MINIFS(tblShipment[Arrival Date],tblShipment[Shipment ID],$C493),"Date before arrival",IF(AND($D493&lt;&gt;"",COUNTIFS(tblShipment[Shipment ID],$C493,tblShipment[Item Code],$D493)=0),"Item not in this shipment",IF(AND($H493&lt;&gt;"",COUNTIFS(tblCouriers[Courier],$H493,tblCouriers[Market],$B493)=0),"Courier not in this market","OK")))))))))))))))</f>
        <v>OK</v>
      </c>
    </row>
    <row r="494" customFormat="false" ht="15" hidden="false" customHeight="false" outlineLevel="0" collapsed="false">
      <c r="A494" s="27" t="n">
        <v>46237</v>
      </c>
      <c r="B494" s="26" t="s">
        <v>70</v>
      </c>
      <c r="C494" s="26" t="s">
        <v>127</v>
      </c>
      <c r="D494" s="26" t="s">
        <v>94</v>
      </c>
      <c r="E494" s="26" t="s">
        <v>93</v>
      </c>
      <c r="F494" s="28" t="n">
        <v>38</v>
      </c>
      <c r="G494" s="28"/>
      <c r="H494" s="26" t="s">
        <v>71</v>
      </c>
      <c r="I494" s="26"/>
      <c r="J494" s="26"/>
      <c r="K494" s="29" t="str">
        <f aca="false">IF($A494="","",IF(COUNTIFS(tblMoveTypes[Movement],$E494)=0,"Unknown movement type",IF(COUNTIF(tblShipment[Shipment ID],$C494)=0,"Unknown shipment",IF(COUNTIFS(tblShipment[Shipment ID],$C494,tblShipment[Market],$B494)=0,"Market does not match shipment",IF(AND(IFERROR(INDEX(tblMoveTypes[Item?],MATCH($E494,tblMoveTypes[Movement],0)),"?")="Yes",$D494=""),"Item needed",IF(AND(IFERROR(INDEX(tblMoveTypes[Item?],MATCH($E494,tblMoveTypes[Movement],0)),"?")="No",$D494&lt;&gt;""),"Leave Item blank",IF(AND(IFERROR(INDEX(tblMoveTypes[Courier?],MATCH($E494,tblMoveTypes[Movement],0)),"?")="Yes",$H494=""),"Courier needed",IF(AND(IFERROR(INDEX(tblMoveTypes[Courier?],MATCH($E494,tblMoveTypes[Movement],0)),"?")="No",$H494&lt;&gt;""),"Leave Courier blank",IF(AND(IFERROR(INDEX(tblMoveTypes[Orders?],MATCH($E494,tblMoveTypes[Movement],0)),"?")="Yes",$G494=""),"Orders needed",IF(AND(IFERROR(INDEX(tblMoveTypes[Orders?],MATCH($E494,tblMoveTypes[Movement],0)),"?")="No",$G494&lt;&gt;""),"Leave Orders blank",IF(AND(IFERROR(INDEX(tblMoveTypes[Reason?],MATCH($E494,tblMoveTypes[Movement],0)),"?")="Yes",$I494=""),"Reason needed",IF(AND(IFERROR(INDEX(tblMoveTypes[Qty?],MATCH($E494,tblMoveTypes[Movement],0)),"?")="Yes",N($F494)&lt;=0),"Qty needed",IF($A494&lt;_xlfn.MINIFS(tblShipment[Arrival Date],tblShipment[Shipment ID],$C494),"Date before arrival",IF(AND($D494&lt;&gt;"",COUNTIFS(tblShipment[Shipment ID],$C494,tblShipment[Item Code],$D494)=0),"Item not in this shipment",IF(AND($H494&lt;&gt;"",COUNTIFS(tblCouriers[Courier],$H494,tblCouriers[Market],$B494)=0),"Courier not in this market","OK")))))))))))))))</f>
        <v>OK</v>
      </c>
    </row>
    <row r="495" customFormat="false" ht="15" hidden="false" customHeight="false" outlineLevel="0" collapsed="false">
      <c r="A495" s="27" t="n">
        <v>46237</v>
      </c>
      <c r="B495" s="26" t="s">
        <v>70</v>
      </c>
      <c r="C495" s="26" t="s">
        <v>127</v>
      </c>
      <c r="D495" s="26"/>
      <c r="E495" s="26" t="s">
        <v>104</v>
      </c>
      <c r="F495" s="28"/>
      <c r="G495" s="28" t="n">
        <v>31</v>
      </c>
      <c r="H495" s="26" t="s">
        <v>71</v>
      </c>
      <c r="I495" s="26"/>
      <c r="J495" s="26"/>
      <c r="K495" s="29" t="str">
        <f aca="false">IF($A495="","",IF(COUNTIFS(tblMoveTypes[Movement],$E495)=0,"Unknown movement type",IF(COUNTIF(tblShipment[Shipment ID],$C495)=0,"Unknown shipment",IF(COUNTIFS(tblShipment[Shipment ID],$C495,tblShipment[Market],$B495)=0,"Market does not match shipment",IF(AND(IFERROR(INDEX(tblMoveTypes[Item?],MATCH($E495,tblMoveTypes[Movement],0)),"?")="Yes",$D495=""),"Item needed",IF(AND(IFERROR(INDEX(tblMoveTypes[Item?],MATCH($E495,tblMoveTypes[Movement],0)),"?")="No",$D495&lt;&gt;""),"Leave Item blank",IF(AND(IFERROR(INDEX(tblMoveTypes[Courier?],MATCH($E495,tblMoveTypes[Movement],0)),"?")="Yes",$H495=""),"Courier needed",IF(AND(IFERROR(INDEX(tblMoveTypes[Courier?],MATCH($E495,tblMoveTypes[Movement],0)),"?")="No",$H495&lt;&gt;""),"Leave Courier blank",IF(AND(IFERROR(INDEX(tblMoveTypes[Orders?],MATCH($E495,tblMoveTypes[Movement],0)),"?")="Yes",$G495=""),"Orders needed",IF(AND(IFERROR(INDEX(tblMoveTypes[Orders?],MATCH($E495,tblMoveTypes[Movement],0)),"?")="No",$G495&lt;&gt;""),"Leave Orders blank",IF(AND(IFERROR(INDEX(tblMoveTypes[Reason?],MATCH($E495,tblMoveTypes[Movement],0)),"?")="Yes",$I495=""),"Reason needed",IF(AND(IFERROR(INDEX(tblMoveTypes[Qty?],MATCH($E495,tblMoveTypes[Movement],0)),"?")="Yes",N($F495)&lt;=0),"Qty needed",IF($A495&lt;_xlfn.MINIFS(tblShipment[Arrival Date],tblShipment[Shipment ID],$C495),"Date before arrival",IF(AND($D495&lt;&gt;"",COUNTIFS(tblShipment[Shipment ID],$C495,tblShipment[Item Code],$D495)=0),"Item not in this shipment",IF(AND($H495&lt;&gt;"",COUNTIFS(tblCouriers[Courier],$H495,tblCouriers[Market],$B495)=0),"Courier not in this market","OK")))))))))))))))</f>
        <v>OK</v>
      </c>
    </row>
    <row r="496" customFormat="false" ht="15" hidden="false" customHeight="false" outlineLevel="0" collapsed="false">
      <c r="A496" s="27" t="n">
        <v>46237</v>
      </c>
      <c r="B496" s="26" t="s">
        <v>70</v>
      </c>
      <c r="C496" s="26" t="s">
        <v>127</v>
      </c>
      <c r="D496" s="26"/>
      <c r="E496" s="26" t="s">
        <v>106</v>
      </c>
      <c r="F496" s="28" t="n">
        <v>106</v>
      </c>
      <c r="G496" s="28" t="n">
        <v>16</v>
      </c>
      <c r="H496" s="26" t="s">
        <v>71</v>
      </c>
      <c r="I496" s="26"/>
      <c r="J496" s="26"/>
      <c r="K496" s="29" t="str">
        <f aca="false">IF($A496="","",IF(COUNTIFS(tblMoveTypes[Movement],$E496)=0,"Unknown movement type",IF(COUNTIF(tblShipment[Shipment ID],$C496)=0,"Unknown shipment",IF(COUNTIFS(tblShipment[Shipment ID],$C496,tblShipment[Market],$B496)=0,"Market does not match shipment",IF(AND(IFERROR(INDEX(tblMoveTypes[Item?],MATCH($E496,tblMoveTypes[Movement],0)),"?")="Yes",$D496=""),"Item needed",IF(AND(IFERROR(INDEX(tblMoveTypes[Item?],MATCH($E496,tblMoveTypes[Movement],0)),"?")="No",$D496&lt;&gt;""),"Leave Item blank",IF(AND(IFERROR(INDEX(tblMoveTypes[Courier?],MATCH($E496,tblMoveTypes[Movement],0)),"?")="Yes",$H496=""),"Courier needed",IF(AND(IFERROR(INDEX(tblMoveTypes[Courier?],MATCH($E496,tblMoveTypes[Movement],0)),"?")="No",$H496&lt;&gt;""),"Leave Courier blank",IF(AND(IFERROR(INDEX(tblMoveTypes[Orders?],MATCH($E496,tblMoveTypes[Movement],0)),"?")="Yes",$G496=""),"Orders needed",IF(AND(IFERROR(INDEX(tblMoveTypes[Orders?],MATCH($E496,tblMoveTypes[Movement],0)),"?")="No",$G496&lt;&gt;""),"Leave Orders blank",IF(AND(IFERROR(INDEX(tblMoveTypes[Reason?],MATCH($E496,tblMoveTypes[Movement],0)),"?")="Yes",$I496=""),"Reason needed",IF(AND(IFERROR(INDEX(tblMoveTypes[Qty?],MATCH($E496,tblMoveTypes[Movement],0)),"?")="Yes",N($F496)&lt;=0),"Qty needed",IF($A496&lt;_xlfn.MINIFS(tblShipment[Arrival Date],tblShipment[Shipment ID],$C496),"Date before arrival",IF(AND($D496&lt;&gt;"",COUNTIFS(tblShipment[Shipment ID],$C496,tblShipment[Item Code],$D496)=0),"Item not in this shipment",IF(AND($H496&lt;&gt;"",COUNTIFS(tblCouriers[Courier],$H496,tblCouriers[Market],$B496)=0),"Courier not in this market","OK")))))))))))))))</f>
        <v>OK</v>
      </c>
    </row>
    <row r="497" customFormat="false" ht="15" hidden="false" customHeight="false" outlineLevel="0" collapsed="false">
      <c r="A497" s="27" t="n">
        <v>46237</v>
      </c>
      <c r="B497" s="26" t="s">
        <v>85</v>
      </c>
      <c r="C497" s="26" t="s">
        <v>142</v>
      </c>
      <c r="D497" s="26"/>
      <c r="E497" s="26" t="s">
        <v>106</v>
      </c>
      <c r="F497" s="28" t="n">
        <v>46</v>
      </c>
      <c r="G497" s="28" t="n">
        <v>7</v>
      </c>
      <c r="H497" s="26" t="s">
        <v>91</v>
      </c>
      <c r="I497" s="26"/>
      <c r="J497" s="26"/>
      <c r="K497" s="29" t="str">
        <f aca="false">IF($A497="","",IF(COUNTIFS(tblMoveTypes[Movement],$E497)=0,"Unknown movement type",IF(COUNTIF(tblShipment[Shipment ID],$C497)=0,"Unknown shipment",IF(COUNTIFS(tblShipment[Shipment ID],$C497,tblShipment[Market],$B497)=0,"Market does not match shipment",IF(AND(IFERROR(INDEX(tblMoveTypes[Item?],MATCH($E497,tblMoveTypes[Movement],0)),"?")="Yes",$D497=""),"Item needed",IF(AND(IFERROR(INDEX(tblMoveTypes[Item?],MATCH($E497,tblMoveTypes[Movement],0)),"?")="No",$D497&lt;&gt;""),"Leave Item blank",IF(AND(IFERROR(INDEX(tblMoveTypes[Courier?],MATCH($E497,tblMoveTypes[Movement],0)),"?")="Yes",$H497=""),"Courier needed",IF(AND(IFERROR(INDEX(tblMoveTypes[Courier?],MATCH($E497,tblMoveTypes[Movement],0)),"?")="No",$H497&lt;&gt;""),"Leave Courier blank",IF(AND(IFERROR(INDEX(tblMoveTypes[Orders?],MATCH($E497,tblMoveTypes[Movement],0)),"?")="Yes",$G497=""),"Orders needed",IF(AND(IFERROR(INDEX(tblMoveTypes[Orders?],MATCH($E497,tblMoveTypes[Movement],0)),"?")="No",$G497&lt;&gt;""),"Leave Orders blank",IF(AND(IFERROR(INDEX(tblMoveTypes[Reason?],MATCH($E497,tblMoveTypes[Movement],0)),"?")="Yes",$I497=""),"Reason needed",IF(AND(IFERROR(INDEX(tblMoveTypes[Qty?],MATCH($E497,tblMoveTypes[Movement],0)),"?")="Yes",N($F497)&lt;=0),"Qty needed",IF($A497&lt;_xlfn.MINIFS(tblShipment[Arrival Date],tblShipment[Shipment ID],$C497),"Date before arrival",IF(AND($D497&lt;&gt;"",COUNTIFS(tblShipment[Shipment ID],$C497,tblShipment[Item Code],$D497)=0),"Item not in this shipment",IF(AND($H497&lt;&gt;"",COUNTIFS(tblCouriers[Courier],$H497,tblCouriers[Market],$B497)=0),"Courier not in this market","OK")))))))))))))))</f>
        <v>OK</v>
      </c>
    </row>
    <row r="498" customFormat="false" ht="15" hidden="false" customHeight="false" outlineLevel="0" collapsed="false">
      <c r="A498" s="27" t="n">
        <v>46237</v>
      </c>
      <c r="B498" s="26" t="s">
        <v>85</v>
      </c>
      <c r="C498" s="26" t="s">
        <v>142</v>
      </c>
      <c r="D498" s="26" t="s">
        <v>88</v>
      </c>
      <c r="E498" s="26" t="s">
        <v>93</v>
      </c>
      <c r="F498" s="28" t="n">
        <v>10</v>
      </c>
      <c r="G498" s="28"/>
      <c r="H498" s="26" t="s">
        <v>91</v>
      </c>
      <c r="I498" s="26"/>
      <c r="J498" s="26"/>
      <c r="K498" s="29" t="str">
        <f aca="false">IF($A498="","",IF(COUNTIFS(tblMoveTypes[Movement],$E498)=0,"Unknown movement type",IF(COUNTIF(tblShipment[Shipment ID],$C498)=0,"Unknown shipment",IF(COUNTIFS(tblShipment[Shipment ID],$C498,tblShipment[Market],$B498)=0,"Market does not match shipment",IF(AND(IFERROR(INDEX(tblMoveTypes[Item?],MATCH($E498,tblMoveTypes[Movement],0)),"?")="Yes",$D498=""),"Item needed",IF(AND(IFERROR(INDEX(tblMoveTypes[Item?],MATCH($E498,tblMoveTypes[Movement],0)),"?")="No",$D498&lt;&gt;""),"Leave Item blank",IF(AND(IFERROR(INDEX(tblMoveTypes[Courier?],MATCH($E498,tblMoveTypes[Movement],0)),"?")="Yes",$H498=""),"Courier needed",IF(AND(IFERROR(INDEX(tblMoveTypes[Courier?],MATCH($E498,tblMoveTypes[Movement],0)),"?")="No",$H498&lt;&gt;""),"Leave Courier blank",IF(AND(IFERROR(INDEX(tblMoveTypes[Orders?],MATCH($E498,tblMoveTypes[Movement],0)),"?")="Yes",$G498=""),"Orders needed",IF(AND(IFERROR(INDEX(tblMoveTypes[Orders?],MATCH($E498,tblMoveTypes[Movement],0)),"?")="No",$G498&lt;&gt;""),"Leave Orders blank",IF(AND(IFERROR(INDEX(tblMoveTypes[Reason?],MATCH($E498,tblMoveTypes[Movement],0)),"?")="Yes",$I498=""),"Reason needed",IF(AND(IFERROR(INDEX(tblMoveTypes[Qty?],MATCH($E498,tblMoveTypes[Movement],0)),"?")="Yes",N($F498)&lt;=0),"Qty needed",IF($A498&lt;_xlfn.MINIFS(tblShipment[Arrival Date],tblShipment[Shipment ID],$C498),"Date before arrival",IF(AND($D498&lt;&gt;"",COUNTIFS(tblShipment[Shipment ID],$C498,tblShipment[Item Code],$D498)=0),"Item not in this shipment",IF(AND($H498&lt;&gt;"",COUNTIFS(tblCouriers[Courier],$H498,tblCouriers[Market],$B498)=0),"Courier not in this market","OK")))))))))))))))</f>
        <v>OK</v>
      </c>
    </row>
    <row r="499" customFormat="false" ht="15" hidden="false" customHeight="false" outlineLevel="0" collapsed="false">
      <c r="A499" s="27" t="n">
        <v>46237</v>
      </c>
      <c r="B499" s="26" t="s">
        <v>85</v>
      </c>
      <c r="C499" s="26" t="s">
        <v>142</v>
      </c>
      <c r="D499" s="26"/>
      <c r="E499" s="26" t="s">
        <v>104</v>
      </c>
      <c r="F499" s="28"/>
      <c r="G499" s="28" t="n">
        <v>1</v>
      </c>
      <c r="H499" s="26" t="s">
        <v>91</v>
      </c>
      <c r="I499" s="26"/>
      <c r="J499" s="26"/>
      <c r="K499" s="29" t="str">
        <f aca="false">IF($A499="","",IF(COUNTIFS(tblMoveTypes[Movement],$E499)=0,"Unknown movement type",IF(COUNTIF(tblShipment[Shipment ID],$C499)=0,"Unknown shipment",IF(COUNTIFS(tblShipment[Shipment ID],$C499,tblShipment[Market],$B499)=0,"Market does not match shipment",IF(AND(IFERROR(INDEX(tblMoveTypes[Item?],MATCH($E499,tblMoveTypes[Movement],0)),"?")="Yes",$D499=""),"Item needed",IF(AND(IFERROR(INDEX(tblMoveTypes[Item?],MATCH($E499,tblMoveTypes[Movement],0)),"?")="No",$D499&lt;&gt;""),"Leave Item blank",IF(AND(IFERROR(INDEX(tblMoveTypes[Courier?],MATCH($E499,tblMoveTypes[Movement],0)),"?")="Yes",$H499=""),"Courier needed",IF(AND(IFERROR(INDEX(tblMoveTypes[Courier?],MATCH($E499,tblMoveTypes[Movement],0)),"?")="No",$H499&lt;&gt;""),"Leave Courier blank",IF(AND(IFERROR(INDEX(tblMoveTypes[Orders?],MATCH($E499,tblMoveTypes[Movement],0)),"?")="Yes",$G499=""),"Orders needed",IF(AND(IFERROR(INDEX(tblMoveTypes[Orders?],MATCH($E499,tblMoveTypes[Movement],0)),"?")="No",$G499&lt;&gt;""),"Leave Orders blank",IF(AND(IFERROR(INDEX(tblMoveTypes[Reason?],MATCH($E499,tblMoveTypes[Movement],0)),"?")="Yes",$I499=""),"Reason needed",IF(AND(IFERROR(INDEX(tblMoveTypes[Qty?],MATCH($E499,tblMoveTypes[Movement],0)),"?")="Yes",N($F499)&lt;=0),"Qty needed",IF($A499&lt;_xlfn.MINIFS(tblShipment[Arrival Date],tblShipment[Shipment ID],$C499),"Date before arrival",IF(AND($D499&lt;&gt;"",COUNTIFS(tblShipment[Shipment ID],$C499,tblShipment[Item Code],$D499)=0),"Item not in this shipment",IF(AND($H499&lt;&gt;"",COUNTIFS(tblCouriers[Courier],$H499,tblCouriers[Market],$B499)=0),"Courier not in this market","OK")))))))))))))))</f>
        <v>OK</v>
      </c>
    </row>
    <row r="500" customFormat="false" ht="15" hidden="false" customHeight="false" outlineLevel="0" collapsed="false">
      <c r="A500" s="27" t="n">
        <v>46237</v>
      </c>
      <c r="B500" s="26" t="s">
        <v>85</v>
      </c>
      <c r="C500" s="26" t="s">
        <v>143</v>
      </c>
      <c r="D500" s="26"/>
      <c r="E500" s="26" t="s">
        <v>106</v>
      </c>
      <c r="F500" s="28" t="n">
        <v>80</v>
      </c>
      <c r="G500" s="28" t="n">
        <v>12</v>
      </c>
      <c r="H500" s="26" t="s">
        <v>91</v>
      </c>
      <c r="I500" s="26"/>
      <c r="J500" s="26"/>
      <c r="K500" s="29" t="str">
        <f aca="false">IF($A500="","",IF(COUNTIFS(tblMoveTypes[Movement],$E500)=0,"Unknown movement type",IF(COUNTIF(tblShipment[Shipment ID],$C500)=0,"Unknown shipment",IF(COUNTIFS(tblShipment[Shipment ID],$C500,tblShipment[Market],$B500)=0,"Market does not match shipment",IF(AND(IFERROR(INDEX(tblMoveTypes[Item?],MATCH($E500,tblMoveTypes[Movement],0)),"?")="Yes",$D500=""),"Item needed",IF(AND(IFERROR(INDEX(tblMoveTypes[Item?],MATCH($E500,tblMoveTypes[Movement],0)),"?")="No",$D500&lt;&gt;""),"Leave Item blank",IF(AND(IFERROR(INDEX(tblMoveTypes[Courier?],MATCH($E500,tblMoveTypes[Movement],0)),"?")="Yes",$H500=""),"Courier needed",IF(AND(IFERROR(INDEX(tblMoveTypes[Courier?],MATCH($E500,tblMoveTypes[Movement],0)),"?")="No",$H500&lt;&gt;""),"Leave Courier blank",IF(AND(IFERROR(INDEX(tblMoveTypes[Orders?],MATCH($E500,tblMoveTypes[Movement],0)),"?")="Yes",$G500=""),"Orders needed",IF(AND(IFERROR(INDEX(tblMoveTypes[Orders?],MATCH($E500,tblMoveTypes[Movement],0)),"?")="No",$G500&lt;&gt;""),"Leave Orders blank",IF(AND(IFERROR(INDEX(tblMoveTypes[Reason?],MATCH($E500,tblMoveTypes[Movement],0)),"?")="Yes",$I500=""),"Reason needed",IF(AND(IFERROR(INDEX(tblMoveTypes[Qty?],MATCH($E500,tblMoveTypes[Movement],0)),"?")="Yes",N($F500)&lt;=0),"Qty needed",IF($A500&lt;_xlfn.MINIFS(tblShipment[Arrival Date],tblShipment[Shipment ID],$C500),"Date before arrival",IF(AND($D500&lt;&gt;"",COUNTIFS(tblShipment[Shipment ID],$C500,tblShipment[Item Code],$D500)=0),"Item not in this shipment",IF(AND($H500&lt;&gt;"",COUNTIFS(tblCouriers[Courier],$H500,tblCouriers[Market],$B500)=0),"Courier not in this market","OK")))))))))))))))</f>
        <v>OK</v>
      </c>
    </row>
    <row r="501" customFormat="false" ht="15" hidden="false" customHeight="false" outlineLevel="0" collapsed="false">
      <c r="A501" s="27" t="n">
        <v>46237</v>
      </c>
      <c r="B501" s="26" t="s">
        <v>85</v>
      </c>
      <c r="C501" s="26" t="s">
        <v>143</v>
      </c>
      <c r="D501" s="26"/>
      <c r="E501" s="26" t="s">
        <v>106</v>
      </c>
      <c r="F501" s="28" t="n">
        <v>46</v>
      </c>
      <c r="G501" s="28" t="n">
        <v>6</v>
      </c>
      <c r="H501" s="26" t="s">
        <v>96</v>
      </c>
      <c r="I501" s="26"/>
      <c r="J501" s="26"/>
      <c r="K501" s="29" t="str">
        <f aca="false">IF($A501="","",IF(COUNTIFS(tblMoveTypes[Movement],$E501)=0,"Unknown movement type",IF(COUNTIF(tblShipment[Shipment ID],$C501)=0,"Unknown shipment",IF(COUNTIFS(tblShipment[Shipment ID],$C501,tblShipment[Market],$B501)=0,"Market does not match shipment",IF(AND(IFERROR(INDEX(tblMoveTypes[Item?],MATCH($E501,tblMoveTypes[Movement],0)),"?")="Yes",$D501=""),"Item needed",IF(AND(IFERROR(INDEX(tblMoveTypes[Item?],MATCH($E501,tblMoveTypes[Movement],0)),"?")="No",$D501&lt;&gt;""),"Leave Item blank",IF(AND(IFERROR(INDEX(tblMoveTypes[Courier?],MATCH($E501,tblMoveTypes[Movement],0)),"?")="Yes",$H501=""),"Courier needed",IF(AND(IFERROR(INDEX(tblMoveTypes[Courier?],MATCH($E501,tblMoveTypes[Movement],0)),"?")="No",$H501&lt;&gt;""),"Leave Courier blank",IF(AND(IFERROR(INDEX(tblMoveTypes[Orders?],MATCH($E501,tblMoveTypes[Movement],0)),"?")="Yes",$G501=""),"Orders needed",IF(AND(IFERROR(INDEX(tblMoveTypes[Orders?],MATCH($E501,tblMoveTypes[Movement],0)),"?")="No",$G501&lt;&gt;""),"Leave Orders blank",IF(AND(IFERROR(INDEX(tblMoveTypes[Reason?],MATCH($E501,tblMoveTypes[Movement],0)),"?")="Yes",$I501=""),"Reason needed",IF(AND(IFERROR(INDEX(tblMoveTypes[Qty?],MATCH($E501,tblMoveTypes[Movement],0)),"?")="Yes",N($F501)&lt;=0),"Qty needed",IF($A501&lt;_xlfn.MINIFS(tblShipment[Arrival Date],tblShipment[Shipment ID],$C501),"Date before arrival",IF(AND($D501&lt;&gt;"",COUNTIFS(tblShipment[Shipment ID],$C501,tblShipment[Item Code],$D501)=0),"Item not in this shipment",IF(AND($H501&lt;&gt;"",COUNTIFS(tblCouriers[Courier],$H501,tblCouriers[Market],$B501)=0),"Courier not in this market","OK")))))))))))))))</f>
        <v>OK</v>
      </c>
    </row>
    <row r="502" customFormat="false" ht="15" hidden="false" customHeight="false" outlineLevel="0" collapsed="false">
      <c r="A502" s="27" t="n">
        <v>46237</v>
      </c>
      <c r="B502" s="26" t="s">
        <v>90</v>
      </c>
      <c r="C502" s="26" t="s">
        <v>149</v>
      </c>
      <c r="D502" s="26"/>
      <c r="E502" s="26" t="s">
        <v>106</v>
      </c>
      <c r="F502" s="28" t="n">
        <v>33</v>
      </c>
      <c r="G502" s="28" t="n">
        <v>5</v>
      </c>
      <c r="H502" s="26" t="s">
        <v>101</v>
      </c>
      <c r="I502" s="26"/>
      <c r="J502" s="26"/>
      <c r="K502" s="29" t="str">
        <f aca="false">IF($A502="","",IF(COUNTIFS(tblMoveTypes[Movement],$E502)=0,"Unknown movement type",IF(COUNTIF(tblShipment[Shipment ID],$C502)=0,"Unknown shipment",IF(COUNTIFS(tblShipment[Shipment ID],$C502,tblShipment[Market],$B502)=0,"Market does not match shipment",IF(AND(IFERROR(INDEX(tblMoveTypes[Item?],MATCH($E502,tblMoveTypes[Movement],0)),"?")="Yes",$D502=""),"Item needed",IF(AND(IFERROR(INDEX(tblMoveTypes[Item?],MATCH($E502,tblMoveTypes[Movement],0)),"?")="No",$D502&lt;&gt;""),"Leave Item blank",IF(AND(IFERROR(INDEX(tblMoveTypes[Courier?],MATCH($E502,tblMoveTypes[Movement],0)),"?")="Yes",$H502=""),"Courier needed",IF(AND(IFERROR(INDEX(tblMoveTypes[Courier?],MATCH($E502,tblMoveTypes[Movement],0)),"?")="No",$H502&lt;&gt;""),"Leave Courier blank",IF(AND(IFERROR(INDEX(tblMoveTypes[Orders?],MATCH($E502,tblMoveTypes[Movement],0)),"?")="Yes",$G502=""),"Orders needed",IF(AND(IFERROR(INDEX(tblMoveTypes[Orders?],MATCH($E502,tblMoveTypes[Movement],0)),"?")="No",$G502&lt;&gt;""),"Leave Orders blank",IF(AND(IFERROR(INDEX(tblMoveTypes[Reason?],MATCH($E502,tblMoveTypes[Movement],0)),"?")="Yes",$I502=""),"Reason needed",IF(AND(IFERROR(INDEX(tblMoveTypes[Qty?],MATCH($E502,tblMoveTypes[Movement],0)),"?")="Yes",N($F502)&lt;=0),"Qty needed",IF($A502&lt;_xlfn.MINIFS(tblShipment[Arrival Date],tblShipment[Shipment ID],$C502),"Date before arrival",IF(AND($D502&lt;&gt;"",COUNTIFS(tblShipment[Shipment ID],$C502,tblShipment[Item Code],$D502)=0),"Item not in this shipment",IF(AND($H502&lt;&gt;"",COUNTIFS(tblCouriers[Courier],$H502,tblCouriers[Market],$B502)=0),"Courier not in this market","OK")))))))))))))))</f>
        <v>OK</v>
      </c>
    </row>
    <row r="503" customFormat="false" ht="15" hidden="false" customHeight="false" outlineLevel="0" collapsed="false">
      <c r="A503" s="27" t="n">
        <v>46237</v>
      </c>
      <c r="B503" s="26" t="s">
        <v>90</v>
      </c>
      <c r="C503" s="26" t="s">
        <v>149</v>
      </c>
      <c r="D503" s="26" t="s">
        <v>67</v>
      </c>
      <c r="E503" s="26" t="s">
        <v>93</v>
      </c>
      <c r="F503" s="28" t="n">
        <v>5</v>
      </c>
      <c r="G503" s="28"/>
      <c r="H503" s="26" t="s">
        <v>101</v>
      </c>
      <c r="I503" s="26"/>
      <c r="J503" s="26"/>
      <c r="K503" s="29" t="str">
        <f aca="false">IF($A503="","",IF(COUNTIFS(tblMoveTypes[Movement],$E503)=0,"Unknown movement type",IF(COUNTIF(tblShipment[Shipment ID],$C503)=0,"Unknown shipment",IF(COUNTIFS(tblShipment[Shipment ID],$C503,tblShipment[Market],$B503)=0,"Market does not match shipment",IF(AND(IFERROR(INDEX(tblMoveTypes[Item?],MATCH($E503,tblMoveTypes[Movement],0)),"?")="Yes",$D503=""),"Item needed",IF(AND(IFERROR(INDEX(tblMoveTypes[Item?],MATCH($E503,tblMoveTypes[Movement],0)),"?")="No",$D503&lt;&gt;""),"Leave Item blank",IF(AND(IFERROR(INDEX(tblMoveTypes[Courier?],MATCH($E503,tblMoveTypes[Movement],0)),"?")="Yes",$H503=""),"Courier needed",IF(AND(IFERROR(INDEX(tblMoveTypes[Courier?],MATCH($E503,tblMoveTypes[Movement],0)),"?")="No",$H503&lt;&gt;""),"Leave Courier blank",IF(AND(IFERROR(INDEX(tblMoveTypes[Orders?],MATCH($E503,tblMoveTypes[Movement],0)),"?")="Yes",$G503=""),"Orders needed",IF(AND(IFERROR(INDEX(tblMoveTypes[Orders?],MATCH($E503,tblMoveTypes[Movement],0)),"?")="No",$G503&lt;&gt;""),"Leave Orders blank",IF(AND(IFERROR(INDEX(tblMoveTypes[Reason?],MATCH($E503,tblMoveTypes[Movement],0)),"?")="Yes",$I503=""),"Reason needed",IF(AND(IFERROR(INDEX(tblMoveTypes[Qty?],MATCH($E503,tblMoveTypes[Movement],0)),"?")="Yes",N($F503)&lt;=0),"Qty needed",IF($A503&lt;_xlfn.MINIFS(tblShipment[Arrival Date],tblShipment[Shipment ID],$C503),"Date before arrival",IF(AND($D503&lt;&gt;"",COUNTIFS(tblShipment[Shipment ID],$C503,tblShipment[Item Code],$D503)=0),"Item not in this shipment",IF(AND($H503&lt;&gt;"",COUNTIFS(tblCouriers[Courier],$H503,tblCouriers[Market],$B503)=0),"Courier not in this market","OK")))))))))))))))</f>
        <v>OK</v>
      </c>
    </row>
    <row r="504" customFormat="false" ht="15" hidden="false" customHeight="false" outlineLevel="0" collapsed="false">
      <c r="A504" s="27" t="n">
        <v>46237</v>
      </c>
      <c r="B504" s="26" t="s">
        <v>90</v>
      </c>
      <c r="C504" s="26" t="s">
        <v>149</v>
      </c>
      <c r="D504" s="26"/>
      <c r="E504" s="26" t="s">
        <v>104</v>
      </c>
      <c r="F504" s="28"/>
      <c r="G504" s="28" t="n">
        <v>1</v>
      </c>
      <c r="H504" s="26" t="s">
        <v>101</v>
      </c>
      <c r="I504" s="26"/>
      <c r="J504" s="26"/>
      <c r="K504" s="29" t="str">
        <f aca="false">IF($A504="","",IF(COUNTIFS(tblMoveTypes[Movement],$E504)=0,"Unknown movement type",IF(COUNTIF(tblShipment[Shipment ID],$C504)=0,"Unknown shipment",IF(COUNTIFS(tblShipment[Shipment ID],$C504,tblShipment[Market],$B504)=0,"Market does not match shipment",IF(AND(IFERROR(INDEX(tblMoveTypes[Item?],MATCH($E504,tblMoveTypes[Movement],0)),"?")="Yes",$D504=""),"Item needed",IF(AND(IFERROR(INDEX(tblMoveTypes[Item?],MATCH($E504,tblMoveTypes[Movement],0)),"?")="No",$D504&lt;&gt;""),"Leave Item blank",IF(AND(IFERROR(INDEX(tblMoveTypes[Courier?],MATCH($E504,tblMoveTypes[Movement],0)),"?")="Yes",$H504=""),"Courier needed",IF(AND(IFERROR(INDEX(tblMoveTypes[Courier?],MATCH($E504,tblMoveTypes[Movement],0)),"?")="No",$H504&lt;&gt;""),"Leave Courier blank",IF(AND(IFERROR(INDEX(tblMoveTypes[Orders?],MATCH($E504,tblMoveTypes[Movement],0)),"?")="Yes",$G504=""),"Orders needed",IF(AND(IFERROR(INDEX(tblMoveTypes[Orders?],MATCH($E504,tblMoveTypes[Movement],0)),"?")="No",$G504&lt;&gt;""),"Leave Orders blank",IF(AND(IFERROR(INDEX(tblMoveTypes[Reason?],MATCH($E504,tblMoveTypes[Movement],0)),"?")="Yes",$I504=""),"Reason needed",IF(AND(IFERROR(INDEX(tblMoveTypes[Qty?],MATCH($E504,tblMoveTypes[Movement],0)),"?")="Yes",N($F504)&lt;=0),"Qty needed",IF($A504&lt;_xlfn.MINIFS(tblShipment[Arrival Date],tblShipment[Shipment ID],$C504),"Date before arrival",IF(AND($D504&lt;&gt;"",COUNTIFS(tblShipment[Shipment ID],$C504,tblShipment[Item Code],$D504)=0),"Item not in this shipment",IF(AND($H504&lt;&gt;"",COUNTIFS(tblCouriers[Courier],$H504,tblCouriers[Market],$B504)=0),"Courier not in this market","OK")))))))))))))))</f>
        <v>OK</v>
      </c>
    </row>
    <row r="505" customFormat="false" ht="15" hidden="false" customHeight="false" outlineLevel="0" collapsed="false">
      <c r="A505" s="27" t="n">
        <v>46237</v>
      </c>
      <c r="B505" s="26" t="s">
        <v>90</v>
      </c>
      <c r="C505" s="26" t="s">
        <v>150</v>
      </c>
      <c r="D505" s="26"/>
      <c r="E505" s="26" t="s">
        <v>106</v>
      </c>
      <c r="F505" s="28" t="n">
        <v>239</v>
      </c>
      <c r="G505" s="28" t="n">
        <v>36</v>
      </c>
      <c r="H505" s="26" t="s">
        <v>101</v>
      </c>
      <c r="I505" s="26"/>
      <c r="J505" s="26"/>
      <c r="K505" s="29" t="str">
        <f aca="false">IF($A505="","",IF(COUNTIFS(tblMoveTypes[Movement],$E505)=0,"Unknown movement type",IF(COUNTIF(tblShipment[Shipment ID],$C505)=0,"Unknown shipment",IF(COUNTIFS(tblShipment[Shipment ID],$C505,tblShipment[Market],$B505)=0,"Market does not match shipment",IF(AND(IFERROR(INDEX(tblMoveTypes[Item?],MATCH($E505,tblMoveTypes[Movement],0)),"?")="Yes",$D505=""),"Item needed",IF(AND(IFERROR(INDEX(tblMoveTypes[Item?],MATCH($E505,tblMoveTypes[Movement],0)),"?")="No",$D505&lt;&gt;""),"Leave Item blank",IF(AND(IFERROR(INDEX(tblMoveTypes[Courier?],MATCH($E505,tblMoveTypes[Movement],0)),"?")="Yes",$H505=""),"Courier needed",IF(AND(IFERROR(INDEX(tblMoveTypes[Courier?],MATCH($E505,tblMoveTypes[Movement],0)),"?")="No",$H505&lt;&gt;""),"Leave Courier blank",IF(AND(IFERROR(INDEX(tblMoveTypes[Orders?],MATCH($E505,tblMoveTypes[Movement],0)),"?")="Yes",$G505=""),"Orders needed",IF(AND(IFERROR(INDEX(tblMoveTypes[Orders?],MATCH($E505,tblMoveTypes[Movement],0)),"?")="No",$G505&lt;&gt;""),"Leave Orders blank",IF(AND(IFERROR(INDEX(tblMoveTypes[Reason?],MATCH($E505,tblMoveTypes[Movement],0)),"?")="Yes",$I505=""),"Reason needed",IF(AND(IFERROR(INDEX(tblMoveTypes[Qty?],MATCH($E505,tblMoveTypes[Movement],0)),"?")="Yes",N($F505)&lt;=0),"Qty needed",IF($A505&lt;_xlfn.MINIFS(tblShipment[Arrival Date],tblShipment[Shipment ID],$C505),"Date before arrival",IF(AND($D505&lt;&gt;"",COUNTIFS(tblShipment[Shipment ID],$C505,tblShipment[Item Code],$D505)=0),"Item not in this shipment",IF(AND($H505&lt;&gt;"",COUNTIFS(tblCouriers[Courier],$H505,tblCouriers[Market],$B505)=0),"Courier not in this market","OK")))))))))))))))</f>
        <v>OK</v>
      </c>
    </row>
    <row r="506" customFormat="false" ht="15" hidden="false" customHeight="false" outlineLevel="0" collapsed="false">
      <c r="A506" s="27" t="n">
        <v>46237</v>
      </c>
      <c r="B506" s="26" t="s">
        <v>78</v>
      </c>
      <c r="C506" s="26" t="s">
        <v>134</v>
      </c>
      <c r="D506" s="26"/>
      <c r="E506" s="26" t="s">
        <v>106</v>
      </c>
      <c r="F506" s="28" t="n">
        <v>19</v>
      </c>
      <c r="G506" s="28" t="n">
        <v>3</v>
      </c>
      <c r="H506" s="26" t="s">
        <v>86</v>
      </c>
      <c r="I506" s="26"/>
      <c r="J506" s="26"/>
      <c r="K506" s="29" t="str">
        <f aca="false">IF($A506="","",IF(COUNTIFS(tblMoveTypes[Movement],$E506)=0,"Unknown movement type",IF(COUNTIF(tblShipment[Shipment ID],$C506)=0,"Unknown shipment",IF(COUNTIFS(tblShipment[Shipment ID],$C506,tblShipment[Market],$B506)=0,"Market does not match shipment",IF(AND(IFERROR(INDEX(tblMoveTypes[Item?],MATCH($E506,tblMoveTypes[Movement],0)),"?")="Yes",$D506=""),"Item needed",IF(AND(IFERROR(INDEX(tblMoveTypes[Item?],MATCH($E506,tblMoveTypes[Movement],0)),"?")="No",$D506&lt;&gt;""),"Leave Item blank",IF(AND(IFERROR(INDEX(tblMoveTypes[Courier?],MATCH($E506,tblMoveTypes[Movement],0)),"?")="Yes",$H506=""),"Courier needed",IF(AND(IFERROR(INDEX(tblMoveTypes[Courier?],MATCH($E506,tblMoveTypes[Movement],0)),"?")="No",$H506&lt;&gt;""),"Leave Courier blank",IF(AND(IFERROR(INDEX(tblMoveTypes[Orders?],MATCH($E506,tblMoveTypes[Movement],0)),"?")="Yes",$G506=""),"Orders needed",IF(AND(IFERROR(INDEX(tblMoveTypes[Orders?],MATCH($E506,tblMoveTypes[Movement],0)),"?")="No",$G506&lt;&gt;""),"Leave Orders blank",IF(AND(IFERROR(INDEX(tblMoveTypes[Reason?],MATCH($E506,tblMoveTypes[Movement],0)),"?")="Yes",$I506=""),"Reason needed",IF(AND(IFERROR(INDEX(tblMoveTypes[Qty?],MATCH($E506,tblMoveTypes[Movement],0)),"?")="Yes",N($F506)&lt;=0),"Qty needed",IF($A506&lt;_xlfn.MINIFS(tblShipment[Arrival Date],tblShipment[Shipment ID],$C506),"Date before arrival",IF(AND($D506&lt;&gt;"",COUNTIFS(tblShipment[Shipment ID],$C506,tblShipment[Item Code],$D506)=0),"Item not in this shipment",IF(AND($H506&lt;&gt;"",COUNTIFS(tblCouriers[Courier],$H506,tblCouriers[Market],$B506)=0),"Courier not in this market","OK")))))))))))))))</f>
        <v>OK</v>
      </c>
    </row>
    <row r="507" customFormat="false" ht="15" hidden="false" customHeight="false" outlineLevel="0" collapsed="false">
      <c r="A507" s="27" t="n">
        <v>46237</v>
      </c>
      <c r="B507" s="26" t="s">
        <v>78</v>
      </c>
      <c r="C507" s="26" t="s">
        <v>134</v>
      </c>
      <c r="D507" s="26"/>
      <c r="E507" s="26" t="s">
        <v>106</v>
      </c>
      <c r="F507" s="28" t="n">
        <v>7</v>
      </c>
      <c r="G507" s="28" t="n">
        <v>1</v>
      </c>
      <c r="H507" s="26" t="s">
        <v>79</v>
      </c>
      <c r="I507" s="26"/>
      <c r="J507" s="26"/>
      <c r="K507" s="29" t="str">
        <f aca="false">IF($A507="","",IF(COUNTIFS(tblMoveTypes[Movement],$E507)=0,"Unknown movement type",IF(COUNTIF(tblShipment[Shipment ID],$C507)=0,"Unknown shipment",IF(COUNTIFS(tblShipment[Shipment ID],$C507,tblShipment[Market],$B507)=0,"Market does not match shipment",IF(AND(IFERROR(INDEX(tblMoveTypes[Item?],MATCH($E507,tblMoveTypes[Movement],0)),"?")="Yes",$D507=""),"Item needed",IF(AND(IFERROR(INDEX(tblMoveTypes[Item?],MATCH($E507,tblMoveTypes[Movement],0)),"?")="No",$D507&lt;&gt;""),"Leave Item blank",IF(AND(IFERROR(INDEX(tblMoveTypes[Courier?],MATCH($E507,tblMoveTypes[Movement],0)),"?")="Yes",$H507=""),"Courier needed",IF(AND(IFERROR(INDEX(tblMoveTypes[Courier?],MATCH($E507,tblMoveTypes[Movement],0)),"?")="No",$H507&lt;&gt;""),"Leave Courier blank",IF(AND(IFERROR(INDEX(tblMoveTypes[Orders?],MATCH($E507,tblMoveTypes[Movement],0)),"?")="Yes",$G507=""),"Orders needed",IF(AND(IFERROR(INDEX(tblMoveTypes[Orders?],MATCH($E507,tblMoveTypes[Movement],0)),"?")="No",$G507&lt;&gt;""),"Leave Orders blank",IF(AND(IFERROR(INDEX(tblMoveTypes[Reason?],MATCH($E507,tblMoveTypes[Movement],0)),"?")="Yes",$I507=""),"Reason needed",IF(AND(IFERROR(INDEX(tblMoveTypes[Qty?],MATCH($E507,tblMoveTypes[Movement],0)),"?")="Yes",N($F507)&lt;=0),"Qty needed",IF($A507&lt;_xlfn.MINIFS(tblShipment[Arrival Date],tblShipment[Shipment ID],$C507),"Date before arrival",IF(AND($D507&lt;&gt;"",COUNTIFS(tblShipment[Shipment ID],$C507,tblShipment[Item Code],$D507)=0),"Item not in this shipment",IF(AND($H507&lt;&gt;"",COUNTIFS(tblCouriers[Courier],$H507,tblCouriers[Market],$B507)=0),"Courier not in this market","OK")))))))))))))))</f>
        <v>OK</v>
      </c>
    </row>
    <row r="508" customFormat="false" ht="15" hidden="false" customHeight="false" outlineLevel="0" collapsed="false">
      <c r="A508" s="27" t="n">
        <v>46238</v>
      </c>
      <c r="B508" s="26" t="s">
        <v>85</v>
      </c>
      <c r="C508" s="26" t="s">
        <v>142</v>
      </c>
      <c r="D508" s="26"/>
      <c r="E508" s="26" t="s">
        <v>108</v>
      </c>
      <c r="F508" s="28" t="n">
        <v>8</v>
      </c>
      <c r="G508" s="28" t="n">
        <v>1</v>
      </c>
      <c r="H508" s="26" t="s">
        <v>91</v>
      </c>
      <c r="I508" s="26" t="s">
        <v>111</v>
      </c>
      <c r="J508" s="26"/>
      <c r="K508" s="29" t="str">
        <f aca="false">IF($A508="","",IF(COUNTIFS(tblMoveTypes[Movement],$E508)=0,"Unknown movement type",IF(COUNTIF(tblShipment[Shipment ID],$C508)=0,"Unknown shipment",IF(COUNTIFS(tblShipment[Shipment ID],$C508,tblShipment[Market],$B508)=0,"Market does not match shipment",IF(AND(IFERROR(INDEX(tblMoveTypes[Item?],MATCH($E508,tblMoveTypes[Movement],0)),"?")="Yes",$D508=""),"Item needed",IF(AND(IFERROR(INDEX(tblMoveTypes[Item?],MATCH($E508,tblMoveTypes[Movement],0)),"?")="No",$D508&lt;&gt;""),"Leave Item blank",IF(AND(IFERROR(INDEX(tblMoveTypes[Courier?],MATCH($E508,tblMoveTypes[Movement],0)),"?")="Yes",$H508=""),"Courier needed",IF(AND(IFERROR(INDEX(tblMoveTypes[Courier?],MATCH($E508,tblMoveTypes[Movement],0)),"?")="No",$H508&lt;&gt;""),"Leave Courier blank",IF(AND(IFERROR(INDEX(tblMoveTypes[Orders?],MATCH($E508,tblMoveTypes[Movement],0)),"?")="Yes",$G508=""),"Orders needed",IF(AND(IFERROR(INDEX(tblMoveTypes[Orders?],MATCH($E508,tblMoveTypes[Movement],0)),"?")="No",$G508&lt;&gt;""),"Leave Orders blank",IF(AND(IFERROR(INDEX(tblMoveTypes[Reason?],MATCH($E508,tblMoveTypes[Movement],0)),"?")="Yes",$I508=""),"Reason needed",IF(AND(IFERROR(INDEX(tblMoveTypes[Qty?],MATCH($E508,tblMoveTypes[Movement],0)),"?")="Yes",N($F508)&lt;=0),"Qty needed",IF($A508&lt;_xlfn.MINIFS(tblShipment[Arrival Date],tblShipment[Shipment ID],$C508),"Date before arrival",IF(AND($D508&lt;&gt;"",COUNTIFS(tblShipment[Shipment ID],$C508,tblShipment[Item Code],$D508)=0),"Item not in this shipment",IF(AND($H508&lt;&gt;"",COUNTIFS(tblCouriers[Courier],$H508,tblCouriers[Market],$B508)=0),"Courier not in this market","OK")))))))))))))))</f>
        <v>OK</v>
      </c>
    </row>
    <row r="509" customFormat="false" ht="15" hidden="false" customHeight="false" outlineLevel="0" collapsed="false">
      <c r="A509" s="27" t="n">
        <v>46238</v>
      </c>
      <c r="B509" s="26" t="s">
        <v>85</v>
      </c>
      <c r="C509" s="26" t="s">
        <v>142</v>
      </c>
      <c r="D509" s="26" t="s">
        <v>88</v>
      </c>
      <c r="E509" s="26" t="s">
        <v>110</v>
      </c>
      <c r="F509" s="28" t="n">
        <v>6</v>
      </c>
      <c r="G509" s="28"/>
      <c r="H509" s="26"/>
      <c r="I509" s="26"/>
      <c r="J509" s="26"/>
      <c r="K509" s="29" t="str">
        <f aca="false">IF($A509="","",IF(COUNTIFS(tblMoveTypes[Movement],$E509)=0,"Unknown movement type",IF(COUNTIF(tblShipment[Shipment ID],$C509)=0,"Unknown shipment",IF(COUNTIFS(tblShipment[Shipment ID],$C509,tblShipment[Market],$B509)=0,"Market does not match shipment",IF(AND(IFERROR(INDEX(tblMoveTypes[Item?],MATCH($E509,tblMoveTypes[Movement],0)),"?")="Yes",$D509=""),"Item needed",IF(AND(IFERROR(INDEX(tblMoveTypes[Item?],MATCH($E509,tblMoveTypes[Movement],0)),"?")="No",$D509&lt;&gt;""),"Leave Item blank",IF(AND(IFERROR(INDEX(tblMoveTypes[Courier?],MATCH($E509,tblMoveTypes[Movement],0)),"?")="Yes",$H509=""),"Courier needed",IF(AND(IFERROR(INDEX(tblMoveTypes[Courier?],MATCH($E509,tblMoveTypes[Movement],0)),"?")="No",$H509&lt;&gt;""),"Leave Courier blank",IF(AND(IFERROR(INDEX(tblMoveTypes[Orders?],MATCH($E509,tblMoveTypes[Movement],0)),"?")="Yes",$G509=""),"Orders needed",IF(AND(IFERROR(INDEX(tblMoveTypes[Orders?],MATCH($E509,tblMoveTypes[Movement],0)),"?")="No",$G509&lt;&gt;""),"Leave Orders blank",IF(AND(IFERROR(INDEX(tblMoveTypes[Reason?],MATCH($E509,tblMoveTypes[Movement],0)),"?")="Yes",$I509=""),"Reason needed",IF(AND(IFERROR(INDEX(tblMoveTypes[Qty?],MATCH($E509,tblMoveTypes[Movement],0)),"?")="Yes",N($F509)&lt;=0),"Qty needed",IF($A509&lt;_xlfn.MINIFS(tblShipment[Arrival Date],tblShipment[Shipment ID],$C509),"Date before arrival",IF(AND($D509&lt;&gt;"",COUNTIFS(tblShipment[Shipment ID],$C509,tblShipment[Item Code],$D509)=0),"Item not in this shipment",IF(AND($H509&lt;&gt;"",COUNTIFS(tblCouriers[Courier],$H509,tblCouriers[Market],$B509)=0),"Courier not in this market","OK")))))))))))))))</f>
        <v>OK</v>
      </c>
    </row>
    <row r="510" customFormat="false" ht="15" hidden="false" customHeight="false" outlineLevel="0" collapsed="false">
      <c r="A510" s="27" t="n">
        <v>46238</v>
      </c>
      <c r="B510" s="26" t="s">
        <v>85</v>
      </c>
      <c r="C510" s="26" t="s">
        <v>142</v>
      </c>
      <c r="D510" s="26" t="s">
        <v>88</v>
      </c>
      <c r="E510" s="26" t="s">
        <v>112</v>
      </c>
      <c r="F510" s="28" t="n">
        <v>2</v>
      </c>
      <c r="G510" s="28"/>
      <c r="H510" s="26"/>
      <c r="I510" s="26" t="s">
        <v>72</v>
      </c>
      <c r="J510" s="26"/>
      <c r="K510" s="29" t="str">
        <f aca="false">IF($A510="","",IF(COUNTIFS(tblMoveTypes[Movement],$E510)=0,"Unknown movement type",IF(COUNTIF(tblShipment[Shipment ID],$C510)=0,"Unknown shipment",IF(COUNTIFS(tblShipment[Shipment ID],$C510,tblShipment[Market],$B510)=0,"Market does not match shipment",IF(AND(IFERROR(INDEX(tblMoveTypes[Item?],MATCH($E510,tblMoveTypes[Movement],0)),"?")="Yes",$D510=""),"Item needed",IF(AND(IFERROR(INDEX(tblMoveTypes[Item?],MATCH($E510,tblMoveTypes[Movement],0)),"?")="No",$D510&lt;&gt;""),"Leave Item blank",IF(AND(IFERROR(INDEX(tblMoveTypes[Courier?],MATCH($E510,tblMoveTypes[Movement],0)),"?")="Yes",$H510=""),"Courier needed",IF(AND(IFERROR(INDEX(tblMoveTypes[Courier?],MATCH($E510,tblMoveTypes[Movement],0)),"?")="No",$H510&lt;&gt;""),"Leave Courier blank",IF(AND(IFERROR(INDEX(tblMoveTypes[Orders?],MATCH($E510,tblMoveTypes[Movement],0)),"?")="Yes",$G510=""),"Orders needed",IF(AND(IFERROR(INDEX(tblMoveTypes[Orders?],MATCH($E510,tblMoveTypes[Movement],0)),"?")="No",$G510&lt;&gt;""),"Leave Orders blank",IF(AND(IFERROR(INDEX(tblMoveTypes[Reason?],MATCH($E510,tblMoveTypes[Movement],0)),"?")="Yes",$I510=""),"Reason needed",IF(AND(IFERROR(INDEX(tblMoveTypes[Qty?],MATCH($E510,tblMoveTypes[Movement],0)),"?")="Yes",N($F510)&lt;=0),"Qty needed",IF($A510&lt;_xlfn.MINIFS(tblShipment[Arrival Date],tblShipment[Shipment ID],$C510),"Date before arrival",IF(AND($D510&lt;&gt;"",COUNTIFS(tblShipment[Shipment ID],$C510,tblShipment[Item Code],$D510)=0),"Item not in this shipment",IF(AND($H510&lt;&gt;"",COUNTIFS(tblCouriers[Courier],$H510,tblCouriers[Market],$B510)=0),"Courier not in this market","OK")))))))))))))))</f>
        <v>OK</v>
      </c>
    </row>
    <row r="511" customFormat="false" ht="15" hidden="false" customHeight="false" outlineLevel="0" collapsed="false">
      <c r="A511" s="27" t="n">
        <v>46238</v>
      </c>
      <c r="B511" s="26" t="s">
        <v>85</v>
      </c>
      <c r="C511" s="26" t="s">
        <v>142</v>
      </c>
      <c r="D511" s="26"/>
      <c r="E511" s="26" t="s">
        <v>106</v>
      </c>
      <c r="F511" s="28" t="n">
        <v>19</v>
      </c>
      <c r="G511" s="28" t="n">
        <v>3</v>
      </c>
      <c r="H511" s="26" t="s">
        <v>96</v>
      </c>
      <c r="I511" s="26"/>
      <c r="J511" s="26"/>
      <c r="K511" s="29" t="str">
        <f aca="false">IF($A511="","",IF(COUNTIFS(tblMoveTypes[Movement],$E511)=0,"Unknown movement type",IF(COUNTIF(tblShipment[Shipment ID],$C511)=0,"Unknown shipment",IF(COUNTIFS(tblShipment[Shipment ID],$C511,tblShipment[Market],$B511)=0,"Market does not match shipment",IF(AND(IFERROR(INDEX(tblMoveTypes[Item?],MATCH($E511,tblMoveTypes[Movement],0)),"?")="Yes",$D511=""),"Item needed",IF(AND(IFERROR(INDEX(tblMoveTypes[Item?],MATCH($E511,tblMoveTypes[Movement],0)),"?")="No",$D511&lt;&gt;""),"Leave Item blank",IF(AND(IFERROR(INDEX(tblMoveTypes[Courier?],MATCH($E511,tblMoveTypes[Movement],0)),"?")="Yes",$H511=""),"Courier needed",IF(AND(IFERROR(INDEX(tblMoveTypes[Courier?],MATCH($E511,tblMoveTypes[Movement],0)),"?")="No",$H511&lt;&gt;""),"Leave Courier blank",IF(AND(IFERROR(INDEX(tblMoveTypes[Orders?],MATCH($E511,tblMoveTypes[Movement],0)),"?")="Yes",$G511=""),"Orders needed",IF(AND(IFERROR(INDEX(tblMoveTypes[Orders?],MATCH($E511,tblMoveTypes[Movement],0)),"?")="No",$G511&lt;&gt;""),"Leave Orders blank",IF(AND(IFERROR(INDEX(tblMoveTypes[Reason?],MATCH($E511,tblMoveTypes[Movement],0)),"?")="Yes",$I511=""),"Reason needed",IF(AND(IFERROR(INDEX(tblMoveTypes[Qty?],MATCH($E511,tblMoveTypes[Movement],0)),"?")="Yes",N($F511)&lt;=0),"Qty needed",IF($A511&lt;_xlfn.MINIFS(tblShipment[Arrival Date],tblShipment[Shipment ID],$C511),"Date before arrival",IF(AND($D511&lt;&gt;"",COUNTIFS(tblShipment[Shipment ID],$C511,tblShipment[Item Code],$D511)=0),"Item not in this shipment",IF(AND($H511&lt;&gt;"",COUNTIFS(tblCouriers[Courier],$H511,tblCouriers[Market],$B511)=0),"Courier not in this market","OK")))))))))))))))</f>
        <v>OK</v>
      </c>
    </row>
    <row r="512" customFormat="false" ht="15" hidden="false" customHeight="false" outlineLevel="0" collapsed="false">
      <c r="A512" s="27" t="n">
        <v>46238</v>
      </c>
      <c r="B512" s="26" t="s">
        <v>85</v>
      </c>
      <c r="C512" s="26" t="s">
        <v>142</v>
      </c>
      <c r="D512" s="26"/>
      <c r="E512" s="26" t="s">
        <v>108</v>
      </c>
      <c r="F512" s="28" t="n">
        <v>6</v>
      </c>
      <c r="G512" s="28" t="n">
        <v>1</v>
      </c>
      <c r="H512" s="26" t="s">
        <v>96</v>
      </c>
      <c r="I512" s="26" t="s">
        <v>102</v>
      </c>
      <c r="J512" s="26"/>
      <c r="K512" s="29" t="str">
        <f aca="false">IF($A512="","",IF(COUNTIFS(tblMoveTypes[Movement],$E512)=0,"Unknown movement type",IF(COUNTIF(tblShipment[Shipment ID],$C512)=0,"Unknown shipment",IF(COUNTIFS(tblShipment[Shipment ID],$C512,tblShipment[Market],$B512)=0,"Market does not match shipment",IF(AND(IFERROR(INDEX(tblMoveTypes[Item?],MATCH($E512,tblMoveTypes[Movement],0)),"?")="Yes",$D512=""),"Item needed",IF(AND(IFERROR(INDEX(tblMoveTypes[Item?],MATCH($E512,tblMoveTypes[Movement],0)),"?")="No",$D512&lt;&gt;""),"Leave Item blank",IF(AND(IFERROR(INDEX(tblMoveTypes[Courier?],MATCH($E512,tblMoveTypes[Movement],0)),"?")="Yes",$H512=""),"Courier needed",IF(AND(IFERROR(INDEX(tblMoveTypes[Courier?],MATCH($E512,tblMoveTypes[Movement],0)),"?")="No",$H512&lt;&gt;""),"Leave Courier blank",IF(AND(IFERROR(INDEX(tblMoveTypes[Orders?],MATCH($E512,tblMoveTypes[Movement],0)),"?")="Yes",$G512=""),"Orders needed",IF(AND(IFERROR(INDEX(tblMoveTypes[Orders?],MATCH($E512,tblMoveTypes[Movement],0)),"?")="No",$G512&lt;&gt;""),"Leave Orders blank",IF(AND(IFERROR(INDEX(tblMoveTypes[Reason?],MATCH($E512,tblMoveTypes[Movement],0)),"?")="Yes",$I512=""),"Reason needed",IF(AND(IFERROR(INDEX(tblMoveTypes[Qty?],MATCH($E512,tblMoveTypes[Movement],0)),"?")="Yes",N($F512)&lt;=0),"Qty needed",IF($A512&lt;_xlfn.MINIFS(tblShipment[Arrival Date],tblShipment[Shipment ID],$C512),"Date before arrival",IF(AND($D512&lt;&gt;"",COUNTIFS(tblShipment[Shipment ID],$C512,tblShipment[Item Code],$D512)=0),"Item not in this shipment",IF(AND($H512&lt;&gt;"",COUNTIFS(tblCouriers[Courier],$H512,tblCouriers[Market],$B512)=0),"Courier not in this market","OK")))))))))))))))</f>
        <v>OK</v>
      </c>
    </row>
    <row r="513" customFormat="false" ht="15" hidden="false" customHeight="false" outlineLevel="0" collapsed="false">
      <c r="A513" s="27" t="n">
        <v>46238</v>
      </c>
      <c r="B513" s="26" t="s">
        <v>85</v>
      </c>
      <c r="C513" s="26" t="s">
        <v>142</v>
      </c>
      <c r="D513" s="26" t="s">
        <v>88</v>
      </c>
      <c r="E513" s="26" t="s">
        <v>110</v>
      </c>
      <c r="F513" s="28" t="n">
        <v>4</v>
      </c>
      <c r="G513" s="28"/>
      <c r="H513" s="26"/>
      <c r="I513" s="26"/>
      <c r="J513" s="26"/>
      <c r="K513" s="29" t="str">
        <f aca="false">IF($A513="","",IF(COUNTIFS(tblMoveTypes[Movement],$E513)=0,"Unknown movement type",IF(COUNTIF(tblShipment[Shipment ID],$C513)=0,"Unknown shipment",IF(COUNTIFS(tblShipment[Shipment ID],$C513,tblShipment[Market],$B513)=0,"Market does not match shipment",IF(AND(IFERROR(INDEX(tblMoveTypes[Item?],MATCH($E513,tblMoveTypes[Movement],0)),"?")="Yes",$D513=""),"Item needed",IF(AND(IFERROR(INDEX(tblMoveTypes[Item?],MATCH($E513,tblMoveTypes[Movement],0)),"?")="No",$D513&lt;&gt;""),"Leave Item blank",IF(AND(IFERROR(INDEX(tblMoveTypes[Courier?],MATCH($E513,tblMoveTypes[Movement],0)),"?")="Yes",$H513=""),"Courier needed",IF(AND(IFERROR(INDEX(tblMoveTypes[Courier?],MATCH($E513,tblMoveTypes[Movement],0)),"?")="No",$H513&lt;&gt;""),"Leave Courier blank",IF(AND(IFERROR(INDEX(tblMoveTypes[Orders?],MATCH($E513,tblMoveTypes[Movement],0)),"?")="Yes",$G513=""),"Orders needed",IF(AND(IFERROR(INDEX(tblMoveTypes[Orders?],MATCH($E513,tblMoveTypes[Movement],0)),"?")="No",$G513&lt;&gt;""),"Leave Orders blank",IF(AND(IFERROR(INDEX(tblMoveTypes[Reason?],MATCH($E513,tblMoveTypes[Movement],0)),"?")="Yes",$I513=""),"Reason needed",IF(AND(IFERROR(INDEX(tblMoveTypes[Qty?],MATCH($E513,tblMoveTypes[Movement],0)),"?")="Yes",N($F513)&lt;=0),"Qty needed",IF($A513&lt;_xlfn.MINIFS(tblShipment[Arrival Date],tblShipment[Shipment ID],$C513),"Date before arrival",IF(AND($D513&lt;&gt;"",COUNTIFS(tblShipment[Shipment ID],$C513,tblShipment[Item Code],$D513)=0),"Item not in this shipment",IF(AND($H513&lt;&gt;"",COUNTIFS(tblCouriers[Courier],$H513,tblCouriers[Market],$B513)=0),"Courier not in this market","OK")))))))))))))))</f>
        <v>OK</v>
      </c>
    </row>
    <row r="514" customFormat="false" ht="15" hidden="false" customHeight="false" outlineLevel="0" collapsed="false">
      <c r="A514" s="27" t="n">
        <v>46238</v>
      </c>
      <c r="B514" s="26" t="s">
        <v>85</v>
      </c>
      <c r="C514" s="26" t="s">
        <v>142</v>
      </c>
      <c r="D514" s="26" t="s">
        <v>88</v>
      </c>
      <c r="E514" s="26" t="s">
        <v>112</v>
      </c>
      <c r="F514" s="28" t="n">
        <v>2</v>
      </c>
      <c r="G514" s="28"/>
      <c r="H514" s="26"/>
      <c r="I514" s="26" t="s">
        <v>80</v>
      </c>
      <c r="J514" s="26"/>
      <c r="K514" s="29" t="str">
        <f aca="false">IF($A514="","",IF(COUNTIFS(tblMoveTypes[Movement],$E514)=0,"Unknown movement type",IF(COUNTIF(tblShipment[Shipment ID],$C514)=0,"Unknown shipment",IF(COUNTIFS(tblShipment[Shipment ID],$C514,tblShipment[Market],$B514)=0,"Market does not match shipment",IF(AND(IFERROR(INDEX(tblMoveTypes[Item?],MATCH($E514,tblMoveTypes[Movement],0)),"?")="Yes",$D514=""),"Item needed",IF(AND(IFERROR(INDEX(tblMoveTypes[Item?],MATCH($E514,tblMoveTypes[Movement],0)),"?")="No",$D514&lt;&gt;""),"Leave Item blank",IF(AND(IFERROR(INDEX(tblMoveTypes[Courier?],MATCH($E514,tblMoveTypes[Movement],0)),"?")="Yes",$H514=""),"Courier needed",IF(AND(IFERROR(INDEX(tblMoveTypes[Courier?],MATCH($E514,tblMoveTypes[Movement],0)),"?")="No",$H514&lt;&gt;""),"Leave Courier blank",IF(AND(IFERROR(INDEX(tblMoveTypes[Orders?],MATCH($E514,tblMoveTypes[Movement],0)),"?")="Yes",$G514=""),"Orders needed",IF(AND(IFERROR(INDEX(tblMoveTypes[Orders?],MATCH($E514,tblMoveTypes[Movement],0)),"?")="No",$G514&lt;&gt;""),"Leave Orders blank",IF(AND(IFERROR(INDEX(tblMoveTypes[Reason?],MATCH($E514,tblMoveTypes[Movement],0)),"?")="Yes",$I514=""),"Reason needed",IF(AND(IFERROR(INDEX(tblMoveTypes[Qty?],MATCH($E514,tblMoveTypes[Movement],0)),"?")="Yes",N($F514)&lt;=0),"Qty needed",IF($A514&lt;_xlfn.MINIFS(tblShipment[Arrival Date],tblShipment[Shipment ID],$C514),"Date before arrival",IF(AND($D514&lt;&gt;"",COUNTIFS(tblShipment[Shipment ID],$C514,tblShipment[Item Code],$D514)=0),"Item not in this shipment",IF(AND($H514&lt;&gt;"",COUNTIFS(tblCouriers[Courier],$H514,tblCouriers[Market],$B514)=0),"Courier not in this market","OK")))))))))))))))</f>
        <v>OK</v>
      </c>
    </row>
    <row r="515" customFormat="false" ht="15" hidden="false" customHeight="false" outlineLevel="0" collapsed="false">
      <c r="A515" s="27" t="n">
        <v>46238</v>
      </c>
      <c r="B515" s="26" t="s">
        <v>85</v>
      </c>
      <c r="C515" s="26" t="s">
        <v>142</v>
      </c>
      <c r="D515" s="26"/>
      <c r="E515" s="26" t="s">
        <v>106</v>
      </c>
      <c r="F515" s="28" t="n">
        <v>10</v>
      </c>
      <c r="G515" s="28" t="n">
        <v>1</v>
      </c>
      <c r="H515" s="26" t="s">
        <v>91</v>
      </c>
      <c r="I515" s="26"/>
      <c r="J515" s="26"/>
      <c r="K515" s="29" t="str">
        <f aca="false">IF($A515="","",IF(COUNTIFS(tblMoveTypes[Movement],$E515)=0,"Unknown movement type",IF(COUNTIF(tblShipment[Shipment ID],$C515)=0,"Unknown shipment",IF(COUNTIFS(tblShipment[Shipment ID],$C515,tblShipment[Market],$B515)=0,"Market does not match shipment",IF(AND(IFERROR(INDEX(tblMoveTypes[Item?],MATCH($E515,tblMoveTypes[Movement],0)),"?")="Yes",$D515=""),"Item needed",IF(AND(IFERROR(INDEX(tblMoveTypes[Item?],MATCH($E515,tblMoveTypes[Movement],0)),"?")="No",$D515&lt;&gt;""),"Leave Item blank",IF(AND(IFERROR(INDEX(tblMoveTypes[Courier?],MATCH($E515,tblMoveTypes[Movement],0)),"?")="Yes",$H515=""),"Courier needed",IF(AND(IFERROR(INDEX(tblMoveTypes[Courier?],MATCH($E515,tblMoveTypes[Movement],0)),"?")="No",$H515&lt;&gt;""),"Leave Courier blank",IF(AND(IFERROR(INDEX(tblMoveTypes[Orders?],MATCH($E515,tblMoveTypes[Movement],0)),"?")="Yes",$G515=""),"Orders needed",IF(AND(IFERROR(INDEX(tblMoveTypes[Orders?],MATCH($E515,tblMoveTypes[Movement],0)),"?")="No",$G515&lt;&gt;""),"Leave Orders blank",IF(AND(IFERROR(INDEX(tblMoveTypes[Reason?],MATCH($E515,tblMoveTypes[Movement],0)),"?")="Yes",$I515=""),"Reason needed",IF(AND(IFERROR(INDEX(tblMoveTypes[Qty?],MATCH($E515,tblMoveTypes[Movement],0)),"?")="Yes",N($F515)&lt;=0),"Qty needed",IF($A515&lt;_xlfn.MINIFS(tblShipment[Arrival Date],tblShipment[Shipment ID],$C515),"Date before arrival",IF(AND($D515&lt;&gt;"",COUNTIFS(tblShipment[Shipment ID],$C515,tblShipment[Item Code],$D515)=0),"Item not in this shipment",IF(AND($H515&lt;&gt;"",COUNTIFS(tblCouriers[Courier],$H515,tblCouriers[Market],$B515)=0),"Courier not in this market","OK")))))))))))))))</f>
        <v>OK</v>
      </c>
    </row>
    <row r="516" customFormat="false" ht="15" hidden="false" customHeight="false" outlineLevel="0" collapsed="false">
      <c r="A516" s="27" t="n">
        <v>46238</v>
      </c>
      <c r="B516" s="26" t="s">
        <v>85</v>
      </c>
      <c r="C516" s="26" t="s">
        <v>143</v>
      </c>
      <c r="D516" s="26"/>
      <c r="E516" s="26" t="s">
        <v>106</v>
      </c>
      <c r="F516" s="28" t="n">
        <v>33</v>
      </c>
      <c r="G516" s="28" t="n">
        <v>5</v>
      </c>
      <c r="H516" s="26" t="s">
        <v>91</v>
      </c>
      <c r="I516" s="26"/>
      <c r="J516" s="26"/>
      <c r="K516" s="29" t="str">
        <f aca="false">IF($A516="","",IF(COUNTIFS(tblMoveTypes[Movement],$E516)=0,"Unknown movement type",IF(COUNTIF(tblShipment[Shipment ID],$C516)=0,"Unknown shipment",IF(COUNTIFS(tblShipment[Shipment ID],$C516,tblShipment[Market],$B516)=0,"Market does not match shipment",IF(AND(IFERROR(INDEX(tblMoveTypes[Item?],MATCH($E516,tblMoveTypes[Movement],0)),"?")="Yes",$D516=""),"Item needed",IF(AND(IFERROR(INDEX(tblMoveTypes[Item?],MATCH($E516,tblMoveTypes[Movement],0)),"?")="No",$D516&lt;&gt;""),"Leave Item blank",IF(AND(IFERROR(INDEX(tblMoveTypes[Courier?],MATCH($E516,tblMoveTypes[Movement],0)),"?")="Yes",$H516=""),"Courier needed",IF(AND(IFERROR(INDEX(tblMoveTypes[Courier?],MATCH($E516,tblMoveTypes[Movement],0)),"?")="No",$H516&lt;&gt;""),"Leave Courier blank",IF(AND(IFERROR(INDEX(tblMoveTypes[Orders?],MATCH($E516,tblMoveTypes[Movement],0)),"?")="Yes",$G516=""),"Orders needed",IF(AND(IFERROR(INDEX(tblMoveTypes[Orders?],MATCH($E516,tblMoveTypes[Movement],0)),"?")="No",$G516&lt;&gt;""),"Leave Orders blank",IF(AND(IFERROR(INDEX(tblMoveTypes[Reason?],MATCH($E516,tblMoveTypes[Movement],0)),"?")="Yes",$I516=""),"Reason needed",IF(AND(IFERROR(INDEX(tblMoveTypes[Qty?],MATCH($E516,tblMoveTypes[Movement],0)),"?")="Yes",N($F516)&lt;=0),"Qty needed",IF($A516&lt;_xlfn.MINIFS(tblShipment[Arrival Date],tblShipment[Shipment ID],$C516),"Date before arrival",IF(AND($D516&lt;&gt;"",COUNTIFS(tblShipment[Shipment ID],$C516,tblShipment[Item Code],$D516)=0),"Item not in this shipment",IF(AND($H516&lt;&gt;"",COUNTIFS(tblCouriers[Courier],$H516,tblCouriers[Market],$B516)=0),"Courier not in this market","OK")))))))))))))))</f>
        <v>OK</v>
      </c>
    </row>
    <row r="517" customFormat="false" ht="15" hidden="false" customHeight="false" outlineLevel="0" collapsed="false">
      <c r="A517" s="27" t="n">
        <v>46238</v>
      </c>
      <c r="B517" s="26" t="s">
        <v>85</v>
      </c>
      <c r="C517" s="26" t="s">
        <v>143</v>
      </c>
      <c r="D517" s="26"/>
      <c r="E517" s="26" t="s">
        <v>108</v>
      </c>
      <c r="F517" s="28" t="n">
        <v>7</v>
      </c>
      <c r="G517" s="28" t="n">
        <v>1</v>
      </c>
      <c r="H517" s="26" t="s">
        <v>91</v>
      </c>
      <c r="I517" s="26" t="s">
        <v>102</v>
      </c>
      <c r="J517" s="26"/>
      <c r="K517" s="29" t="str">
        <f aca="false">IF($A517="","",IF(COUNTIFS(tblMoveTypes[Movement],$E517)=0,"Unknown movement type",IF(COUNTIF(tblShipment[Shipment ID],$C517)=0,"Unknown shipment",IF(COUNTIFS(tblShipment[Shipment ID],$C517,tblShipment[Market],$B517)=0,"Market does not match shipment",IF(AND(IFERROR(INDEX(tblMoveTypes[Item?],MATCH($E517,tblMoveTypes[Movement],0)),"?")="Yes",$D517=""),"Item needed",IF(AND(IFERROR(INDEX(tblMoveTypes[Item?],MATCH($E517,tblMoveTypes[Movement],0)),"?")="No",$D517&lt;&gt;""),"Leave Item blank",IF(AND(IFERROR(INDEX(tblMoveTypes[Courier?],MATCH($E517,tblMoveTypes[Movement],0)),"?")="Yes",$H517=""),"Courier needed",IF(AND(IFERROR(INDEX(tblMoveTypes[Courier?],MATCH($E517,tblMoveTypes[Movement],0)),"?")="No",$H517&lt;&gt;""),"Leave Courier blank",IF(AND(IFERROR(INDEX(tblMoveTypes[Orders?],MATCH($E517,tblMoveTypes[Movement],0)),"?")="Yes",$G517=""),"Orders needed",IF(AND(IFERROR(INDEX(tblMoveTypes[Orders?],MATCH($E517,tblMoveTypes[Movement],0)),"?")="No",$G517&lt;&gt;""),"Leave Orders blank",IF(AND(IFERROR(INDEX(tblMoveTypes[Reason?],MATCH($E517,tblMoveTypes[Movement],0)),"?")="Yes",$I517=""),"Reason needed",IF(AND(IFERROR(INDEX(tblMoveTypes[Qty?],MATCH($E517,tblMoveTypes[Movement],0)),"?")="Yes",N($F517)&lt;=0),"Qty needed",IF($A517&lt;_xlfn.MINIFS(tblShipment[Arrival Date],tblShipment[Shipment ID],$C517),"Date before arrival",IF(AND($D517&lt;&gt;"",COUNTIFS(tblShipment[Shipment ID],$C517,tblShipment[Item Code],$D517)=0),"Item not in this shipment",IF(AND($H517&lt;&gt;"",COUNTIFS(tblCouriers[Courier],$H517,tblCouriers[Market],$B517)=0),"Courier not in this market","OK")))))))))))))))</f>
        <v>OK</v>
      </c>
    </row>
    <row r="518" customFormat="false" ht="15" hidden="false" customHeight="false" outlineLevel="0" collapsed="false">
      <c r="A518" s="27" t="n">
        <v>46238</v>
      </c>
      <c r="B518" s="26" t="s">
        <v>85</v>
      </c>
      <c r="C518" s="26" t="s">
        <v>143</v>
      </c>
      <c r="D518" s="26" t="s">
        <v>76</v>
      </c>
      <c r="E518" s="26" t="s">
        <v>110</v>
      </c>
      <c r="F518" s="28" t="n">
        <v>5</v>
      </c>
      <c r="G518" s="28"/>
      <c r="H518" s="26"/>
      <c r="I518" s="26"/>
      <c r="J518" s="26"/>
      <c r="K518" s="29" t="str">
        <f aca="false">IF($A518="","",IF(COUNTIFS(tblMoveTypes[Movement],$E518)=0,"Unknown movement type",IF(COUNTIF(tblShipment[Shipment ID],$C518)=0,"Unknown shipment",IF(COUNTIFS(tblShipment[Shipment ID],$C518,tblShipment[Market],$B518)=0,"Market does not match shipment",IF(AND(IFERROR(INDEX(tblMoveTypes[Item?],MATCH($E518,tblMoveTypes[Movement],0)),"?")="Yes",$D518=""),"Item needed",IF(AND(IFERROR(INDEX(tblMoveTypes[Item?],MATCH($E518,tblMoveTypes[Movement],0)),"?")="No",$D518&lt;&gt;""),"Leave Item blank",IF(AND(IFERROR(INDEX(tblMoveTypes[Courier?],MATCH($E518,tblMoveTypes[Movement],0)),"?")="Yes",$H518=""),"Courier needed",IF(AND(IFERROR(INDEX(tblMoveTypes[Courier?],MATCH($E518,tblMoveTypes[Movement],0)),"?")="No",$H518&lt;&gt;""),"Leave Courier blank",IF(AND(IFERROR(INDEX(tblMoveTypes[Orders?],MATCH($E518,tblMoveTypes[Movement],0)),"?")="Yes",$G518=""),"Orders needed",IF(AND(IFERROR(INDEX(tblMoveTypes[Orders?],MATCH($E518,tblMoveTypes[Movement],0)),"?")="No",$G518&lt;&gt;""),"Leave Orders blank",IF(AND(IFERROR(INDEX(tblMoveTypes[Reason?],MATCH($E518,tblMoveTypes[Movement],0)),"?")="Yes",$I518=""),"Reason needed",IF(AND(IFERROR(INDEX(tblMoveTypes[Qty?],MATCH($E518,tblMoveTypes[Movement],0)),"?")="Yes",N($F518)&lt;=0),"Qty needed",IF($A518&lt;_xlfn.MINIFS(tblShipment[Arrival Date],tblShipment[Shipment ID],$C518),"Date before arrival",IF(AND($D518&lt;&gt;"",COUNTIFS(tblShipment[Shipment ID],$C518,tblShipment[Item Code],$D518)=0),"Item not in this shipment",IF(AND($H518&lt;&gt;"",COUNTIFS(tblCouriers[Courier],$H518,tblCouriers[Market],$B518)=0),"Courier not in this market","OK")))))))))))))))</f>
        <v>OK</v>
      </c>
    </row>
    <row r="519" customFormat="false" ht="15" hidden="false" customHeight="false" outlineLevel="0" collapsed="false">
      <c r="A519" s="27" t="n">
        <v>46238</v>
      </c>
      <c r="B519" s="26" t="s">
        <v>85</v>
      </c>
      <c r="C519" s="26" t="s">
        <v>143</v>
      </c>
      <c r="D519" s="26" t="s">
        <v>76</v>
      </c>
      <c r="E519" s="26" t="s">
        <v>112</v>
      </c>
      <c r="F519" s="28" t="n">
        <v>2</v>
      </c>
      <c r="G519" s="28"/>
      <c r="H519" s="26"/>
      <c r="I519" s="26" t="s">
        <v>72</v>
      </c>
      <c r="J519" s="26"/>
      <c r="K519" s="29" t="str">
        <f aca="false">IF($A519="","",IF(COUNTIFS(tblMoveTypes[Movement],$E519)=0,"Unknown movement type",IF(COUNTIF(tblShipment[Shipment ID],$C519)=0,"Unknown shipment",IF(COUNTIFS(tblShipment[Shipment ID],$C519,tblShipment[Market],$B519)=0,"Market does not match shipment",IF(AND(IFERROR(INDEX(tblMoveTypes[Item?],MATCH($E519,tblMoveTypes[Movement],0)),"?")="Yes",$D519=""),"Item needed",IF(AND(IFERROR(INDEX(tblMoveTypes[Item?],MATCH($E519,tblMoveTypes[Movement],0)),"?")="No",$D519&lt;&gt;""),"Leave Item blank",IF(AND(IFERROR(INDEX(tblMoveTypes[Courier?],MATCH($E519,tblMoveTypes[Movement],0)),"?")="Yes",$H519=""),"Courier needed",IF(AND(IFERROR(INDEX(tblMoveTypes[Courier?],MATCH($E519,tblMoveTypes[Movement],0)),"?")="No",$H519&lt;&gt;""),"Leave Courier blank",IF(AND(IFERROR(INDEX(tblMoveTypes[Orders?],MATCH($E519,tblMoveTypes[Movement],0)),"?")="Yes",$G519=""),"Orders needed",IF(AND(IFERROR(INDEX(tblMoveTypes[Orders?],MATCH($E519,tblMoveTypes[Movement],0)),"?")="No",$G519&lt;&gt;""),"Leave Orders blank",IF(AND(IFERROR(INDEX(tblMoveTypes[Reason?],MATCH($E519,tblMoveTypes[Movement],0)),"?")="Yes",$I519=""),"Reason needed",IF(AND(IFERROR(INDEX(tblMoveTypes[Qty?],MATCH($E519,tblMoveTypes[Movement],0)),"?")="Yes",N($F519)&lt;=0),"Qty needed",IF($A519&lt;_xlfn.MINIFS(tblShipment[Arrival Date],tblShipment[Shipment ID],$C519),"Date before arrival",IF(AND($D519&lt;&gt;"",COUNTIFS(tblShipment[Shipment ID],$C519,tblShipment[Item Code],$D519)=0),"Item not in this shipment",IF(AND($H519&lt;&gt;"",COUNTIFS(tblCouriers[Courier],$H519,tblCouriers[Market],$B519)=0),"Courier not in this market","OK")))))))))))))))</f>
        <v>OK</v>
      </c>
    </row>
    <row r="520" customFormat="false" ht="15" hidden="false" customHeight="false" outlineLevel="0" collapsed="false">
      <c r="A520" s="27" t="n">
        <v>46238</v>
      </c>
      <c r="B520" s="26" t="s">
        <v>85</v>
      </c>
      <c r="C520" s="26" t="s">
        <v>143</v>
      </c>
      <c r="D520" s="26"/>
      <c r="E520" s="26" t="s">
        <v>108</v>
      </c>
      <c r="F520" s="28" t="n">
        <v>4</v>
      </c>
      <c r="G520" s="28" t="n">
        <v>1</v>
      </c>
      <c r="H520" s="26" t="s">
        <v>96</v>
      </c>
      <c r="I520" s="26" t="s">
        <v>102</v>
      </c>
      <c r="J520" s="26"/>
      <c r="K520" s="29" t="str">
        <f aca="false">IF($A520="","",IF(COUNTIFS(tblMoveTypes[Movement],$E520)=0,"Unknown movement type",IF(COUNTIF(tblShipment[Shipment ID],$C520)=0,"Unknown shipment",IF(COUNTIFS(tblShipment[Shipment ID],$C520,tblShipment[Market],$B520)=0,"Market does not match shipment",IF(AND(IFERROR(INDEX(tblMoveTypes[Item?],MATCH($E520,tblMoveTypes[Movement],0)),"?")="Yes",$D520=""),"Item needed",IF(AND(IFERROR(INDEX(tblMoveTypes[Item?],MATCH($E520,tblMoveTypes[Movement],0)),"?")="No",$D520&lt;&gt;""),"Leave Item blank",IF(AND(IFERROR(INDEX(tblMoveTypes[Courier?],MATCH($E520,tblMoveTypes[Movement],0)),"?")="Yes",$H520=""),"Courier needed",IF(AND(IFERROR(INDEX(tblMoveTypes[Courier?],MATCH($E520,tblMoveTypes[Movement],0)),"?")="No",$H520&lt;&gt;""),"Leave Courier blank",IF(AND(IFERROR(INDEX(tblMoveTypes[Orders?],MATCH($E520,tblMoveTypes[Movement],0)),"?")="Yes",$G520=""),"Orders needed",IF(AND(IFERROR(INDEX(tblMoveTypes[Orders?],MATCH($E520,tblMoveTypes[Movement],0)),"?")="No",$G520&lt;&gt;""),"Leave Orders blank",IF(AND(IFERROR(INDEX(tblMoveTypes[Reason?],MATCH($E520,tblMoveTypes[Movement],0)),"?")="Yes",$I520=""),"Reason needed",IF(AND(IFERROR(INDEX(tblMoveTypes[Qty?],MATCH($E520,tblMoveTypes[Movement],0)),"?")="Yes",N($F520)&lt;=0),"Qty needed",IF($A520&lt;_xlfn.MINIFS(tblShipment[Arrival Date],tblShipment[Shipment ID],$C520),"Date before arrival",IF(AND($D520&lt;&gt;"",COUNTIFS(tblShipment[Shipment ID],$C520,tblShipment[Item Code],$D520)=0),"Item not in this shipment",IF(AND($H520&lt;&gt;"",COUNTIFS(tblCouriers[Courier],$H520,tblCouriers[Market],$B520)=0),"Courier not in this market","OK")))))))))))))))</f>
        <v>OK</v>
      </c>
    </row>
    <row r="521" customFormat="false" ht="15" hidden="false" customHeight="false" outlineLevel="0" collapsed="false">
      <c r="A521" s="27" t="n">
        <v>46238</v>
      </c>
      <c r="B521" s="26" t="s">
        <v>85</v>
      </c>
      <c r="C521" s="26" t="s">
        <v>143</v>
      </c>
      <c r="D521" s="26" t="s">
        <v>94</v>
      </c>
      <c r="E521" s="26" t="s">
        <v>110</v>
      </c>
      <c r="F521" s="28" t="n">
        <v>3</v>
      </c>
      <c r="G521" s="28"/>
      <c r="H521" s="26"/>
      <c r="I521" s="26"/>
      <c r="J521" s="26"/>
      <c r="K521" s="29" t="str">
        <f aca="false">IF($A521="","",IF(COUNTIFS(tblMoveTypes[Movement],$E521)=0,"Unknown movement type",IF(COUNTIF(tblShipment[Shipment ID],$C521)=0,"Unknown shipment",IF(COUNTIFS(tblShipment[Shipment ID],$C521,tblShipment[Market],$B521)=0,"Market does not match shipment",IF(AND(IFERROR(INDEX(tblMoveTypes[Item?],MATCH($E521,tblMoveTypes[Movement],0)),"?")="Yes",$D521=""),"Item needed",IF(AND(IFERROR(INDEX(tblMoveTypes[Item?],MATCH($E521,tblMoveTypes[Movement],0)),"?")="No",$D521&lt;&gt;""),"Leave Item blank",IF(AND(IFERROR(INDEX(tblMoveTypes[Courier?],MATCH($E521,tblMoveTypes[Movement],0)),"?")="Yes",$H521=""),"Courier needed",IF(AND(IFERROR(INDEX(tblMoveTypes[Courier?],MATCH($E521,tblMoveTypes[Movement],0)),"?")="No",$H521&lt;&gt;""),"Leave Courier blank",IF(AND(IFERROR(INDEX(tblMoveTypes[Orders?],MATCH($E521,tblMoveTypes[Movement],0)),"?")="Yes",$G521=""),"Orders needed",IF(AND(IFERROR(INDEX(tblMoveTypes[Orders?],MATCH($E521,tblMoveTypes[Movement],0)),"?")="No",$G521&lt;&gt;""),"Leave Orders blank",IF(AND(IFERROR(INDEX(tblMoveTypes[Reason?],MATCH($E521,tblMoveTypes[Movement],0)),"?")="Yes",$I521=""),"Reason needed",IF(AND(IFERROR(INDEX(tblMoveTypes[Qty?],MATCH($E521,tblMoveTypes[Movement],0)),"?")="Yes",N($F521)&lt;=0),"Qty needed",IF($A521&lt;_xlfn.MINIFS(tblShipment[Arrival Date],tblShipment[Shipment ID],$C521),"Date before arrival",IF(AND($D521&lt;&gt;"",COUNTIFS(tblShipment[Shipment ID],$C521,tblShipment[Item Code],$D521)=0),"Item not in this shipment",IF(AND($H521&lt;&gt;"",COUNTIFS(tblCouriers[Courier],$H521,tblCouriers[Market],$B521)=0),"Courier not in this market","OK")))))))))))))))</f>
        <v>OK</v>
      </c>
    </row>
    <row r="522" customFormat="false" ht="15" hidden="false" customHeight="false" outlineLevel="0" collapsed="false">
      <c r="A522" s="27" t="n">
        <v>46238</v>
      </c>
      <c r="B522" s="26" t="s">
        <v>85</v>
      </c>
      <c r="C522" s="26" t="s">
        <v>143</v>
      </c>
      <c r="D522" s="26" t="s">
        <v>94</v>
      </c>
      <c r="E522" s="26" t="s">
        <v>112</v>
      </c>
      <c r="F522" s="28" t="n">
        <v>1</v>
      </c>
      <c r="G522" s="28"/>
      <c r="H522" s="26"/>
      <c r="I522" s="26" t="s">
        <v>72</v>
      </c>
      <c r="J522" s="26"/>
      <c r="K522" s="29" t="str">
        <f aca="false">IF($A522="","",IF(COUNTIFS(tblMoveTypes[Movement],$E522)=0,"Unknown movement type",IF(COUNTIF(tblShipment[Shipment ID],$C522)=0,"Unknown shipment",IF(COUNTIFS(tblShipment[Shipment ID],$C522,tblShipment[Market],$B522)=0,"Market does not match shipment",IF(AND(IFERROR(INDEX(tblMoveTypes[Item?],MATCH($E522,tblMoveTypes[Movement],0)),"?")="Yes",$D522=""),"Item needed",IF(AND(IFERROR(INDEX(tblMoveTypes[Item?],MATCH($E522,tblMoveTypes[Movement],0)),"?")="No",$D522&lt;&gt;""),"Leave Item blank",IF(AND(IFERROR(INDEX(tblMoveTypes[Courier?],MATCH($E522,tblMoveTypes[Movement],0)),"?")="Yes",$H522=""),"Courier needed",IF(AND(IFERROR(INDEX(tblMoveTypes[Courier?],MATCH($E522,tblMoveTypes[Movement],0)),"?")="No",$H522&lt;&gt;""),"Leave Courier blank",IF(AND(IFERROR(INDEX(tblMoveTypes[Orders?],MATCH($E522,tblMoveTypes[Movement],0)),"?")="Yes",$G522=""),"Orders needed",IF(AND(IFERROR(INDEX(tblMoveTypes[Orders?],MATCH($E522,tblMoveTypes[Movement],0)),"?")="No",$G522&lt;&gt;""),"Leave Orders blank",IF(AND(IFERROR(INDEX(tblMoveTypes[Reason?],MATCH($E522,tblMoveTypes[Movement],0)),"?")="Yes",$I522=""),"Reason needed",IF(AND(IFERROR(INDEX(tblMoveTypes[Qty?],MATCH($E522,tblMoveTypes[Movement],0)),"?")="Yes",N($F522)&lt;=0),"Qty needed",IF($A522&lt;_xlfn.MINIFS(tblShipment[Arrival Date],tblShipment[Shipment ID],$C522),"Date before arrival",IF(AND($D522&lt;&gt;"",COUNTIFS(tblShipment[Shipment ID],$C522,tblShipment[Item Code],$D522)=0),"Item not in this shipment",IF(AND($H522&lt;&gt;"",COUNTIFS(tblCouriers[Courier],$H522,tblCouriers[Market],$B522)=0),"Courier not in this market","OK")))))))))))))))</f>
        <v>OK</v>
      </c>
    </row>
    <row r="523" customFormat="false" ht="15" hidden="false" customHeight="false" outlineLevel="0" collapsed="false">
      <c r="A523" s="27" t="n">
        <v>46238</v>
      </c>
      <c r="B523" s="26" t="s">
        <v>90</v>
      </c>
      <c r="C523" s="26" t="s">
        <v>149</v>
      </c>
      <c r="D523" s="26"/>
      <c r="E523" s="26" t="s">
        <v>106</v>
      </c>
      <c r="F523" s="28" t="n">
        <v>5</v>
      </c>
      <c r="G523" s="28" t="n">
        <v>1</v>
      </c>
      <c r="H523" s="26" t="s">
        <v>101</v>
      </c>
      <c r="I523" s="26"/>
      <c r="J523" s="26"/>
      <c r="K523" s="29" t="str">
        <f aca="false">IF($A523="","",IF(COUNTIFS(tblMoveTypes[Movement],$E523)=0,"Unknown movement type",IF(COUNTIF(tblShipment[Shipment ID],$C523)=0,"Unknown shipment",IF(COUNTIFS(tblShipment[Shipment ID],$C523,tblShipment[Market],$B523)=0,"Market does not match shipment",IF(AND(IFERROR(INDEX(tblMoveTypes[Item?],MATCH($E523,tblMoveTypes[Movement],0)),"?")="Yes",$D523=""),"Item needed",IF(AND(IFERROR(INDEX(tblMoveTypes[Item?],MATCH($E523,tblMoveTypes[Movement],0)),"?")="No",$D523&lt;&gt;""),"Leave Item blank",IF(AND(IFERROR(INDEX(tblMoveTypes[Courier?],MATCH($E523,tblMoveTypes[Movement],0)),"?")="Yes",$H523=""),"Courier needed",IF(AND(IFERROR(INDEX(tblMoveTypes[Courier?],MATCH($E523,tblMoveTypes[Movement],0)),"?")="No",$H523&lt;&gt;""),"Leave Courier blank",IF(AND(IFERROR(INDEX(tblMoveTypes[Orders?],MATCH($E523,tblMoveTypes[Movement],0)),"?")="Yes",$G523=""),"Orders needed",IF(AND(IFERROR(INDEX(tblMoveTypes[Orders?],MATCH($E523,tblMoveTypes[Movement],0)),"?")="No",$G523&lt;&gt;""),"Leave Orders blank",IF(AND(IFERROR(INDEX(tblMoveTypes[Reason?],MATCH($E523,tblMoveTypes[Movement],0)),"?")="Yes",$I523=""),"Reason needed",IF(AND(IFERROR(INDEX(tblMoveTypes[Qty?],MATCH($E523,tblMoveTypes[Movement],0)),"?")="Yes",N($F523)&lt;=0),"Qty needed",IF($A523&lt;_xlfn.MINIFS(tblShipment[Arrival Date],tblShipment[Shipment ID],$C523),"Date before arrival",IF(AND($D523&lt;&gt;"",COUNTIFS(tblShipment[Shipment ID],$C523,tblShipment[Item Code],$D523)=0),"Item not in this shipment",IF(AND($H523&lt;&gt;"",COUNTIFS(tblCouriers[Courier],$H523,tblCouriers[Market],$B523)=0),"Courier not in this market","OK")))))))))))))))</f>
        <v>OK</v>
      </c>
    </row>
    <row r="524" customFormat="false" ht="15" hidden="false" customHeight="false" outlineLevel="0" collapsed="false">
      <c r="A524" s="27" t="n">
        <v>46238</v>
      </c>
      <c r="B524" s="26" t="s">
        <v>90</v>
      </c>
      <c r="C524" s="26" t="s">
        <v>150</v>
      </c>
      <c r="D524" s="26"/>
      <c r="E524" s="26" t="s">
        <v>106</v>
      </c>
      <c r="F524" s="28" t="n">
        <v>54</v>
      </c>
      <c r="G524" s="28" t="n">
        <v>8</v>
      </c>
      <c r="H524" s="26" t="s">
        <v>101</v>
      </c>
      <c r="I524" s="26"/>
      <c r="J524" s="26"/>
      <c r="K524" s="29" t="str">
        <f aca="false">IF($A524="","",IF(COUNTIFS(tblMoveTypes[Movement],$E524)=0,"Unknown movement type",IF(COUNTIF(tblShipment[Shipment ID],$C524)=0,"Unknown shipment",IF(COUNTIFS(tblShipment[Shipment ID],$C524,tblShipment[Market],$B524)=0,"Market does not match shipment",IF(AND(IFERROR(INDEX(tblMoveTypes[Item?],MATCH($E524,tblMoveTypes[Movement],0)),"?")="Yes",$D524=""),"Item needed",IF(AND(IFERROR(INDEX(tblMoveTypes[Item?],MATCH($E524,tblMoveTypes[Movement],0)),"?")="No",$D524&lt;&gt;""),"Leave Item blank",IF(AND(IFERROR(INDEX(tblMoveTypes[Courier?],MATCH($E524,tblMoveTypes[Movement],0)),"?")="Yes",$H524=""),"Courier needed",IF(AND(IFERROR(INDEX(tblMoveTypes[Courier?],MATCH($E524,tblMoveTypes[Movement],0)),"?")="No",$H524&lt;&gt;""),"Leave Courier blank",IF(AND(IFERROR(INDEX(tblMoveTypes[Orders?],MATCH($E524,tblMoveTypes[Movement],0)),"?")="Yes",$G524=""),"Orders needed",IF(AND(IFERROR(INDEX(tblMoveTypes[Orders?],MATCH($E524,tblMoveTypes[Movement],0)),"?")="No",$G524&lt;&gt;""),"Leave Orders blank",IF(AND(IFERROR(INDEX(tblMoveTypes[Reason?],MATCH($E524,tblMoveTypes[Movement],0)),"?")="Yes",$I524=""),"Reason needed",IF(AND(IFERROR(INDEX(tblMoveTypes[Qty?],MATCH($E524,tblMoveTypes[Movement],0)),"?")="Yes",N($F524)&lt;=0),"Qty needed",IF($A524&lt;_xlfn.MINIFS(tblShipment[Arrival Date],tblShipment[Shipment ID],$C524),"Date before arrival",IF(AND($D524&lt;&gt;"",COUNTIFS(tblShipment[Shipment ID],$C524,tblShipment[Item Code],$D524)=0),"Item not in this shipment",IF(AND($H524&lt;&gt;"",COUNTIFS(tblCouriers[Courier],$H524,tblCouriers[Market],$B524)=0),"Courier not in this market","OK")))))))))))))))</f>
        <v>OK</v>
      </c>
    </row>
    <row r="525" customFormat="false" ht="15" hidden="false" customHeight="false" outlineLevel="0" collapsed="false">
      <c r="A525" s="27" t="n">
        <v>46238</v>
      </c>
      <c r="B525" s="26" t="s">
        <v>78</v>
      </c>
      <c r="C525" s="26" t="s">
        <v>134</v>
      </c>
      <c r="D525" s="26"/>
      <c r="E525" s="26" t="s">
        <v>108</v>
      </c>
      <c r="F525" s="28" t="n">
        <v>4</v>
      </c>
      <c r="G525" s="28" t="n">
        <v>1</v>
      </c>
      <c r="H525" s="26" t="s">
        <v>79</v>
      </c>
      <c r="I525" s="26" t="s">
        <v>107</v>
      </c>
      <c r="J525" s="26"/>
      <c r="K525" s="29" t="str">
        <f aca="false">IF($A525="","",IF(COUNTIFS(tblMoveTypes[Movement],$E525)=0,"Unknown movement type",IF(COUNTIF(tblShipment[Shipment ID],$C525)=0,"Unknown shipment",IF(COUNTIFS(tblShipment[Shipment ID],$C525,tblShipment[Market],$B525)=0,"Market does not match shipment",IF(AND(IFERROR(INDEX(tblMoveTypes[Item?],MATCH($E525,tblMoveTypes[Movement],0)),"?")="Yes",$D525=""),"Item needed",IF(AND(IFERROR(INDEX(tblMoveTypes[Item?],MATCH($E525,tblMoveTypes[Movement],0)),"?")="No",$D525&lt;&gt;""),"Leave Item blank",IF(AND(IFERROR(INDEX(tblMoveTypes[Courier?],MATCH($E525,tblMoveTypes[Movement],0)),"?")="Yes",$H525=""),"Courier needed",IF(AND(IFERROR(INDEX(tblMoveTypes[Courier?],MATCH($E525,tblMoveTypes[Movement],0)),"?")="No",$H525&lt;&gt;""),"Leave Courier blank",IF(AND(IFERROR(INDEX(tblMoveTypes[Orders?],MATCH($E525,tblMoveTypes[Movement],0)),"?")="Yes",$G525=""),"Orders needed",IF(AND(IFERROR(INDEX(tblMoveTypes[Orders?],MATCH($E525,tblMoveTypes[Movement],0)),"?")="No",$G525&lt;&gt;""),"Leave Orders blank",IF(AND(IFERROR(INDEX(tblMoveTypes[Reason?],MATCH($E525,tblMoveTypes[Movement],0)),"?")="Yes",$I525=""),"Reason needed",IF(AND(IFERROR(INDEX(tblMoveTypes[Qty?],MATCH($E525,tblMoveTypes[Movement],0)),"?")="Yes",N($F525)&lt;=0),"Qty needed",IF($A525&lt;_xlfn.MINIFS(tblShipment[Arrival Date],tblShipment[Shipment ID],$C525),"Date before arrival",IF(AND($D525&lt;&gt;"",COUNTIFS(tblShipment[Shipment ID],$C525,tblShipment[Item Code],$D525)=0),"Item not in this shipment",IF(AND($H525&lt;&gt;"",COUNTIFS(tblCouriers[Courier],$H525,tblCouriers[Market],$B525)=0),"Courier not in this market","OK")))))))))))))))</f>
        <v>OK</v>
      </c>
    </row>
    <row r="526" customFormat="false" ht="15" hidden="false" customHeight="false" outlineLevel="0" collapsed="false">
      <c r="A526" s="27" t="n">
        <v>46238</v>
      </c>
      <c r="B526" s="26" t="s">
        <v>78</v>
      </c>
      <c r="C526" s="26" t="s">
        <v>134</v>
      </c>
      <c r="D526" s="26" t="s">
        <v>83</v>
      </c>
      <c r="E526" s="26" t="s">
        <v>110</v>
      </c>
      <c r="F526" s="28" t="n">
        <v>3</v>
      </c>
      <c r="G526" s="28"/>
      <c r="H526" s="26"/>
      <c r="I526" s="26"/>
      <c r="J526" s="26"/>
      <c r="K526" s="29" t="str">
        <f aca="false">IF($A526="","",IF(COUNTIFS(tblMoveTypes[Movement],$E526)=0,"Unknown movement type",IF(COUNTIF(tblShipment[Shipment ID],$C526)=0,"Unknown shipment",IF(COUNTIFS(tblShipment[Shipment ID],$C526,tblShipment[Market],$B526)=0,"Market does not match shipment",IF(AND(IFERROR(INDEX(tblMoveTypes[Item?],MATCH($E526,tblMoveTypes[Movement],0)),"?")="Yes",$D526=""),"Item needed",IF(AND(IFERROR(INDEX(tblMoveTypes[Item?],MATCH($E526,tblMoveTypes[Movement],0)),"?")="No",$D526&lt;&gt;""),"Leave Item blank",IF(AND(IFERROR(INDEX(tblMoveTypes[Courier?],MATCH($E526,tblMoveTypes[Movement],0)),"?")="Yes",$H526=""),"Courier needed",IF(AND(IFERROR(INDEX(tblMoveTypes[Courier?],MATCH($E526,tblMoveTypes[Movement],0)),"?")="No",$H526&lt;&gt;""),"Leave Courier blank",IF(AND(IFERROR(INDEX(tblMoveTypes[Orders?],MATCH($E526,tblMoveTypes[Movement],0)),"?")="Yes",$G526=""),"Orders needed",IF(AND(IFERROR(INDEX(tblMoveTypes[Orders?],MATCH($E526,tblMoveTypes[Movement],0)),"?")="No",$G526&lt;&gt;""),"Leave Orders blank",IF(AND(IFERROR(INDEX(tblMoveTypes[Reason?],MATCH($E526,tblMoveTypes[Movement],0)),"?")="Yes",$I526=""),"Reason needed",IF(AND(IFERROR(INDEX(tblMoveTypes[Qty?],MATCH($E526,tblMoveTypes[Movement],0)),"?")="Yes",N($F526)&lt;=0),"Qty needed",IF($A526&lt;_xlfn.MINIFS(tblShipment[Arrival Date],tblShipment[Shipment ID],$C526),"Date before arrival",IF(AND($D526&lt;&gt;"",COUNTIFS(tblShipment[Shipment ID],$C526,tblShipment[Item Code],$D526)=0),"Item not in this shipment",IF(AND($H526&lt;&gt;"",COUNTIFS(tblCouriers[Courier],$H526,tblCouriers[Market],$B526)=0),"Courier not in this market","OK")))))))))))))))</f>
        <v>OK</v>
      </c>
    </row>
    <row r="527" customFormat="false" ht="15" hidden="false" customHeight="false" outlineLevel="0" collapsed="false">
      <c r="A527" s="27" t="n">
        <v>46238</v>
      </c>
      <c r="B527" s="26" t="s">
        <v>78</v>
      </c>
      <c r="C527" s="26" t="s">
        <v>134</v>
      </c>
      <c r="D527" s="26" t="s">
        <v>83</v>
      </c>
      <c r="E527" s="26" t="s">
        <v>112</v>
      </c>
      <c r="F527" s="28" t="n">
        <v>1</v>
      </c>
      <c r="G527" s="28"/>
      <c r="H527" s="26"/>
      <c r="I527" s="26" t="s">
        <v>80</v>
      </c>
      <c r="J527" s="26"/>
      <c r="K527" s="29" t="str">
        <f aca="false">IF($A527="","",IF(COUNTIFS(tblMoveTypes[Movement],$E527)=0,"Unknown movement type",IF(COUNTIF(tblShipment[Shipment ID],$C527)=0,"Unknown shipment",IF(COUNTIFS(tblShipment[Shipment ID],$C527,tblShipment[Market],$B527)=0,"Market does not match shipment",IF(AND(IFERROR(INDEX(tblMoveTypes[Item?],MATCH($E527,tblMoveTypes[Movement],0)),"?")="Yes",$D527=""),"Item needed",IF(AND(IFERROR(INDEX(tblMoveTypes[Item?],MATCH($E527,tblMoveTypes[Movement],0)),"?")="No",$D527&lt;&gt;""),"Leave Item blank",IF(AND(IFERROR(INDEX(tblMoveTypes[Courier?],MATCH($E527,tblMoveTypes[Movement],0)),"?")="Yes",$H527=""),"Courier needed",IF(AND(IFERROR(INDEX(tblMoveTypes[Courier?],MATCH($E527,tblMoveTypes[Movement],0)),"?")="No",$H527&lt;&gt;""),"Leave Courier blank",IF(AND(IFERROR(INDEX(tblMoveTypes[Orders?],MATCH($E527,tblMoveTypes[Movement],0)),"?")="Yes",$G527=""),"Orders needed",IF(AND(IFERROR(INDEX(tblMoveTypes[Orders?],MATCH($E527,tblMoveTypes[Movement],0)),"?")="No",$G527&lt;&gt;""),"Leave Orders blank",IF(AND(IFERROR(INDEX(tblMoveTypes[Reason?],MATCH($E527,tblMoveTypes[Movement],0)),"?")="Yes",$I527=""),"Reason needed",IF(AND(IFERROR(INDEX(tblMoveTypes[Qty?],MATCH($E527,tblMoveTypes[Movement],0)),"?")="Yes",N($F527)&lt;=0),"Qty needed",IF($A527&lt;_xlfn.MINIFS(tblShipment[Arrival Date],tblShipment[Shipment ID],$C527),"Date before arrival",IF(AND($D527&lt;&gt;"",COUNTIFS(tblShipment[Shipment ID],$C527,tblShipment[Item Code],$D527)=0),"Item not in this shipment",IF(AND($H527&lt;&gt;"",COUNTIFS(tblCouriers[Courier],$H527,tblCouriers[Market],$B527)=0),"Courier not in this market","OK")))))))))))))))</f>
        <v>OK</v>
      </c>
    </row>
    <row r="528" customFormat="false" ht="15" hidden="false" customHeight="false" outlineLevel="0" collapsed="false">
      <c r="A528" s="27" t="n">
        <v>46238</v>
      </c>
      <c r="B528" s="26" t="s">
        <v>78</v>
      </c>
      <c r="C528" s="26" t="s">
        <v>134</v>
      </c>
      <c r="D528" s="26"/>
      <c r="E528" s="26" t="s">
        <v>106</v>
      </c>
      <c r="F528" s="28" t="n">
        <v>25</v>
      </c>
      <c r="G528" s="28" t="n">
        <v>3</v>
      </c>
      <c r="H528" s="26" t="s">
        <v>86</v>
      </c>
      <c r="I528" s="26"/>
      <c r="J528" s="26"/>
      <c r="K528" s="29" t="str">
        <f aca="false">IF($A528="","",IF(COUNTIFS(tblMoveTypes[Movement],$E528)=0,"Unknown movement type",IF(COUNTIF(tblShipment[Shipment ID],$C528)=0,"Unknown shipment",IF(COUNTIFS(tblShipment[Shipment ID],$C528,tblShipment[Market],$B528)=0,"Market does not match shipment",IF(AND(IFERROR(INDEX(tblMoveTypes[Item?],MATCH($E528,tblMoveTypes[Movement],0)),"?")="Yes",$D528=""),"Item needed",IF(AND(IFERROR(INDEX(tblMoveTypes[Item?],MATCH($E528,tblMoveTypes[Movement],0)),"?")="No",$D528&lt;&gt;""),"Leave Item blank",IF(AND(IFERROR(INDEX(tblMoveTypes[Courier?],MATCH($E528,tblMoveTypes[Movement],0)),"?")="Yes",$H528=""),"Courier needed",IF(AND(IFERROR(INDEX(tblMoveTypes[Courier?],MATCH($E528,tblMoveTypes[Movement],0)),"?")="No",$H528&lt;&gt;""),"Leave Courier blank",IF(AND(IFERROR(INDEX(tblMoveTypes[Orders?],MATCH($E528,tblMoveTypes[Movement],0)),"?")="Yes",$G528=""),"Orders needed",IF(AND(IFERROR(INDEX(tblMoveTypes[Orders?],MATCH($E528,tblMoveTypes[Movement],0)),"?")="No",$G528&lt;&gt;""),"Leave Orders blank",IF(AND(IFERROR(INDEX(tblMoveTypes[Reason?],MATCH($E528,tblMoveTypes[Movement],0)),"?")="Yes",$I528=""),"Reason needed",IF(AND(IFERROR(INDEX(tblMoveTypes[Qty?],MATCH($E528,tblMoveTypes[Movement],0)),"?")="Yes",N($F528)&lt;=0),"Qty needed",IF($A528&lt;_xlfn.MINIFS(tblShipment[Arrival Date],tblShipment[Shipment ID],$C528),"Date before arrival",IF(AND($D528&lt;&gt;"",COUNTIFS(tblShipment[Shipment ID],$C528,tblShipment[Item Code],$D528)=0),"Item not in this shipment",IF(AND($H528&lt;&gt;"",COUNTIFS(tblCouriers[Courier],$H528,tblCouriers[Market],$B528)=0),"Courier not in this market","OK")))))))))))))))</f>
        <v>OK</v>
      </c>
    </row>
    <row r="529" customFormat="false" ht="15" hidden="false" customHeight="false" outlineLevel="0" collapsed="false">
      <c r="A529" s="27" t="n">
        <v>46239</v>
      </c>
      <c r="B529" s="26" t="s">
        <v>85</v>
      </c>
      <c r="C529" s="26" t="s">
        <v>143</v>
      </c>
      <c r="D529" s="26"/>
      <c r="E529" s="26" t="s">
        <v>106</v>
      </c>
      <c r="F529" s="28" t="n">
        <v>32</v>
      </c>
      <c r="G529" s="28" t="n">
        <v>4</v>
      </c>
      <c r="H529" s="26" t="s">
        <v>96</v>
      </c>
      <c r="I529" s="26"/>
      <c r="J529" s="26"/>
      <c r="K529" s="29" t="str">
        <f aca="false">IF($A529="","",IF(COUNTIFS(tblMoveTypes[Movement],$E529)=0,"Unknown movement type",IF(COUNTIF(tblShipment[Shipment ID],$C529)=0,"Unknown shipment",IF(COUNTIFS(tblShipment[Shipment ID],$C529,tblShipment[Market],$B529)=0,"Market does not match shipment",IF(AND(IFERROR(INDEX(tblMoveTypes[Item?],MATCH($E529,tblMoveTypes[Movement],0)),"?")="Yes",$D529=""),"Item needed",IF(AND(IFERROR(INDEX(tblMoveTypes[Item?],MATCH($E529,tblMoveTypes[Movement],0)),"?")="No",$D529&lt;&gt;""),"Leave Item blank",IF(AND(IFERROR(INDEX(tblMoveTypes[Courier?],MATCH($E529,tblMoveTypes[Movement],0)),"?")="Yes",$H529=""),"Courier needed",IF(AND(IFERROR(INDEX(tblMoveTypes[Courier?],MATCH($E529,tblMoveTypes[Movement],0)),"?")="No",$H529&lt;&gt;""),"Leave Courier blank",IF(AND(IFERROR(INDEX(tblMoveTypes[Orders?],MATCH($E529,tblMoveTypes[Movement],0)),"?")="Yes",$G529=""),"Orders needed",IF(AND(IFERROR(INDEX(tblMoveTypes[Orders?],MATCH($E529,tblMoveTypes[Movement],0)),"?")="No",$G529&lt;&gt;""),"Leave Orders blank",IF(AND(IFERROR(INDEX(tblMoveTypes[Reason?],MATCH($E529,tblMoveTypes[Movement],0)),"?")="Yes",$I529=""),"Reason needed",IF(AND(IFERROR(INDEX(tblMoveTypes[Qty?],MATCH($E529,tblMoveTypes[Movement],0)),"?")="Yes",N($F529)&lt;=0),"Qty needed",IF($A529&lt;_xlfn.MINIFS(tblShipment[Arrival Date],tblShipment[Shipment ID],$C529),"Date before arrival",IF(AND($D529&lt;&gt;"",COUNTIFS(tblShipment[Shipment ID],$C529,tblShipment[Item Code],$D529)=0),"Item not in this shipment",IF(AND($H529&lt;&gt;"",COUNTIFS(tblCouriers[Courier],$H529,tblCouriers[Market],$B529)=0),"Courier not in this market","OK")))))))))))))))</f>
        <v>OK</v>
      </c>
    </row>
    <row r="530" customFormat="false" ht="15" hidden="false" customHeight="false" outlineLevel="0" collapsed="false">
      <c r="A530" s="27" t="n">
        <v>46239</v>
      </c>
      <c r="B530" s="26" t="s">
        <v>90</v>
      </c>
      <c r="C530" s="26" t="s">
        <v>150</v>
      </c>
      <c r="D530" s="26"/>
      <c r="E530" s="26" t="s">
        <v>108</v>
      </c>
      <c r="F530" s="28" t="n">
        <v>22</v>
      </c>
      <c r="G530" s="28" t="n">
        <v>1</v>
      </c>
      <c r="H530" s="26" t="s">
        <v>101</v>
      </c>
      <c r="I530" s="26" t="s">
        <v>111</v>
      </c>
      <c r="J530" s="26"/>
      <c r="K530" s="29" t="str">
        <f aca="false">IF($A530="","",IF(COUNTIFS(tblMoveTypes[Movement],$E530)=0,"Unknown movement type",IF(COUNTIF(tblShipment[Shipment ID],$C530)=0,"Unknown shipment",IF(COUNTIFS(tblShipment[Shipment ID],$C530,tblShipment[Market],$B530)=0,"Market does not match shipment",IF(AND(IFERROR(INDEX(tblMoveTypes[Item?],MATCH($E530,tblMoveTypes[Movement],0)),"?")="Yes",$D530=""),"Item needed",IF(AND(IFERROR(INDEX(tblMoveTypes[Item?],MATCH($E530,tblMoveTypes[Movement],0)),"?")="No",$D530&lt;&gt;""),"Leave Item blank",IF(AND(IFERROR(INDEX(tblMoveTypes[Courier?],MATCH($E530,tblMoveTypes[Movement],0)),"?")="Yes",$H530=""),"Courier needed",IF(AND(IFERROR(INDEX(tblMoveTypes[Courier?],MATCH($E530,tblMoveTypes[Movement],0)),"?")="No",$H530&lt;&gt;""),"Leave Courier blank",IF(AND(IFERROR(INDEX(tblMoveTypes[Orders?],MATCH($E530,tblMoveTypes[Movement],0)),"?")="Yes",$G530=""),"Orders needed",IF(AND(IFERROR(INDEX(tblMoveTypes[Orders?],MATCH($E530,tblMoveTypes[Movement],0)),"?")="No",$G530&lt;&gt;""),"Leave Orders blank",IF(AND(IFERROR(INDEX(tblMoveTypes[Reason?],MATCH($E530,tblMoveTypes[Movement],0)),"?")="Yes",$I530=""),"Reason needed",IF(AND(IFERROR(INDEX(tblMoveTypes[Qty?],MATCH($E530,tblMoveTypes[Movement],0)),"?")="Yes",N($F530)&lt;=0),"Qty needed",IF($A530&lt;_xlfn.MINIFS(tblShipment[Arrival Date],tblShipment[Shipment ID],$C530),"Date before arrival",IF(AND($D530&lt;&gt;"",COUNTIFS(tblShipment[Shipment ID],$C530,tblShipment[Item Code],$D530)=0),"Item not in this shipment",IF(AND($H530&lt;&gt;"",COUNTIFS(tblCouriers[Courier],$H530,tblCouriers[Market],$B530)=0),"Courier not in this market","OK")))))))))))))))</f>
        <v>OK</v>
      </c>
    </row>
    <row r="531" customFormat="false" ht="15" hidden="false" customHeight="false" outlineLevel="0" collapsed="false">
      <c r="A531" s="27" t="n">
        <v>46239</v>
      </c>
      <c r="B531" s="26" t="s">
        <v>90</v>
      </c>
      <c r="C531" s="26" t="s">
        <v>150</v>
      </c>
      <c r="D531" s="26" t="s">
        <v>94</v>
      </c>
      <c r="E531" s="26" t="s">
        <v>110</v>
      </c>
      <c r="F531" s="28" t="n">
        <v>15</v>
      </c>
      <c r="G531" s="28"/>
      <c r="H531" s="26"/>
      <c r="I531" s="26"/>
      <c r="J531" s="26"/>
      <c r="K531" s="29" t="str">
        <f aca="false">IF($A531="","",IF(COUNTIFS(tblMoveTypes[Movement],$E531)=0,"Unknown movement type",IF(COUNTIF(tblShipment[Shipment ID],$C531)=0,"Unknown shipment",IF(COUNTIFS(tblShipment[Shipment ID],$C531,tblShipment[Market],$B531)=0,"Market does not match shipment",IF(AND(IFERROR(INDEX(tblMoveTypes[Item?],MATCH($E531,tblMoveTypes[Movement],0)),"?")="Yes",$D531=""),"Item needed",IF(AND(IFERROR(INDEX(tblMoveTypes[Item?],MATCH($E531,tblMoveTypes[Movement],0)),"?")="No",$D531&lt;&gt;""),"Leave Item blank",IF(AND(IFERROR(INDEX(tblMoveTypes[Courier?],MATCH($E531,tblMoveTypes[Movement],0)),"?")="Yes",$H531=""),"Courier needed",IF(AND(IFERROR(INDEX(tblMoveTypes[Courier?],MATCH($E531,tblMoveTypes[Movement],0)),"?")="No",$H531&lt;&gt;""),"Leave Courier blank",IF(AND(IFERROR(INDEX(tblMoveTypes[Orders?],MATCH($E531,tblMoveTypes[Movement],0)),"?")="Yes",$G531=""),"Orders needed",IF(AND(IFERROR(INDEX(tblMoveTypes[Orders?],MATCH($E531,tblMoveTypes[Movement],0)),"?")="No",$G531&lt;&gt;""),"Leave Orders blank",IF(AND(IFERROR(INDEX(tblMoveTypes[Reason?],MATCH($E531,tblMoveTypes[Movement],0)),"?")="Yes",$I531=""),"Reason needed",IF(AND(IFERROR(INDEX(tblMoveTypes[Qty?],MATCH($E531,tblMoveTypes[Movement],0)),"?")="Yes",N($F531)&lt;=0),"Qty needed",IF($A531&lt;_xlfn.MINIFS(tblShipment[Arrival Date],tblShipment[Shipment ID],$C531),"Date before arrival",IF(AND($D531&lt;&gt;"",COUNTIFS(tblShipment[Shipment ID],$C531,tblShipment[Item Code],$D531)=0),"Item not in this shipment",IF(AND($H531&lt;&gt;"",COUNTIFS(tblCouriers[Courier],$H531,tblCouriers[Market],$B531)=0),"Courier not in this market","OK")))))))))))))))</f>
        <v>OK</v>
      </c>
    </row>
    <row r="532" customFormat="false" ht="15" hidden="false" customHeight="false" outlineLevel="0" collapsed="false">
      <c r="A532" s="27" t="n">
        <v>46239</v>
      </c>
      <c r="B532" s="26" t="s">
        <v>90</v>
      </c>
      <c r="C532" s="26" t="s">
        <v>150</v>
      </c>
      <c r="D532" s="26" t="s">
        <v>94</v>
      </c>
      <c r="E532" s="26" t="s">
        <v>112</v>
      </c>
      <c r="F532" s="28" t="n">
        <v>7</v>
      </c>
      <c r="G532" s="28"/>
      <c r="H532" s="26"/>
      <c r="I532" s="26" t="s">
        <v>80</v>
      </c>
      <c r="J532" s="26"/>
      <c r="K532" s="29" t="str">
        <f aca="false">IF($A532="","",IF(COUNTIFS(tblMoveTypes[Movement],$E532)=0,"Unknown movement type",IF(COUNTIF(tblShipment[Shipment ID],$C532)=0,"Unknown shipment",IF(COUNTIFS(tblShipment[Shipment ID],$C532,tblShipment[Market],$B532)=0,"Market does not match shipment",IF(AND(IFERROR(INDEX(tblMoveTypes[Item?],MATCH($E532,tblMoveTypes[Movement],0)),"?")="Yes",$D532=""),"Item needed",IF(AND(IFERROR(INDEX(tblMoveTypes[Item?],MATCH($E532,tblMoveTypes[Movement],0)),"?")="No",$D532&lt;&gt;""),"Leave Item blank",IF(AND(IFERROR(INDEX(tblMoveTypes[Courier?],MATCH($E532,tblMoveTypes[Movement],0)),"?")="Yes",$H532=""),"Courier needed",IF(AND(IFERROR(INDEX(tblMoveTypes[Courier?],MATCH($E532,tblMoveTypes[Movement],0)),"?")="No",$H532&lt;&gt;""),"Leave Courier blank",IF(AND(IFERROR(INDEX(tblMoveTypes[Orders?],MATCH($E532,tblMoveTypes[Movement],0)),"?")="Yes",$G532=""),"Orders needed",IF(AND(IFERROR(INDEX(tblMoveTypes[Orders?],MATCH($E532,tblMoveTypes[Movement],0)),"?")="No",$G532&lt;&gt;""),"Leave Orders blank",IF(AND(IFERROR(INDEX(tblMoveTypes[Reason?],MATCH($E532,tblMoveTypes[Movement],0)),"?")="Yes",$I532=""),"Reason needed",IF(AND(IFERROR(INDEX(tblMoveTypes[Qty?],MATCH($E532,tblMoveTypes[Movement],0)),"?")="Yes",N($F532)&lt;=0),"Qty needed",IF($A532&lt;_xlfn.MINIFS(tblShipment[Arrival Date],tblShipment[Shipment ID],$C532),"Date before arrival",IF(AND($D532&lt;&gt;"",COUNTIFS(tblShipment[Shipment ID],$C532,tblShipment[Item Code],$D532)=0),"Item not in this shipment",IF(AND($H532&lt;&gt;"",COUNTIFS(tblCouriers[Courier],$H532,tblCouriers[Market],$B532)=0),"Courier not in this market","OK")))))))))))))))</f>
        <v>OK</v>
      </c>
    </row>
    <row r="533" customFormat="false" ht="15" hidden="false" customHeight="false" outlineLevel="0" collapsed="false">
      <c r="A533" s="27" t="n">
        <v>46239</v>
      </c>
      <c r="B533" s="26" t="s">
        <v>90</v>
      </c>
      <c r="C533" s="26" t="s">
        <v>151</v>
      </c>
      <c r="D533" s="26" t="s">
        <v>76</v>
      </c>
      <c r="E533" s="26" t="s">
        <v>74</v>
      </c>
      <c r="F533" s="28" t="n">
        <v>80</v>
      </c>
      <c r="G533" s="28"/>
      <c r="H533" s="26"/>
      <c r="I533" s="26"/>
      <c r="J533" s="26"/>
      <c r="K533" s="29" t="str">
        <f aca="false">IF($A533="","",IF(COUNTIFS(tblMoveTypes[Movement],$E533)=0,"Unknown movement type",IF(COUNTIF(tblShipment[Shipment ID],$C533)=0,"Unknown shipment",IF(COUNTIFS(tblShipment[Shipment ID],$C533,tblShipment[Market],$B533)=0,"Market does not match shipment",IF(AND(IFERROR(INDEX(tblMoveTypes[Item?],MATCH($E533,tblMoveTypes[Movement],0)),"?")="Yes",$D533=""),"Item needed",IF(AND(IFERROR(INDEX(tblMoveTypes[Item?],MATCH($E533,tblMoveTypes[Movement],0)),"?")="No",$D533&lt;&gt;""),"Leave Item blank",IF(AND(IFERROR(INDEX(tblMoveTypes[Courier?],MATCH($E533,tblMoveTypes[Movement],0)),"?")="Yes",$H533=""),"Courier needed",IF(AND(IFERROR(INDEX(tblMoveTypes[Courier?],MATCH($E533,tblMoveTypes[Movement],0)),"?")="No",$H533&lt;&gt;""),"Leave Courier blank",IF(AND(IFERROR(INDEX(tblMoveTypes[Orders?],MATCH($E533,tblMoveTypes[Movement],0)),"?")="Yes",$G533=""),"Orders needed",IF(AND(IFERROR(INDEX(tblMoveTypes[Orders?],MATCH($E533,tblMoveTypes[Movement],0)),"?")="No",$G533&lt;&gt;""),"Leave Orders blank",IF(AND(IFERROR(INDEX(tblMoveTypes[Reason?],MATCH($E533,tblMoveTypes[Movement],0)),"?")="Yes",$I533=""),"Reason needed",IF(AND(IFERROR(INDEX(tblMoveTypes[Qty?],MATCH($E533,tblMoveTypes[Movement],0)),"?")="Yes",N($F533)&lt;=0),"Qty needed",IF($A533&lt;_xlfn.MINIFS(tblShipment[Arrival Date],tblShipment[Shipment ID],$C533),"Date before arrival",IF(AND($D533&lt;&gt;"",COUNTIFS(tblShipment[Shipment ID],$C533,tblShipment[Item Code],$D533)=0),"Item not in this shipment",IF(AND($H533&lt;&gt;"",COUNTIFS(tblCouriers[Courier],$H533,tblCouriers[Market],$B533)=0),"Courier not in this market","OK")))))))))))))))</f>
        <v>OK</v>
      </c>
    </row>
    <row r="534" customFormat="false" ht="15" hidden="false" customHeight="false" outlineLevel="0" collapsed="false">
      <c r="A534" s="27" t="n">
        <v>46239</v>
      </c>
      <c r="B534" s="26" t="s">
        <v>90</v>
      </c>
      <c r="C534" s="26" t="s">
        <v>151</v>
      </c>
      <c r="D534" s="26" t="s">
        <v>88</v>
      </c>
      <c r="E534" s="26" t="s">
        <v>81</v>
      </c>
      <c r="F534" s="28" t="n">
        <v>2</v>
      </c>
      <c r="G534" s="28"/>
      <c r="H534" s="26"/>
      <c r="I534" s="26"/>
      <c r="J534" s="26" t="s">
        <v>162</v>
      </c>
      <c r="K534" s="29" t="str">
        <f aca="false">IF($A534="","",IF(COUNTIFS(tblMoveTypes[Movement],$E534)=0,"Unknown movement type",IF(COUNTIF(tblShipment[Shipment ID],$C534)=0,"Unknown shipment",IF(COUNTIFS(tblShipment[Shipment ID],$C534,tblShipment[Market],$B534)=0,"Market does not match shipment",IF(AND(IFERROR(INDEX(tblMoveTypes[Item?],MATCH($E534,tblMoveTypes[Movement],0)),"?")="Yes",$D534=""),"Item needed",IF(AND(IFERROR(INDEX(tblMoveTypes[Item?],MATCH($E534,tblMoveTypes[Movement],0)),"?")="No",$D534&lt;&gt;""),"Leave Item blank",IF(AND(IFERROR(INDEX(tblMoveTypes[Courier?],MATCH($E534,tblMoveTypes[Movement],0)),"?")="Yes",$H534=""),"Courier needed",IF(AND(IFERROR(INDEX(tblMoveTypes[Courier?],MATCH($E534,tblMoveTypes[Movement],0)),"?")="No",$H534&lt;&gt;""),"Leave Courier blank",IF(AND(IFERROR(INDEX(tblMoveTypes[Orders?],MATCH($E534,tblMoveTypes[Movement],0)),"?")="Yes",$G534=""),"Orders needed",IF(AND(IFERROR(INDEX(tblMoveTypes[Orders?],MATCH($E534,tblMoveTypes[Movement],0)),"?")="No",$G534&lt;&gt;""),"Leave Orders blank",IF(AND(IFERROR(INDEX(tblMoveTypes[Reason?],MATCH($E534,tblMoveTypes[Movement],0)),"?")="Yes",$I534=""),"Reason needed",IF(AND(IFERROR(INDEX(tblMoveTypes[Qty?],MATCH($E534,tblMoveTypes[Movement],0)),"?")="Yes",N($F534)&lt;=0),"Qty needed",IF($A534&lt;_xlfn.MINIFS(tblShipment[Arrival Date],tblShipment[Shipment ID],$C534),"Date before arrival",IF(AND($D534&lt;&gt;"",COUNTIFS(tblShipment[Shipment ID],$C534,tblShipment[Item Code],$D534)=0),"Item not in this shipment",IF(AND($H534&lt;&gt;"",COUNTIFS(tblCouriers[Courier],$H534,tblCouriers[Market],$B534)=0),"Courier not in this market","OK")))))))))))))))</f>
        <v>OK</v>
      </c>
    </row>
    <row r="535" customFormat="false" ht="15" hidden="false" customHeight="false" outlineLevel="0" collapsed="false">
      <c r="A535" s="27" t="n">
        <v>46239</v>
      </c>
      <c r="B535" s="26" t="s">
        <v>90</v>
      </c>
      <c r="C535" s="26" t="s">
        <v>151</v>
      </c>
      <c r="D535" s="26" t="s">
        <v>88</v>
      </c>
      <c r="E535" s="26" t="s">
        <v>74</v>
      </c>
      <c r="F535" s="28" t="n">
        <v>48</v>
      </c>
      <c r="G535" s="28"/>
      <c r="H535" s="26"/>
      <c r="I535" s="26"/>
      <c r="J535" s="26"/>
      <c r="K535" s="29" t="str">
        <f aca="false">IF($A535="","",IF(COUNTIFS(tblMoveTypes[Movement],$E535)=0,"Unknown movement type",IF(COUNTIF(tblShipment[Shipment ID],$C535)=0,"Unknown shipment",IF(COUNTIFS(tblShipment[Shipment ID],$C535,tblShipment[Market],$B535)=0,"Market does not match shipment",IF(AND(IFERROR(INDEX(tblMoveTypes[Item?],MATCH($E535,tblMoveTypes[Movement],0)),"?")="Yes",$D535=""),"Item needed",IF(AND(IFERROR(INDEX(tblMoveTypes[Item?],MATCH($E535,tblMoveTypes[Movement],0)),"?")="No",$D535&lt;&gt;""),"Leave Item blank",IF(AND(IFERROR(INDEX(tblMoveTypes[Courier?],MATCH($E535,tblMoveTypes[Movement],0)),"?")="Yes",$H535=""),"Courier needed",IF(AND(IFERROR(INDEX(tblMoveTypes[Courier?],MATCH($E535,tblMoveTypes[Movement],0)),"?")="No",$H535&lt;&gt;""),"Leave Courier blank",IF(AND(IFERROR(INDEX(tblMoveTypes[Orders?],MATCH($E535,tblMoveTypes[Movement],0)),"?")="Yes",$G535=""),"Orders needed",IF(AND(IFERROR(INDEX(tblMoveTypes[Orders?],MATCH($E535,tblMoveTypes[Movement],0)),"?")="No",$G535&lt;&gt;""),"Leave Orders blank",IF(AND(IFERROR(INDEX(tblMoveTypes[Reason?],MATCH($E535,tblMoveTypes[Movement],0)),"?")="Yes",$I535=""),"Reason needed",IF(AND(IFERROR(INDEX(tblMoveTypes[Qty?],MATCH($E535,tblMoveTypes[Movement],0)),"?")="Yes",N($F535)&lt;=0),"Qty needed",IF($A535&lt;_xlfn.MINIFS(tblShipment[Arrival Date],tblShipment[Shipment ID],$C535),"Date before arrival",IF(AND($D535&lt;&gt;"",COUNTIFS(tblShipment[Shipment ID],$C535,tblShipment[Item Code],$D535)=0),"Item not in this shipment",IF(AND($H535&lt;&gt;"",COUNTIFS(tblCouriers[Courier],$H535,tblCouriers[Market],$B535)=0),"Courier not in this market","OK")))))))))))))))</f>
        <v>OK</v>
      </c>
    </row>
    <row r="536" customFormat="false" ht="15" hidden="false" customHeight="false" outlineLevel="0" collapsed="false">
      <c r="A536" s="27" t="n">
        <v>46239</v>
      </c>
      <c r="B536" s="26" t="s">
        <v>90</v>
      </c>
      <c r="C536" s="26" t="s">
        <v>151</v>
      </c>
      <c r="D536" s="26" t="s">
        <v>94</v>
      </c>
      <c r="E536" s="26" t="s">
        <v>81</v>
      </c>
      <c r="F536" s="28" t="n">
        <v>1</v>
      </c>
      <c r="G536" s="28"/>
      <c r="H536" s="26"/>
      <c r="I536" s="26"/>
      <c r="J536" s="26" t="s">
        <v>162</v>
      </c>
      <c r="K536" s="29" t="str">
        <f aca="false">IF($A536="","",IF(COUNTIFS(tblMoveTypes[Movement],$E536)=0,"Unknown movement type",IF(COUNTIF(tblShipment[Shipment ID],$C536)=0,"Unknown shipment",IF(COUNTIFS(tblShipment[Shipment ID],$C536,tblShipment[Market],$B536)=0,"Market does not match shipment",IF(AND(IFERROR(INDEX(tblMoveTypes[Item?],MATCH($E536,tblMoveTypes[Movement],0)),"?")="Yes",$D536=""),"Item needed",IF(AND(IFERROR(INDEX(tblMoveTypes[Item?],MATCH($E536,tblMoveTypes[Movement],0)),"?")="No",$D536&lt;&gt;""),"Leave Item blank",IF(AND(IFERROR(INDEX(tblMoveTypes[Courier?],MATCH($E536,tblMoveTypes[Movement],0)),"?")="Yes",$H536=""),"Courier needed",IF(AND(IFERROR(INDEX(tblMoveTypes[Courier?],MATCH($E536,tblMoveTypes[Movement],0)),"?")="No",$H536&lt;&gt;""),"Leave Courier blank",IF(AND(IFERROR(INDEX(tblMoveTypes[Orders?],MATCH($E536,tblMoveTypes[Movement],0)),"?")="Yes",$G536=""),"Orders needed",IF(AND(IFERROR(INDEX(tblMoveTypes[Orders?],MATCH($E536,tblMoveTypes[Movement],0)),"?")="No",$G536&lt;&gt;""),"Leave Orders blank",IF(AND(IFERROR(INDEX(tblMoveTypes[Reason?],MATCH($E536,tblMoveTypes[Movement],0)),"?")="Yes",$I536=""),"Reason needed",IF(AND(IFERROR(INDEX(tblMoveTypes[Qty?],MATCH($E536,tblMoveTypes[Movement],0)),"?")="Yes",N($F536)&lt;=0),"Qty needed",IF($A536&lt;_xlfn.MINIFS(tblShipment[Arrival Date],tblShipment[Shipment ID],$C536),"Date before arrival",IF(AND($D536&lt;&gt;"",COUNTIFS(tblShipment[Shipment ID],$C536,tblShipment[Item Code],$D536)=0),"Item not in this shipment",IF(AND($H536&lt;&gt;"",COUNTIFS(tblCouriers[Courier],$H536,tblCouriers[Market],$B536)=0),"Courier not in this market","OK")))))))))))))))</f>
        <v>OK</v>
      </c>
    </row>
    <row r="537" customFormat="false" ht="15" hidden="false" customHeight="false" outlineLevel="0" collapsed="false">
      <c r="A537" s="27" t="n">
        <v>46239</v>
      </c>
      <c r="B537" s="26" t="s">
        <v>90</v>
      </c>
      <c r="C537" s="26" t="s">
        <v>151</v>
      </c>
      <c r="D537" s="26" t="s">
        <v>94</v>
      </c>
      <c r="E537" s="26" t="s">
        <v>74</v>
      </c>
      <c r="F537" s="28" t="n">
        <v>79</v>
      </c>
      <c r="G537" s="28"/>
      <c r="H537" s="26"/>
      <c r="I537" s="26"/>
      <c r="J537" s="26"/>
      <c r="K537" s="29" t="str">
        <f aca="false">IF($A537="","",IF(COUNTIFS(tblMoveTypes[Movement],$E537)=0,"Unknown movement type",IF(COUNTIF(tblShipment[Shipment ID],$C537)=0,"Unknown shipment",IF(COUNTIFS(tblShipment[Shipment ID],$C537,tblShipment[Market],$B537)=0,"Market does not match shipment",IF(AND(IFERROR(INDEX(tblMoveTypes[Item?],MATCH($E537,tblMoveTypes[Movement],0)),"?")="Yes",$D537=""),"Item needed",IF(AND(IFERROR(INDEX(tblMoveTypes[Item?],MATCH($E537,tblMoveTypes[Movement],0)),"?")="No",$D537&lt;&gt;""),"Leave Item blank",IF(AND(IFERROR(INDEX(tblMoveTypes[Courier?],MATCH($E537,tblMoveTypes[Movement],0)),"?")="Yes",$H537=""),"Courier needed",IF(AND(IFERROR(INDEX(tblMoveTypes[Courier?],MATCH($E537,tblMoveTypes[Movement],0)),"?")="No",$H537&lt;&gt;""),"Leave Courier blank",IF(AND(IFERROR(INDEX(tblMoveTypes[Orders?],MATCH($E537,tblMoveTypes[Movement],0)),"?")="Yes",$G537=""),"Orders needed",IF(AND(IFERROR(INDEX(tblMoveTypes[Orders?],MATCH($E537,tblMoveTypes[Movement],0)),"?")="No",$G537&lt;&gt;""),"Leave Orders blank",IF(AND(IFERROR(INDEX(tblMoveTypes[Reason?],MATCH($E537,tblMoveTypes[Movement],0)),"?")="Yes",$I537=""),"Reason needed",IF(AND(IFERROR(INDEX(tblMoveTypes[Qty?],MATCH($E537,tblMoveTypes[Movement],0)),"?")="Yes",N($F537)&lt;=0),"Qty needed",IF($A537&lt;_xlfn.MINIFS(tblShipment[Arrival Date],tblShipment[Shipment ID],$C537),"Date before arrival",IF(AND($D537&lt;&gt;"",COUNTIFS(tblShipment[Shipment ID],$C537,tblShipment[Item Code],$D537)=0),"Item not in this shipment",IF(AND($H537&lt;&gt;"",COUNTIFS(tblCouriers[Courier],$H537,tblCouriers[Market],$B537)=0),"Courier not in this market","OK")))))))))))))))</f>
        <v>OK</v>
      </c>
    </row>
    <row r="538" customFormat="false" ht="15" hidden="false" customHeight="false" outlineLevel="0" collapsed="false">
      <c r="A538" s="27" t="n">
        <v>46239</v>
      </c>
      <c r="B538" s="26" t="s">
        <v>90</v>
      </c>
      <c r="C538" s="26" t="s">
        <v>151</v>
      </c>
      <c r="D538" s="26" t="s">
        <v>67</v>
      </c>
      <c r="E538" s="26" t="s">
        <v>74</v>
      </c>
      <c r="F538" s="28" t="n">
        <v>40</v>
      </c>
      <c r="G538" s="28"/>
      <c r="H538" s="26"/>
      <c r="I538" s="26"/>
      <c r="J538" s="26"/>
      <c r="K538" s="29" t="str">
        <f aca="false">IF($A538="","",IF(COUNTIFS(tblMoveTypes[Movement],$E538)=0,"Unknown movement type",IF(COUNTIF(tblShipment[Shipment ID],$C538)=0,"Unknown shipment",IF(COUNTIFS(tblShipment[Shipment ID],$C538,tblShipment[Market],$B538)=0,"Market does not match shipment",IF(AND(IFERROR(INDEX(tblMoveTypes[Item?],MATCH($E538,tblMoveTypes[Movement],0)),"?")="Yes",$D538=""),"Item needed",IF(AND(IFERROR(INDEX(tblMoveTypes[Item?],MATCH($E538,tblMoveTypes[Movement],0)),"?")="No",$D538&lt;&gt;""),"Leave Item blank",IF(AND(IFERROR(INDEX(tblMoveTypes[Courier?],MATCH($E538,tblMoveTypes[Movement],0)),"?")="Yes",$H538=""),"Courier needed",IF(AND(IFERROR(INDEX(tblMoveTypes[Courier?],MATCH($E538,tblMoveTypes[Movement],0)),"?")="No",$H538&lt;&gt;""),"Leave Courier blank",IF(AND(IFERROR(INDEX(tblMoveTypes[Orders?],MATCH($E538,tblMoveTypes[Movement],0)),"?")="Yes",$G538=""),"Orders needed",IF(AND(IFERROR(INDEX(tblMoveTypes[Orders?],MATCH($E538,tblMoveTypes[Movement],0)),"?")="No",$G538&lt;&gt;""),"Leave Orders blank",IF(AND(IFERROR(INDEX(tblMoveTypes[Reason?],MATCH($E538,tblMoveTypes[Movement],0)),"?")="Yes",$I538=""),"Reason needed",IF(AND(IFERROR(INDEX(tblMoveTypes[Qty?],MATCH($E538,tblMoveTypes[Movement],0)),"?")="Yes",N($F538)&lt;=0),"Qty needed",IF($A538&lt;_xlfn.MINIFS(tblShipment[Arrival Date],tblShipment[Shipment ID],$C538),"Date before arrival",IF(AND($D538&lt;&gt;"",COUNTIFS(tblShipment[Shipment ID],$C538,tblShipment[Item Code],$D538)=0),"Item not in this shipment",IF(AND($H538&lt;&gt;"",COUNTIFS(tblCouriers[Courier],$H538,tblCouriers[Market],$B538)=0),"Courier not in this market","OK")))))))))))))))</f>
        <v>OK</v>
      </c>
    </row>
    <row r="539" customFormat="false" ht="15" hidden="false" customHeight="false" outlineLevel="0" collapsed="false">
      <c r="A539" s="27" t="n">
        <v>46239</v>
      </c>
      <c r="B539" s="26" t="s">
        <v>90</v>
      </c>
      <c r="C539" s="26" t="s">
        <v>151</v>
      </c>
      <c r="D539" s="26" t="s">
        <v>83</v>
      </c>
      <c r="E539" s="26" t="s">
        <v>74</v>
      </c>
      <c r="F539" s="28" t="n">
        <v>40</v>
      </c>
      <c r="G539" s="28"/>
      <c r="H539" s="26"/>
      <c r="I539" s="26"/>
      <c r="J539" s="26"/>
      <c r="K539" s="29" t="str">
        <f aca="false">IF($A539="","",IF(COUNTIFS(tblMoveTypes[Movement],$E539)=0,"Unknown movement type",IF(COUNTIF(tblShipment[Shipment ID],$C539)=0,"Unknown shipment",IF(COUNTIFS(tblShipment[Shipment ID],$C539,tblShipment[Market],$B539)=0,"Market does not match shipment",IF(AND(IFERROR(INDEX(tblMoveTypes[Item?],MATCH($E539,tblMoveTypes[Movement],0)),"?")="Yes",$D539=""),"Item needed",IF(AND(IFERROR(INDEX(tblMoveTypes[Item?],MATCH($E539,tblMoveTypes[Movement],0)),"?")="No",$D539&lt;&gt;""),"Leave Item blank",IF(AND(IFERROR(INDEX(tblMoveTypes[Courier?],MATCH($E539,tblMoveTypes[Movement],0)),"?")="Yes",$H539=""),"Courier needed",IF(AND(IFERROR(INDEX(tblMoveTypes[Courier?],MATCH($E539,tblMoveTypes[Movement],0)),"?")="No",$H539&lt;&gt;""),"Leave Courier blank",IF(AND(IFERROR(INDEX(tblMoveTypes[Orders?],MATCH($E539,tblMoveTypes[Movement],0)),"?")="Yes",$G539=""),"Orders needed",IF(AND(IFERROR(INDEX(tblMoveTypes[Orders?],MATCH($E539,tblMoveTypes[Movement],0)),"?")="No",$G539&lt;&gt;""),"Leave Orders blank",IF(AND(IFERROR(INDEX(tblMoveTypes[Reason?],MATCH($E539,tblMoveTypes[Movement],0)),"?")="Yes",$I539=""),"Reason needed",IF(AND(IFERROR(INDEX(tblMoveTypes[Qty?],MATCH($E539,tblMoveTypes[Movement],0)),"?")="Yes",N($F539)&lt;=0),"Qty needed",IF($A539&lt;_xlfn.MINIFS(tblShipment[Arrival Date],tblShipment[Shipment ID],$C539),"Date before arrival",IF(AND($D539&lt;&gt;"",COUNTIFS(tblShipment[Shipment ID],$C539,tblShipment[Item Code],$D539)=0),"Item not in this shipment",IF(AND($H539&lt;&gt;"",COUNTIFS(tblCouriers[Courier],$H539,tblCouriers[Market],$B539)=0),"Courier not in this market","OK")))))))))))))))</f>
        <v>OK</v>
      </c>
    </row>
    <row r="540" customFormat="false" ht="15" hidden="false" customHeight="false" outlineLevel="0" collapsed="false">
      <c r="A540" s="27" t="n">
        <v>46239</v>
      </c>
      <c r="B540" s="26" t="s">
        <v>90</v>
      </c>
      <c r="C540" s="26" t="s">
        <v>151</v>
      </c>
      <c r="D540" s="26"/>
      <c r="E540" s="26" t="s">
        <v>98</v>
      </c>
      <c r="F540" s="28"/>
      <c r="G540" s="28" t="n">
        <v>41</v>
      </c>
      <c r="H540" s="26"/>
      <c r="I540" s="26"/>
      <c r="J540" s="26"/>
      <c r="K540" s="29" t="str">
        <f aca="false">IF($A540="","",IF(COUNTIFS(tblMoveTypes[Movement],$E540)=0,"Unknown movement type",IF(COUNTIF(tblShipment[Shipment ID],$C540)=0,"Unknown shipment",IF(COUNTIFS(tblShipment[Shipment ID],$C540,tblShipment[Market],$B540)=0,"Market does not match shipment",IF(AND(IFERROR(INDEX(tblMoveTypes[Item?],MATCH($E540,tblMoveTypes[Movement],0)),"?")="Yes",$D540=""),"Item needed",IF(AND(IFERROR(INDEX(tblMoveTypes[Item?],MATCH($E540,tblMoveTypes[Movement],0)),"?")="No",$D540&lt;&gt;""),"Leave Item blank",IF(AND(IFERROR(INDEX(tblMoveTypes[Courier?],MATCH($E540,tblMoveTypes[Movement],0)),"?")="Yes",$H540=""),"Courier needed",IF(AND(IFERROR(INDEX(tblMoveTypes[Courier?],MATCH($E540,tblMoveTypes[Movement],0)),"?")="No",$H540&lt;&gt;""),"Leave Courier blank",IF(AND(IFERROR(INDEX(tblMoveTypes[Orders?],MATCH($E540,tblMoveTypes[Movement],0)),"?")="Yes",$G540=""),"Orders needed",IF(AND(IFERROR(INDEX(tblMoveTypes[Orders?],MATCH($E540,tblMoveTypes[Movement],0)),"?")="No",$G540&lt;&gt;""),"Leave Orders blank",IF(AND(IFERROR(INDEX(tblMoveTypes[Reason?],MATCH($E540,tblMoveTypes[Movement],0)),"?")="Yes",$I540=""),"Reason needed",IF(AND(IFERROR(INDEX(tblMoveTypes[Qty?],MATCH($E540,tblMoveTypes[Movement],0)),"?")="Yes",N($F540)&lt;=0),"Qty needed",IF($A540&lt;_xlfn.MINIFS(tblShipment[Arrival Date],tblShipment[Shipment ID],$C540),"Date before arrival",IF(AND($D540&lt;&gt;"",COUNTIFS(tblShipment[Shipment ID],$C540,tblShipment[Item Code],$D540)=0),"Item not in this shipment",IF(AND($H540&lt;&gt;"",COUNTIFS(tblCouriers[Courier],$H540,tblCouriers[Market],$B540)=0),"Courier not in this market","OK")))))))))))))))</f>
        <v>OK</v>
      </c>
    </row>
    <row r="541" customFormat="false" ht="15" hidden="false" customHeight="false" outlineLevel="0" collapsed="false">
      <c r="A541" s="27" t="n">
        <v>46239</v>
      </c>
      <c r="B541" s="26" t="s">
        <v>90</v>
      </c>
      <c r="C541" s="26" t="s">
        <v>151</v>
      </c>
      <c r="D541" s="26" t="s">
        <v>76</v>
      </c>
      <c r="E541" s="26" t="s">
        <v>73</v>
      </c>
      <c r="F541" s="28" t="n">
        <v>4</v>
      </c>
      <c r="G541" s="28"/>
      <c r="H541" s="26"/>
      <c r="I541" s="26" t="s">
        <v>87</v>
      </c>
      <c r="J541" s="26"/>
      <c r="K541" s="29" t="str">
        <f aca="false">IF($A541="","",IF(COUNTIFS(tblMoveTypes[Movement],$E541)=0,"Unknown movement type",IF(COUNTIF(tblShipment[Shipment ID],$C541)=0,"Unknown shipment",IF(COUNTIFS(tblShipment[Shipment ID],$C541,tblShipment[Market],$B541)=0,"Market does not match shipment",IF(AND(IFERROR(INDEX(tblMoveTypes[Item?],MATCH($E541,tblMoveTypes[Movement],0)),"?")="Yes",$D541=""),"Item needed",IF(AND(IFERROR(INDEX(tblMoveTypes[Item?],MATCH($E541,tblMoveTypes[Movement],0)),"?")="No",$D541&lt;&gt;""),"Leave Item blank",IF(AND(IFERROR(INDEX(tblMoveTypes[Courier?],MATCH($E541,tblMoveTypes[Movement],0)),"?")="Yes",$H541=""),"Courier needed",IF(AND(IFERROR(INDEX(tblMoveTypes[Courier?],MATCH($E541,tblMoveTypes[Movement],0)),"?")="No",$H541&lt;&gt;""),"Leave Courier blank",IF(AND(IFERROR(INDEX(tblMoveTypes[Orders?],MATCH($E541,tblMoveTypes[Movement],0)),"?")="Yes",$G541=""),"Orders needed",IF(AND(IFERROR(INDEX(tblMoveTypes[Orders?],MATCH($E541,tblMoveTypes[Movement],0)),"?")="No",$G541&lt;&gt;""),"Leave Orders blank",IF(AND(IFERROR(INDEX(tblMoveTypes[Reason?],MATCH($E541,tblMoveTypes[Movement],0)),"?")="Yes",$I541=""),"Reason needed",IF(AND(IFERROR(INDEX(tblMoveTypes[Qty?],MATCH($E541,tblMoveTypes[Movement],0)),"?")="Yes",N($F541)&lt;=0),"Qty needed",IF($A541&lt;_xlfn.MINIFS(tblShipment[Arrival Date],tblShipment[Shipment ID],$C541),"Date before arrival",IF(AND($D541&lt;&gt;"",COUNTIFS(tblShipment[Shipment ID],$C541,tblShipment[Item Code],$D541)=0),"Item not in this shipment",IF(AND($H541&lt;&gt;"",COUNTIFS(tblCouriers[Courier],$H541,tblCouriers[Market],$B541)=0),"Courier not in this market","OK")))))))))))))))</f>
        <v>OK</v>
      </c>
    </row>
    <row r="542" customFormat="false" ht="15" hidden="false" customHeight="false" outlineLevel="0" collapsed="false">
      <c r="A542" s="27" t="n">
        <v>46239</v>
      </c>
      <c r="B542" s="26" t="s">
        <v>90</v>
      </c>
      <c r="C542" s="26" t="s">
        <v>151</v>
      </c>
      <c r="D542" s="26" t="s">
        <v>88</v>
      </c>
      <c r="E542" s="26" t="s">
        <v>73</v>
      </c>
      <c r="F542" s="28" t="n">
        <v>1</v>
      </c>
      <c r="G542" s="28"/>
      <c r="H542" s="26"/>
      <c r="I542" s="26" t="s">
        <v>80</v>
      </c>
      <c r="J542" s="26"/>
      <c r="K542" s="29" t="str">
        <f aca="false">IF($A542="","",IF(COUNTIFS(tblMoveTypes[Movement],$E542)=0,"Unknown movement type",IF(COUNTIF(tblShipment[Shipment ID],$C542)=0,"Unknown shipment",IF(COUNTIFS(tblShipment[Shipment ID],$C542,tblShipment[Market],$B542)=0,"Market does not match shipment",IF(AND(IFERROR(INDEX(tblMoveTypes[Item?],MATCH($E542,tblMoveTypes[Movement],0)),"?")="Yes",$D542=""),"Item needed",IF(AND(IFERROR(INDEX(tblMoveTypes[Item?],MATCH($E542,tblMoveTypes[Movement],0)),"?")="No",$D542&lt;&gt;""),"Leave Item blank",IF(AND(IFERROR(INDEX(tblMoveTypes[Courier?],MATCH($E542,tblMoveTypes[Movement],0)),"?")="Yes",$H542=""),"Courier needed",IF(AND(IFERROR(INDEX(tblMoveTypes[Courier?],MATCH($E542,tblMoveTypes[Movement],0)),"?")="No",$H542&lt;&gt;""),"Leave Courier blank",IF(AND(IFERROR(INDEX(tblMoveTypes[Orders?],MATCH($E542,tblMoveTypes[Movement],0)),"?")="Yes",$G542=""),"Orders needed",IF(AND(IFERROR(INDEX(tblMoveTypes[Orders?],MATCH($E542,tblMoveTypes[Movement],0)),"?")="No",$G542&lt;&gt;""),"Leave Orders blank",IF(AND(IFERROR(INDEX(tblMoveTypes[Reason?],MATCH($E542,tblMoveTypes[Movement],0)),"?")="Yes",$I542=""),"Reason needed",IF(AND(IFERROR(INDEX(tblMoveTypes[Qty?],MATCH($E542,tblMoveTypes[Movement],0)),"?")="Yes",N($F542)&lt;=0),"Qty needed",IF($A542&lt;_xlfn.MINIFS(tblShipment[Arrival Date],tblShipment[Shipment ID],$C542),"Date before arrival",IF(AND($D542&lt;&gt;"",COUNTIFS(tblShipment[Shipment ID],$C542,tblShipment[Item Code],$D542)=0),"Item not in this shipment",IF(AND($H542&lt;&gt;"",COUNTIFS(tblCouriers[Courier],$H542,tblCouriers[Market],$B542)=0),"Courier not in this market","OK")))))))))))))))</f>
        <v>OK</v>
      </c>
    </row>
    <row r="543" customFormat="false" ht="15" hidden="false" customHeight="false" outlineLevel="0" collapsed="false">
      <c r="A543" s="27" t="n">
        <v>46239</v>
      </c>
      <c r="B543" s="26" t="s">
        <v>90</v>
      </c>
      <c r="C543" s="26" t="s">
        <v>151</v>
      </c>
      <c r="D543" s="26" t="s">
        <v>94</v>
      </c>
      <c r="E543" s="26" t="s">
        <v>73</v>
      </c>
      <c r="F543" s="28" t="n">
        <v>5</v>
      </c>
      <c r="G543" s="28"/>
      <c r="H543" s="26"/>
      <c r="I543" s="26" t="s">
        <v>80</v>
      </c>
      <c r="J543" s="26"/>
      <c r="K543" s="29" t="str">
        <f aca="false">IF($A543="","",IF(COUNTIFS(tblMoveTypes[Movement],$E543)=0,"Unknown movement type",IF(COUNTIF(tblShipment[Shipment ID],$C543)=0,"Unknown shipment",IF(COUNTIFS(tblShipment[Shipment ID],$C543,tblShipment[Market],$B543)=0,"Market does not match shipment",IF(AND(IFERROR(INDEX(tblMoveTypes[Item?],MATCH($E543,tblMoveTypes[Movement],0)),"?")="Yes",$D543=""),"Item needed",IF(AND(IFERROR(INDEX(tblMoveTypes[Item?],MATCH($E543,tblMoveTypes[Movement],0)),"?")="No",$D543&lt;&gt;""),"Leave Item blank",IF(AND(IFERROR(INDEX(tblMoveTypes[Courier?],MATCH($E543,tblMoveTypes[Movement],0)),"?")="Yes",$H543=""),"Courier needed",IF(AND(IFERROR(INDEX(tblMoveTypes[Courier?],MATCH($E543,tblMoveTypes[Movement],0)),"?")="No",$H543&lt;&gt;""),"Leave Courier blank",IF(AND(IFERROR(INDEX(tblMoveTypes[Orders?],MATCH($E543,tblMoveTypes[Movement],0)),"?")="Yes",$G543=""),"Orders needed",IF(AND(IFERROR(INDEX(tblMoveTypes[Orders?],MATCH($E543,tblMoveTypes[Movement],0)),"?")="No",$G543&lt;&gt;""),"Leave Orders blank",IF(AND(IFERROR(INDEX(tblMoveTypes[Reason?],MATCH($E543,tblMoveTypes[Movement],0)),"?")="Yes",$I543=""),"Reason needed",IF(AND(IFERROR(INDEX(tblMoveTypes[Qty?],MATCH($E543,tblMoveTypes[Movement],0)),"?")="Yes",N($F543)&lt;=0),"Qty needed",IF($A543&lt;_xlfn.MINIFS(tblShipment[Arrival Date],tblShipment[Shipment ID],$C543),"Date before arrival",IF(AND($D543&lt;&gt;"",COUNTIFS(tblShipment[Shipment ID],$C543,tblShipment[Item Code],$D543)=0),"Item not in this shipment",IF(AND($H543&lt;&gt;"",COUNTIFS(tblCouriers[Courier],$H543,tblCouriers[Market],$B543)=0),"Courier not in this market","OK")))))))))))))))</f>
        <v>OK</v>
      </c>
    </row>
    <row r="544" customFormat="false" ht="15" hidden="false" customHeight="false" outlineLevel="0" collapsed="false">
      <c r="A544" s="27" t="n">
        <v>46239</v>
      </c>
      <c r="B544" s="26" t="s">
        <v>90</v>
      </c>
      <c r="C544" s="26" t="s">
        <v>151</v>
      </c>
      <c r="D544" s="26" t="s">
        <v>67</v>
      </c>
      <c r="E544" s="26" t="s">
        <v>73</v>
      </c>
      <c r="F544" s="28" t="n">
        <v>1</v>
      </c>
      <c r="G544" s="28"/>
      <c r="H544" s="26"/>
      <c r="I544" s="26" t="s">
        <v>72</v>
      </c>
      <c r="J544" s="26"/>
      <c r="K544" s="29" t="str">
        <f aca="false">IF($A544="","",IF(COUNTIFS(tblMoveTypes[Movement],$E544)=0,"Unknown movement type",IF(COUNTIF(tblShipment[Shipment ID],$C544)=0,"Unknown shipment",IF(COUNTIFS(tblShipment[Shipment ID],$C544,tblShipment[Market],$B544)=0,"Market does not match shipment",IF(AND(IFERROR(INDEX(tblMoveTypes[Item?],MATCH($E544,tblMoveTypes[Movement],0)),"?")="Yes",$D544=""),"Item needed",IF(AND(IFERROR(INDEX(tblMoveTypes[Item?],MATCH($E544,tblMoveTypes[Movement],0)),"?")="No",$D544&lt;&gt;""),"Leave Item blank",IF(AND(IFERROR(INDEX(tblMoveTypes[Courier?],MATCH($E544,tblMoveTypes[Movement],0)),"?")="Yes",$H544=""),"Courier needed",IF(AND(IFERROR(INDEX(tblMoveTypes[Courier?],MATCH($E544,tblMoveTypes[Movement],0)),"?")="No",$H544&lt;&gt;""),"Leave Courier blank",IF(AND(IFERROR(INDEX(tblMoveTypes[Orders?],MATCH($E544,tblMoveTypes[Movement],0)),"?")="Yes",$G544=""),"Orders needed",IF(AND(IFERROR(INDEX(tblMoveTypes[Orders?],MATCH($E544,tblMoveTypes[Movement],0)),"?")="No",$G544&lt;&gt;""),"Leave Orders blank",IF(AND(IFERROR(INDEX(tblMoveTypes[Reason?],MATCH($E544,tblMoveTypes[Movement],0)),"?")="Yes",$I544=""),"Reason needed",IF(AND(IFERROR(INDEX(tblMoveTypes[Qty?],MATCH($E544,tblMoveTypes[Movement],0)),"?")="Yes",N($F544)&lt;=0),"Qty needed",IF($A544&lt;_xlfn.MINIFS(tblShipment[Arrival Date],tblShipment[Shipment ID],$C544),"Date before arrival",IF(AND($D544&lt;&gt;"",COUNTIFS(tblShipment[Shipment ID],$C544,tblShipment[Item Code],$D544)=0),"Item not in this shipment",IF(AND($H544&lt;&gt;"",COUNTIFS(tblCouriers[Courier],$H544,tblCouriers[Market],$B544)=0),"Courier not in this market","OK")))))))))))))))</f>
        <v>OK</v>
      </c>
    </row>
    <row r="545" customFormat="false" ht="15" hidden="false" customHeight="false" outlineLevel="0" collapsed="false">
      <c r="A545" s="27" t="n">
        <v>46239</v>
      </c>
      <c r="B545" s="26" t="s">
        <v>90</v>
      </c>
      <c r="C545" s="26" t="s">
        <v>151</v>
      </c>
      <c r="D545" s="26" t="s">
        <v>83</v>
      </c>
      <c r="E545" s="26" t="s">
        <v>73</v>
      </c>
      <c r="F545" s="28" t="n">
        <v>1</v>
      </c>
      <c r="G545" s="28"/>
      <c r="H545" s="26"/>
      <c r="I545" s="26" t="s">
        <v>80</v>
      </c>
      <c r="J545" s="26"/>
      <c r="K545" s="29" t="str">
        <f aca="false">IF($A545="","",IF(COUNTIFS(tblMoveTypes[Movement],$E545)=0,"Unknown movement type",IF(COUNTIF(tblShipment[Shipment ID],$C545)=0,"Unknown shipment",IF(COUNTIFS(tblShipment[Shipment ID],$C545,tblShipment[Market],$B545)=0,"Market does not match shipment",IF(AND(IFERROR(INDEX(tblMoveTypes[Item?],MATCH($E545,tblMoveTypes[Movement],0)),"?")="Yes",$D545=""),"Item needed",IF(AND(IFERROR(INDEX(tblMoveTypes[Item?],MATCH($E545,tblMoveTypes[Movement],0)),"?")="No",$D545&lt;&gt;""),"Leave Item blank",IF(AND(IFERROR(INDEX(tblMoveTypes[Courier?],MATCH($E545,tblMoveTypes[Movement],0)),"?")="Yes",$H545=""),"Courier needed",IF(AND(IFERROR(INDEX(tblMoveTypes[Courier?],MATCH($E545,tblMoveTypes[Movement],0)),"?")="No",$H545&lt;&gt;""),"Leave Courier blank",IF(AND(IFERROR(INDEX(tblMoveTypes[Orders?],MATCH($E545,tblMoveTypes[Movement],0)),"?")="Yes",$G545=""),"Orders needed",IF(AND(IFERROR(INDEX(tblMoveTypes[Orders?],MATCH($E545,tblMoveTypes[Movement],0)),"?")="No",$G545&lt;&gt;""),"Leave Orders blank",IF(AND(IFERROR(INDEX(tblMoveTypes[Reason?],MATCH($E545,tblMoveTypes[Movement],0)),"?")="Yes",$I545=""),"Reason needed",IF(AND(IFERROR(INDEX(tblMoveTypes[Qty?],MATCH($E545,tblMoveTypes[Movement],0)),"?")="Yes",N($F545)&lt;=0),"Qty needed",IF($A545&lt;_xlfn.MINIFS(tblShipment[Arrival Date],tblShipment[Shipment ID],$C545),"Date before arrival",IF(AND($D545&lt;&gt;"",COUNTIFS(tblShipment[Shipment ID],$C545,tblShipment[Item Code],$D545)=0),"Item not in this shipment",IF(AND($H545&lt;&gt;"",COUNTIFS(tblCouriers[Courier],$H545,tblCouriers[Market],$B545)=0),"Courier not in this market","OK")))))))))))))))</f>
        <v>OK</v>
      </c>
    </row>
    <row r="546" customFormat="false" ht="15" hidden="false" customHeight="false" outlineLevel="0" collapsed="false">
      <c r="A546" s="27" t="n">
        <v>46239</v>
      </c>
      <c r="B546" s="26" t="s">
        <v>90</v>
      </c>
      <c r="C546" s="26" t="s">
        <v>151</v>
      </c>
      <c r="D546" s="26" t="s">
        <v>76</v>
      </c>
      <c r="E546" s="26" t="s">
        <v>93</v>
      </c>
      <c r="F546" s="28" t="n">
        <v>76</v>
      </c>
      <c r="G546" s="28"/>
      <c r="H546" s="26" t="s">
        <v>101</v>
      </c>
      <c r="I546" s="26"/>
      <c r="J546" s="26"/>
      <c r="K546" s="29" t="str">
        <f aca="false">IF($A546="","",IF(COUNTIFS(tblMoveTypes[Movement],$E546)=0,"Unknown movement type",IF(COUNTIF(tblShipment[Shipment ID],$C546)=0,"Unknown shipment",IF(COUNTIFS(tblShipment[Shipment ID],$C546,tblShipment[Market],$B546)=0,"Market does not match shipment",IF(AND(IFERROR(INDEX(tblMoveTypes[Item?],MATCH($E546,tblMoveTypes[Movement],0)),"?")="Yes",$D546=""),"Item needed",IF(AND(IFERROR(INDEX(tblMoveTypes[Item?],MATCH($E546,tblMoveTypes[Movement],0)),"?")="No",$D546&lt;&gt;""),"Leave Item blank",IF(AND(IFERROR(INDEX(tblMoveTypes[Courier?],MATCH($E546,tblMoveTypes[Movement],0)),"?")="Yes",$H546=""),"Courier needed",IF(AND(IFERROR(INDEX(tblMoveTypes[Courier?],MATCH($E546,tblMoveTypes[Movement],0)),"?")="No",$H546&lt;&gt;""),"Leave Courier blank",IF(AND(IFERROR(INDEX(tblMoveTypes[Orders?],MATCH($E546,tblMoveTypes[Movement],0)),"?")="Yes",$G546=""),"Orders needed",IF(AND(IFERROR(INDEX(tblMoveTypes[Orders?],MATCH($E546,tblMoveTypes[Movement],0)),"?")="No",$G546&lt;&gt;""),"Leave Orders blank",IF(AND(IFERROR(INDEX(tblMoveTypes[Reason?],MATCH($E546,tblMoveTypes[Movement],0)),"?")="Yes",$I546=""),"Reason needed",IF(AND(IFERROR(INDEX(tblMoveTypes[Qty?],MATCH($E546,tblMoveTypes[Movement],0)),"?")="Yes",N($F546)&lt;=0),"Qty needed",IF($A546&lt;_xlfn.MINIFS(tblShipment[Arrival Date],tblShipment[Shipment ID],$C546),"Date before arrival",IF(AND($D546&lt;&gt;"",COUNTIFS(tblShipment[Shipment ID],$C546,tblShipment[Item Code],$D546)=0),"Item not in this shipment",IF(AND($H546&lt;&gt;"",COUNTIFS(tblCouriers[Courier],$H546,tblCouriers[Market],$B546)=0),"Courier not in this market","OK")))))))))))))))</f>
        <v>OK</v>
      </c>
    </row>
    <row r="547" customFormat="false" ht="15" hidden="false" customHeight="false" outlineLevel="0" collapsed="false">
      <c r="A547" s="27" t="n">
        <v>46239</v>
      </c>
      <c r="B547" s="26" t="s">
        <v>90</v>
      </c>
      <c r="C547" s="26" t="s">
        <v>151</v>
      </c>
      <c r="D547" s="26" t="s">
        <v>88</v>
      </c>
      <c r="E547" s="26" t="s">
        <v>93</v>
      </c>
      <c r="F547" s="28" t="n">
        <v>47</v>
      </c>
      <c r="G547" s="28"/>
      <c r="H547" s="26" t="s">
        <v>101</v>
      </c>
      <c r="I547" s="26"/>
      <c r="J547" s="26"/>
      <c r="K547" s="29" t="str">
        <f aca="false">IF($A547="","",IF(COUNTIFS(tblMoveTypes[Movement],$E547)=0,"Unknown movement type",IF(COUNTIF(tblShipment[Shipment ID],$C547)=0,"Unknown shipment",IF(COUNTIFS(tblShipment[Shipment ID],$C547,tblShipment[Market],$B547)=0,"Market does not match shipment",IF(AND(IFERROR(INDEX(tblMoveTypes[Item?],MATCH($E547,tblMoveTypes[Movement],0)),"?")="Yes",$D547=""),"Item needed",IF(AND(IFERROR(INDEX(tblMoveTypes[Item?],MATCH($E547,tblMoveTypes[Movement],0)),"?")="No",$D547&lt;&gt;""),"Leave Item blank",IF(AND(IFERROR(INDEX(tblMoveTypes[Courier?],MATCH($E547,tblMoveTypes[Movement],0)),"?")="Yes",$H547=""),"Courier needed",IF(AND(IFERROR(INDEX(tblMoveTypes[Courier?],MATCH($E547,tblMoveTypes[Movement],0)),"?")="No",$H547&lt;&gt;""),"Leave Courier blank",IF(AND(IFERROR(INDEX(tblMoveTypes[Orders?],MATCH($E547,tblMoveTypes[Movement],0)),"?")="Yes",$G547=""),"Orders needed",IF(AND(IFERROR(INDEX(tblMoveTypes[Orders?],MATCH($E547,tblMoveTypes[Movement],0)),"?")="No",$G547&lt;&gt;""),"Leave Orders blank",IF(AND(IFERROR(INDEX(tblMoveTypes[Reason?],MATCH($E547,tblMoveTypes[Movement],0)),"?")="Yes",$I547=""),"Reason needed",IF(AND(IFERROR(INDEX(tblMoveTypes[Qty?],MATCH($E547,tblMoveTypes[Movement],0)),"?")="Yes",N($F547)&lt;=0),"Qty needed",IF($A547&lt;_xlfn.MINIFS(tblShipment[Arrival Date],tblShipment[Shipment ID],$C547),"Date before arrival",IF(AND($D547&lt;&gt;"",COUNTIFS(tblShipment[Shipment ID],$C547,tblShipment[Item Code],$D547)=0),"Item not in this shipment",IF(AND($H547&lt;&gt;"",COUNTIFS(tblCouriers[Courier],$H547,tblCouriers[Market],$B547)=0),"Courier not in this market","OK")))))))))))))))</f>
        <v>OK</v>
      </c>
    </row>
    <row r="548" customFormat="false" ht="15" hidden="false" customHeight="false" outlineLevel="0" collapsed="false">
      <c r="A548" s="27" t="n">
        <v>46239</v>
      </c>
      <c r="B548" s="26" t="s">
        <v>90</v>
      </c>
      <c r="C548" s="26" t="s">
        <v>151</v>
      </c>
      <c r="D548" s="26" t="s">
        <v>94</v>
      </c>
      <c r="E548" s="26" t="s">
        <v>93</v>
      </c>
      <c r="F548" s="28" t="n">
        <v>74</v>
      </c>
      <c r="G548" s="28"/>
      <c r="H548" s="26" t="s">
        <v>101</v>
      </c>
      <c r="I548" s="26"/>
      <c r="J548" s="26"/>
      <c r="K548" s="29" t="str">
        <f aca="false">IF($A548="","",IF(COUNTIFS(tblMoveTypes[Movement],$E548)=0,"Unknown movement type",IF(COUNTIF(tblShipment[Shipment ID],$C548)=0,"Unknown shipment",IF(COUNTIFS(tblShipment[Shipment ID],$C548,tblShipment[Market],$B548)=0,"Market does not match shipment",IF(AND(IFERROR(INDEX(tblMoveTypes[Item?],MATCH($E548,tblMoveTypes[Movement],0)),"?")="Yes",$D548=""),"Item needed",IF(AND(IFERROR(INDEX(tblMoveTypes[Item?],MATCH($E548,tblMoveTypes[Movement],0)),"?")="No",$D548&lt;&gt;""),"Leave Item blank",IF(AND(IFERROR(INDEX(tblMoveTypes[Courier?],MATCH($E548,tblMoveTypes[Movement],0)),"?")="Yes",$H548=""),"Courier needed",IF(AND(IFERROR(INDEX(tblMoveTypes[Courier?],MATCH($E548,tblMoveTypes[Movement],0)),"?")="No",$H548&lt;&gt;""),"Leave Courier blank",IF(AND(IFERROR(INDEX(tblMoveTypes[Orders?],MATCH($E548,tblMoveTypes[Movement],0)),"?")="Yes",$G548=""),"Orders needed",IF(AND(IFERROR(INDEX(tblMoveTypes[Orders?],MATCH($E548,tblMoveTypes[Movement],0)),"?")="No",$G548&lt;&gt;""),"Leave Orders blank",IF(AND(IFERROR(INDEX(tblMoveTypes[Reason?],MATCH($E548,tblMoveTypes[Movement],0)),"?")="Yes",$I548=""),"Reason needed",IF(AND(IFERROR(INDEX(tblMoveTypes[Qty?],MATCH($E548,tblMoveTypes[Movement],0)),"?")="Yes",N($F548)&lt;=0),"Qty needed",IF($A548&lt;_xlfn.MINIFS(tblShipment[Arrival Date],tblShipment[Shipment ID],$C548),"Date before arrival",IF(AND($D548&lt;&gt;"",COUNTIFS(tblShipment[Shipment ID],$C548,tblShipment[Item Code],$D548)=0),"Item not in this shipment",IF(AND($H548&lt;&gt;"",COUNTIFS(tblCouriers[Courier],$H548,tblCouriers[Market],$B548)=0),"Courier not in this market","OK")))))))))))))))</f>
        <v>OK</v>
      </c>
    </row>
    <row r="549" customFormat="false" ht="15" hidden="false" customHeight="false" outlineLevel="0" collapsed="false">
      <c r="A549" s="27" t="n">
        <v>46239</v>
      </c>
      <c r="B549" s="26" t="s">
        <v>90</v>
      </c>
      <c r="C549" s="26" t="s">
        <v>151</v>
      </c>
      <c r="D549" s="26" t="s">
        <v>67</v>
      </c>
      <c r="E549" s="26" t="s">
        <v>93</v>
      </c>
      <c r="F549" s="28" t="n">
        <v>39</v>
      </c>
      <c r="G549" s="28"/>
      <c r="H549" s="26" t="s">
        <v>101</v>
      </c>
      <c r="I549" s="26"/>
      <c r="J549" s="26"/>
      <c r="K549" s="29" t="str">
        <f aca="false">IF($A549="","",IF(COUNTIFS(tblMoveTypes[Movement],$E549)=0,"Unknown movement type",IF(COUNTIF(tblShipment[Shipment ID],$C549)=0,"Unknown shipment",IF(COUNTIFS(tblShipment[Shipment ID],$C549,tblShipment[Market],$B549)=0,"Market does not match shipment",IF(AND(IFERROR(INDEX(tblMoveTypes[Item?],MATCH($E549,tblMoveTypes[Movement],0)),"?")="Yes",$D549=""),"Item needed",IF(AND(IFERROR(INDEX(tblMoveTypes[Item?],MATCH($E549,tblMoveTypes[Movement],0)),"?")="No",$D549&lt;&gt;""),"Leave Item blank",IF(AND(IFERROR(INDEX(tblMoveTypes[Courier?],MATCH($E549,tblMoveTypes[Movement],0)),"?")="Yes",$H549=""),"Courier needed",IF(AND(IFERROR(INDEX(tblMoveTypes[Courier?],MATCH($E549,tblMoveTypes[Movement],0)),"?")="No",$H549&lt;&gt;""),"Leave Courier blank",IF(AND(IFERROR(INDEX(tblMoveTypes[Orders?],MATCH($E549,tblMoveTypes[Movement],0)),"?")="Yes",$G549=""),"Orders needed",IF(AND(IFERROR(INDEX(tblMoveTypes[Orders?],MATCH($E549,tblMoveTypes[Movement],0)),"?")="No",$G549&lt;&gt;""),"Leave Orders blank",IF(AND(IFERROR(INDEX(tblMoveTypes[Reason?],MATCH($E549,tblMoveTypes[Movement],0)),"?")="Yes",$I549=""),"Reason needed",IF(AND(IFERROR(INDEX(tblMoveTypes[Qty?],MATCH($E549,tblMoveTypes[Movement],0)),"?")="Yes",N($F549)&lt;=0),"Qty needed",IF($A549&lt;_xlfn.MINIFS(tblShipment[Arrival Date],tblShipment[Shipment ID],$C549),"Date before arrival",IF(AND($D549&lt;&gt;"",COUNTIFS(tblShipment[Shipment ID],$C549,tblShipment[Item Code],$D549)=0),"Item not in this shipment",IF(AND($H549&lt;&gt;"",COUNTIFS(tblCouriers[Courier],$H549,tblCouriers[Market],$B549)=0),"Courier not in this market","OK")))))))))))))))</f>
        <v>OK</v>
      </c>
    </row>
    <row r="550" customFormat="false" ht="15" hidden="false" customHeight="false" outlineLevel="0" collapsed="false">
      <c r="A550" s="27" t="n">
        <v>46239</v>
      </c>
      <c r="B550" s="26" t="s">
        <v>90</v>
      </c>
      <c r="C550" s="26" t="s">
        <v>151</v>
      </c>
      <c r="D550" s="26" t="s">
        <v>83</v>
      </c>
      <c r="E550" s="26" t="s">
        <v>93</v>
      </c>
      <c r="F550" s="28" t="n">
        <v>39</v>
      </c>
      <c r="G550" s="28"/>
      <c r="H550" s="26" t="s">
        <v>101</v>
      </c>
      <c r="I550" s="26"/>
      <c r="J550" s="26"/>
      <c r="K550" s="29" t="str">
        <f aca="false">IF($A550="","",IF(COUNTIFS(tblMoveTypes[Movement],$E550)=0,"Unknown movement type",IF(COUNTIF(tblShipment[Shipment ID],$C550)=0,"Unknown shipment",IF(COUNTIFS(tblShipment[Shipment ID],$C550,tblShipment[Market],$B550)=0,"Market does not match shipment",IF(AND(IFERROR(INDEX(tblMoveTypes[Item?],MATCH($E550,tblMoveTypes[Movement],0)),"?")="Yes",$D550=""),"Item needed",IF(AND(IFERROR(INDEX(tblMoveTypes[Item?],MATCH($E550,tblMoveTypes[Movement],0)),"?")="No",$D550&lt;&gt;""),"Leave Item blank",IF(AND(IFERROR(INDEX(tblMoveTypes[Courier?],MATCH($E550,tblMoveTypes[Movement],0)),"?")="Yes",$H550=""),"Courier needed",IF(AND(IFERROR(INDEX(tblMoveTypes[Courier?],MATCH($E550,tblMoveTypes[Movement],0)),"?")="No",$H550&lt;&gt;""),"Leave Courier blank",IF(AND(IFERROR(INDEX(tblMoveTypes[Orders?],MATCH($E550,tblMoveTypes[Movement],0)),"?")="Yes",$G550=""),"Orders needed",IF(AND(IFERROR(INDEX(tblMoveTypes[Orders?],MATCH($E550,tblMoveTypes[Movement],0)),"?")="No",$G550&lt;&gt;""),"Leave Orders blank",IF(AND(IFERROR(INDEX(tblMoveTypes[Reason?],MATCH($E550,tblMoveTypes[Movement],0)),"?")="Yes",$I550=""),"Reason needed",IF(AND(IFERROR(INDEX(tblMoveTypes[Qty?],MATCH($E550,tblMoveTypes[Movement],0)),"?")="Yes",N($F550)&lt;=0),"Qty needed",IF($A550&lt;_xlfn.MINIFS(tblShipment[Arrival Date],tblShipment[Shipment ID],$C550),"Date before arrival",IF(AND($D550&lt;&gt;"",COUNTIFS(tblShipment[Shipment ID],$C550,tblShipment[Item Code],$D550)=0),"Item not in this shipment",IF(AND($H550&lt;&gt;"",COUNTIFS(tblCouriers[Courier],$H550,tblCouriers[Market],$B550)=0),"Courier not in this market","OK")))))))))))))))</f>
        <v>OK</v>
      </c>
    </row>
    <row r="551" customFormat="false" ht="15" hidden="false" customHeight="false" outlineLevel="0" collapsed="false">
      <c r="A551" s="27" t="n">
        <v>46239</v>
      </c>
      <c r="B551" s="26" t="s">
        <v>90</v>
      </c>
      <c r="C551" s="26" t="s">
        <v>151</v>
      </c>
      <c r="D551" s="26"/>
      <c r="E551" s="26" t="s">
        <v>104</v>
      </c>
      <c r="F551" s="28"/>
      <c r="G551" s="28" t="n">
        <v>41</v>
      </c>
      <c r="H551" s="26" t="s">
        <v>101</v>
      </c>
      <c r="I551" s="26"/>
      <c r="J551" s="26"/>
      <c r="K551" s="29" t="str">
        <f aca="false">IF($A551="","",IF(COUNTIFS(tblMoveTypes[Movement],$E551)=0,"Unknown movement type",IF(COUNTIF(tblShipment[Shipment ID],$C551)=0,"Unknown shipment",IF(COUNTIFS(tblShipment[Shipment ID],$C551,tblShipment[Market],$B551)=0,"Market does not match shipment",IF(AND(IFERROR(INDEX(tblMoveTypes[Item?],MATCH($E551,tblMoveTypes[Movement],0)),"?")="Yes",$D551=""),"Item needed",IF(AND(IFERROR(INDEX(tblMoveTypes[Item?],MATCH($E551,tblMoveTypes[Movement],0)),"?")="No",$D551&lt;&gt;""),"Leave Item blank",IF(AND(IFERROR(INDEX(tblMoveTypes[Courier?],MATCH($E551,tblMoveTypes[Movement],0)),"?")="Yes",$H551=""),"Courier needed",IF(AND(IFERROR(INDEX(tblMoveTypes[Courier?],MATCH($E551,tblMoveTypes[Movement],0)),"?")="No",$H551&lt;&gt;""),"Leave Courier blank",IF(AND(IFERROR(INDEX(tblMoveTypes[Orders?],MATCH($E551,tblMoveTypes[Movement],0)),"?")="Yes",$G551=""),"Orders needed",IF(AND(IFERROR(INDEX(tblMoveTypes[Orders?],MATCH($E551,tblMoveTypes[Movement],0)),"?")="No",$G551&lt;&gt;""),"Leave Orders blank",IF(AND(IFERROR(INDEX(tblMoveTypes[Reason?],MATCH($E551,tblMoveTypes[Movement],0)),"?")="Yes",$I551=""),"Reason needed",IF(AND(IFERROR(INDEX(tblMoveTypes[Qty?],MATCH($E551,tblMoveTypes[Movement],0)),"?")="Yes",N($F551)&lt;=0),"Qty needed",IF($A551&lt;_xlfn.MINIFS(tblShipment[Arrival Date],tblShipment[Shipment ID],$C551),"Date before arrival",IF(AND($D551&lt;&gt;"",COUNTIFS(tblShipment[Shipment ID],$C551,tblShipment[Item Code],$D551)=0),"Item not in this shipment",IF(AND($H551&lt;&gt;"",COUNTIFS(tblCouriers[Courier],$H551,tblCouriers[Market],$B551)=0),"Courier not in this market","OK")))))))))))))))</f>
        <v>OK</v>
      </c>
    </row>
    <row r="552" customFormat="false" ht="15" hidden="false" customHeight="false" outlineLevel="0" collapsed="false">
      <c r="A552" s="27" t="n">
        <v>46239</v>
      </c>
      <c r="B552" s="26" t="s">
        <v>90</v>
      </c>
      <c r="C552" s="26" t="s">
        <v>151</v>
      </c>
      <c r="D552" s="26"/>
      <c r="E552" s="26" t="s">
        <v>106</v>
      </c>
      <c r="F552" s="28" t="n">
        <v>147</v>
      </c>
      <c r="G552" s="28" t="n">
        <v>22</v>
      </c>
      <c r="H552" s="26" t="s">
        <v>101</v>
      </c>
      <c r="I552" s="26"/>
      <c r="J552" s="26"/>
      <c r="K552" s="29" t="str">
        <f aca="false">IF($A552="","",IF(COUNTIFS(tblMoveTypes[Movement],$E552)=0,"Unknown movement type",IF(COUNTIF(tblShipment[Shipment ID],$C552)=0,"Unknown shipment",IF(COUNTIFS(tblShipment[Shipment ID],$C552,tblShipment[Market],$B552)=0,"Market does not match shipment",IF(AND(IFERROR(INDEX(tblMoveTypes[Item?],MATCH($E552,tblMoveTypes[Movement],0)),"?")="Yes",$D552=""),"Item needed",IF(AND(IFERROR(INDEX(tblMoveTypes[Item?],MATCH($E552,tblMoveTypes[Movement],0)),"?")="No",$D552&lt;&gt;""),"Leave Item blank",IF(AND(IFERROR(INDEX(tblMoveTypes[Courier?],MATCH($E552,tblMoveTypes[Movement],0)),"?")="Yes",$H552=""),"Courier needed",IF(AND(IFERROR(INDEX(tblMoveTypes[Courier?],MATCH($E552,tblMoveTypes[Movement],0)),"?")="No",$H552&lt;&gt;""),"Leave Courier blank",IF(AND(IFERROR(INDEX(tblMoveTypes[Orders?],MATCH($E552,tblMoveTypes[Movement],0)),"?")="Yes",$G552=""),"Orders needed",IF(AND(IFERROR(INDEX(tblMoveTypes[Orders?],MATCH($E552,tblMoveTypes[Movement],0)),"?")="No",$G552&lt;&gt;""),"Leave Orders blank",IF(AND(IFERROR(INDEX(tblMoveTypes[Reason?],MATCH($E552,tblMoveTypes[Movement],0)),"?")="Yes",$I552=""),"Reason needed",IF(AND(IFERROR(INDEX(tblMoveTypes[Qty?],MATCH($E552,tblMoveTypes[Movement],0)),"?")="Yes",N($F552)&lt;=0),"Qty needed",IF($A552&lt;_xlfn.MINIFS(tblShipment[Arrival Date],tblShipment[Shipment ID],$C552),"Date before arrival",IF(AND($D552&lt;&gt;"",COUNTIFS(tblShipment[Shipment ID],$C552,tblShipment[Item Code],$D552)=0),"Item not in this shipment",IF(AND($H552&lt;&gt;"",COUNTIFS(tblCouriers[Courier],$H552,tblCouriers[Market],$B552)=0),"Courier not in this market","OK")))))))))))))))</f>
        <v>OK</v>
      </c>
    </row>
    <row r="553" customFormat="false" ht="15" hidden="false" customHeight="false" outlineLevel="0" collapsed="false">
      <c r="A553" s="27" t="n">
        <v>46239</v>
      </c>
      <c r="B553" s="26" t="s">
        <v>78</v>
      </c>
      <c r="C553" s="26" t="s">
        <v>135</v>
      </c>
      <c r="D553" s="26"/>
      <c r="E553" s="26" t="s">
        <v>108</v>
      </c>
      <c r="F553" s="28" t="n">
        <v>12</v>
      </c>
      <c r="G553" s="28" t="n">
        <v>1</v>
      </c>
      <c r="H553" s="26" t="s">
        <v>79</v>
      </c>
      <c r="I553" s="26" t="s">
        <v>102</v>
      </c>
      <c r="J553" s="26"/>
      <c r="K553" s="29" t="str">
        <f aca="false">IF($A553="","",IF(COUNTIFS(tblMoveTypes[Movement],$E553)=0,"Unknown movement type",IF(COUNTIF(tblShipment[Shipment ID],$C553)=0,"Unknown shipment",IF(COUNTIFS(tblShipment[Shipment ID],$C553,tblShipment[Market],$B553)=0,"Market does not match shipment",IF(AND(IFERROR(INDEX(tblMoveTypes[Item?],MATCH($E553,tblMoveTypes[Movement],0)),"?")="Yes",$D553=""),"Item needed",IF(AND(IFERROR(INDEX(tblMoveTypes[Item?],MATCH($E553,tblMoveTypes[Movement],0)),"?")="No",$D553&lt;&gt;""),"Leave Item blank",IF(AND(IFERROR(INDEX(tblMoveTypes[Courier?],MATCH($E553,tblMoveTypes[Movement],0)),"?")="Yes",$H553=""),"Courier needed",IF(AND(IFERROR(INDEX(tblMoveTypes[Courier?],MATCH($E553,tblMoveTypes[Movement],0)),"?")="No",$H553&lt;&gt;""),"Leave Courier blank",IF(AND(IFERROR(INDEX(tblMoveTypes[Orders?],MATCH($E553,tblMoveTypes[Movement],0)),"?")="Yes",$G553=""),"Orders needed",IF(AND(IFERROR(INDEX(tblMoveTypes[Orders?],MATCH($E553,tblMoveTypes[Movement],0)),"?")="No",$G553&lt;&gt;""),"Leave Orders blank",IF(AND(IFERROR(INDEX(tblMoveTypes[Reason?],MATCH($E553,tblMoveTypes[Movement],0)),"?")="Yes",$I553=""),"Reason needed",IF(AND(IFERROR(INDEX(tblMoveTypes[Qty?],MATCH($E553,tblMoveTypes[Movement],0)),"?")="Yes",N($F553)&lt;=0),"Qty needed",IF($A553&lt;_xlfn.MINIFS(tblShipment[Arrival Date],tblShipment[Shipment ID],$C553),"Date before arrival",IF(AND($D553&lt;&gt;"",COUNTIFS(tblShipment[Shipment ID],$C553,tblShipment[Item Code],$D553)=0),"Item not in this shipment",IF(AND($H553&lt;&gt;"",COUNTIFS(tblCouriers[Courier],$H553,tblCouriers[Market],$B553)=0),"Courier not in this market","OK")))))))))))))))</f>
        <v>OK</v>
      </c>
    </row>
    <row r="554" customFormat="false" ht="15" hidden="false" customHeight="false" outlineLevel="0" collapsed="false">
      <c r="A554" s="27" t="n">
        <v>46239</v>
      </c>
      <c r="B554" s="26" t="s">
        <v>78</v>
      </c>
      <c r="C554" s="26" t="s">
        <v>135</v>
      </c>
      <c r="D554" s="26" t="s">
        <v>94</v>
      </c>
      <c r="E554" s="26" t="s">
        <v>110</v>
      </c>
      <c r="F554" s="28" t="n">
        <v>8</v>
      </c>
      <c r="G554" s="28"/>
      <c r="H554" s="26"/>
      <c r="I554" s="26"/>
      <c r="J554" s="26"/>
      <c r="K554" s="29" t="str">
        <f aca="false">IF($A554="","",IF(COUNTIFS(tblMoveTypes[Movement],$E554)=0,"Unknown movement type",IF(COUNTIF(tblShipment[Shipment ID],$C554)=0,"Unknown shipment",IF(COUNTIFS(tblShipment[Shipment ID],$C554,tblShipment[Market],$B554)=0,"Market does not match shipment",IF(AND(IFERROR(INDEX(tblMoveTypes[Item?],MATCH($E554,tblMoveTypes[Movement],0)),"?")="Yes",$D554=""),"Item needed",IF(AND(IFERROR(INDEX(tblMoveTypes[Item?],MATCH($E554,tblMoveTypes[Movement],0)),"?")="No",$D554&lt;&gt;""),"Leave Item blank",IF(AND(IFERROR(INDEX(tblMoveTypes[Courier?],MATCH($E554,tblMoveTypes[Movement],0)),"?")="Yes",$H554=""),"Courier needed",IF(AND(IFERROR(INDEX(tblMoveTypes[Courier?],MATCH($E554,tblMoveTypes[Movement],0)),"?")="No",$H554&lt;&gt;""),"Leave Courier blank",IF(AND(IFERROR(INDEX(tblMoveTypes[Orders?],MATCH($E554,tblMoveTypes[Movement],0)),"?")="Yes",$G554=""),"Orders needed",IF(AND(IFERROR(INDEX(tblMoveTypes[Orders?],MATCH($E554,tblMoveTypes[Movement],0)),"?")="No",$G554&lt;&gt;""),"Leave Orders blank",IF(AND(IFERROR(INDEX(tblMoveTypes[Reason?],MATCH($E554,tblMoveTypes[Movement],0)),"?")="Yes",$I554=""),"Reason needed",IF(AND(IFERROR(INDEX(tblMoveTypes[Qty?],MATCH($E554,tblMoveTypes[Movement],0)),"?")="Yes",N($F554)&lt;=0),"Qty needed",IF($A554&lt;_xlfn.MINIFS(tblShipment[Arrival Date],tblShipment[Shipment ID],$C554),"Date before arrival",IF(AND($D554&lt;&gt;"",COUNTIFS(tblShipment[Shipment ID],$C554,tblShipment[Item Code],$D554)=0),"Item not in this shipment",IF(AND($H554&lt;&gt;"",COUNTIFS(tblCouriers[Courier],$H554,tblCouriers[Market],$B554)=0),"Courier not in this market","OK")))))))))))))))</f>
        <v>OK</v>
      </c>
    </row>
    <row r="555" customFormat="false" ht="15" hidden="false" customHeight="false" outlineLevel="0" collapsed="false">
      <c r="A555" s="27" t="n">
        <v>46239</v>
      </c>
      <c r="B555" s="26" t="s">
        <v>78</v>
      </c>
      <c r="C555" s="26" t="s">
        <v>135</v>
      </c>
      <c r="D555" s="26" t="s">
        <v>94</v>
      </c>
      <c r="E555" s="26" t="s">
        <v>112</v>
      </c>
      <c r="F555" s="28" t="n">
        <v>4</v>
      </c>
      <c r="G555" s="28"/>
      <c r="H555" s="26"/>
      <c r="I555" s="26" t="s">
        <v>80</v>
      </c>
      <c r="J555" s="26"/>
      <c r="K555" s="29" t="str">
        <f aca="false">IF($A555="","",IF(COUNTIFS(tblMoveTypes[Movement],$E555)=0,"Unknown movement type",IF(COUNTIF(tblShipment[Shipment ID],$C555)=0,"Unknown shipment",IF(COUNTIFS(tblShipment[Shipment ID],$C555,tblShipment[Market],$B555)=0,"Market does not match shipment",IF(AND(IFERROR(INDEX(tblMoveTypes[Item?],MATCH($E555,tblMoveTypes[Movement],0)),"?")="Yes",$D555=""),"Item needed",IF(AND(IFERROR(INDEX(tblMoveTypes[Item?],MATCH($E555,tblMoveTypes[Movement],0)),"?")="No",$D555&lt;&gt;""),"Leave Item blank",IF(AND(IFERROR(INDEX(tblMoveTypes[Courier?],MATCH($E555,tblMoveTypes[Movement],0)),"?")="Yes",$H555=""),"Courier needed",IF(AND(IFERROR(INDEX(tblMoveTypes[Courier?],MATCH($E555,tblMoveTypes[Movement],0)),"?")="No",$H555&lt;&gt;""),"Leave Courier blank",IF(AND(IFERROR(INDEX(tblMoveTypes[Orders?],MATCH($E555,tblMoveTypes[Movement],0)),"?")="Yes",$G555=""),"Orders needed",IF(AND(IFERROR(INDEX(tblMoveTypes[Orders?],MATCH($E555,tblMoveTypes[Movement],0)),"?")="No",$G555&lt;&gt;""),"Leave Orders blank",IF(AND(IFERROR(INDEX(tblMoveTypes[Reason?],MATCH($E555,tblMoveTypes[Movement],0)),"?")="Yes",$I555=""),"Reason needed",IF(AND(IFERROR(INDEX(tblMoveTypes[Qty?],MATCH($E555,tblMoveTypes[Movement],0)),"?")="Yes",N($F555)&lt;=0),"Qty needed",IF($A555&lt;_xlfn.MINIFS(tblShipment[Arrival Date],tblShipment[Shipment ID],$C555),"Date before arrival",IF(AND($D555&lt;&gt;"",COUNTIFS(tblShipment[Shipment ID],$C555,tblShipment[Item Code],$D555)=0),"Item not in this shipment",IF(AND($H555&lt;&gt;"",COUNTIFS(tblCouriers[Courier],$H555,tblCouriers[Market],$B555)=0),"Courier not in this market","OK")))))))))))))))</f>
        <v>OK</v>
      </c>
    </row>
    <row r="556" customFormat="false" ht="15" hidden="false" customHeight="false" outlineLevel="0" collapsed="false">
      <c r="A556" s="27" t="n">
        <v>46239</v>
      </c>
      <c r="B556" s="26" t="s">
        <v>78</v>
      </c>
      <c r="C556" s="26" t="s">
        <v>135</v>
      </c>
      <c r="D556" s="26"/>
      <c r="E556" s="26" t="s">
        <v>106</v>
      </c>
      <c r="F556" s="28" t="n">
        <v>35</v>
      </c>
      <c r="G556" s="28" t="n">
        <v>5</v>
      </c>
      <c r="H556" s="26" t="s">
        <v>86</v>
      </c>
      <c r="I556" s="26"/>
      <c r="J556" s="26"/>
      <c r="K556" s="29" t="str">
        <f aca="false">IF($A556="","",IF(COUNTIFS(tblMoveTypes[Movement],$E556)=0,"Unknown movement type",IF(COUNTIF(tblShipment[Shipment ID],$C556)=0,"Unknown shipment",IF(COUNTIFS(tblShipment[Shipment ID],$C556,tblShipment[Market],$B556)=0,"Market does not match shipment",IF(AND(IFERROR(INDEX(tblMoveTypes[Item?],MATCH($E556,tblMoveTypes[Movement],0)),"?")="Yes",$D556=""),"Item needed",IF(AND(IFERROR(INDEX(tblMoveTypes[Item?],MATCH($E556,tblMoveTypes[Movement],0)),"?")="No",$D556&lt;&gt;""),"Leave Item blank",IF(AND(IFERROR(INDEX(tblMoveTypes[Courier?],MATCH($E556,tblMoveTypes[Movement],0)),"?")="Yes",$H556=""),"Courier needed",IF(AND(IFERROR(INDEX(tblMoveTypes[Courier?],MATCH($E556,tblMoveTypes[Movement],0)),"?")="No",$H556&lt;&gt;""),"Leave Courier blank",IF(AND(IFERROR(INDEX(tblMoveTypes[Orders?],MATCH($E556,tblMoveTypes[Movement],0)),"?")="Yes",$G556=""),"Orders needed",IF(AND(IFERROR(INDEX(tblMoveTypes[Orders?],MATCH($E556,tblMoveTypes[Movement],0)),"?")="No",$G556&lt;&gt;""),"Leave Orders blank",IF(AND(IFERROR(INDEX(tblMoveTypes[Reason?],MATCH($E556,tblMoveTypes[Movement],0)),"?")="Yes",$I556=""),"Reason needed",IF(AND(IFERROR(INDEX(tblMoveTypes[Qty?],MATCH($E556,tblMoveTypes[Movement],0)),"?")="Yes",N($F556)&lt;=0),"Qty needed",IF($A556&lt;_xlfn.MINIFS(tblShipment[Arrival Date],tblShipment[Shipment ID],$C556),"Date before arrival",IF(AND($D556&lt;&gt;"",COUNTIFS(tblShipment[Shipment ID],$C556,tblShipment[Item Code],$D556)=0),"Item not in this shipment",IF(AND($H556&lt;&gt;"",COUNTIFS(tblCouriers[Courier],$H556,tblCouriers[Market],$B556)=0),"Courier not in this market","OK")))))))))))))))</f>
        <v>OK</v>
      </c>
    </row>
    <row r="557" customFormat="false" ht="15" hidden="false" customHeight="false" outlineLevel="0" collapsed="false">
      <c r="A557" s="27" t="n">
        <v>46239</v>
      </c>
      <c r="B557" s="26" t="s">
        <v>78</v>
      </c>
      <c r="C557" s="26" t="s">
        <v>136</v>
      </c>
      <c r="D557" s="26" t="s">
        <v>67</v>
      </c>
      <c r="E557" s="26" t="s">
        <v>74</v>
      </c>
      <c r="F557" s="28" t="n">
        <v>80</v>
      </c>
      <c r="G557" s="28"/>
      <c r="H557" s="26"/>
      <c r="I557" s="26"/>
      <c r="J557" s="26"/>
      <c r="K557" s="29" t="str">
        <f aca="false">IF($A557="","",IF(COUNTIFS(tblMoveTypes[Movement],$E557)=0,"Unknown movement type",IF(COUNTIF(tblShipment[Shipment ID],$C557)=0,"Unknown shipment",IF(COUNTIFS(tblShipment[Shipment ID],$C557,tblShipment[Market],$B557)=0,"Market does not match shipment",IF(AND(IFERROR(INDEX(tblMoveTypes[Item?],MATCH($E557,tblMoveTypes[Movement],0)),"?")="Yes",$D557=""),"Item needed",IF(AND(IFERROR(INDEX(tblMoveTypes[Item?],MATCH($E557,tblMoveTypes[Movement],0)),"?")="No",$D557&lt;&gt;""),"Leave Item blank",IF(AND(IFERROR(INDEX(tblMoveTypes[Courier?],MATCH($E557,tblMoveTypes[Movement],0)),"?")="Yes",$H557=""),"Courier needed",IF(AND(IFERROR(INDEX(tblMoveTypes[Courier?],MATCH($E557,tblMoveTypes[Movement],0)),"?")="No",$H557&lt;&gt;""),"Leave Courier blank",IF(AND(IFERROR(INDEX(tblMoveTypes[Orders?],MATCH($E557,tblMoveTypes[Movement],0)),"?")="Yes",$G557=""),"Orders needed",IF(AND(IFERROR(INDEX(tblMoveTypes[Orders?],MATCH($E557,tblMoveTypes[Movement],0)),"?")="No",$G557&lt;&gt;""),"Leave Orders blank",IF(AND(IFERROR(INDEX(tblMoveTypes[Reason?],MATCH($E557,tblMoveTypes[Movement],0)),"?")="Yes",$I557=""),"Reason needed",IF(AND(IFERROR(INDEX(tblMoveTypes[Qty?],MATCH($E557,tblMoveTypes[Movement],0)),"?")="Yes",N($F557)&lt;=0),"Qty needed",IF($A557&lt;_xlfn.MINIFS(tblShipment[Arrival Date],tblShipment[Shipment ID],$C557),"Date before arrival",IF(AND($D557&lt;&gt;"",COUNTIFS(tblShipment[Shipment ID],$C557,tblShipment[Item Code],$D557)=0),"Item not in this shipment",IF(AND($H557&lt;&gt;"",COUNTIFS(tblCouriers[Courier],$H557,tblCouriers[Market],$B557)=0),"Courier not in this market","OK")))))))))))))))</f>
        <v>OK</v>
      </c>
    </row>
    <row r="558" customFormat="false" ht="15" hidden="false" customHeight="false" outlineLevel="0" collapsed="false">
      <c r="A558" s="27" t="n">
        <v>46239</v>
      </c>
      <c r="B558" s="26" t="s">
        <v>78</v>
      </c>
      <c r="C558" s="26" t="s">
        <v>136</v>
      </c>
      <c r="D558" s="26" t="s">
        <v>99</v>
      </c>
      <c r="E558" s="26" t="s">
        <v>81</v>
      </c>
      <c r="F558" s="28" t="n">
        <v>3</v>
      </c>
      <c r="G558" s="28"/>
      <c r="H558" s="26"/>
      <c r="I558" s="26"/>
      <c r="J558" s="26" t="s">
        <v>162</v>
      </c>
      <c r="K558" s="29" t="str">
        <f aca="false">IF($A558="","",IF(COUNTIFS(tblMoveTypes[Movement],$E558)=0,"Unknown movement type",IF(COUNTIF(tblShipment[Shipment ID],$C558)=0,"Unknown shipment",IF(COUNTIFS(tblShipment[Shipment ID],$C558,tblShipment[Market],$B558)=0,"Market does not match shipment",IF(AND(IFERROR(INDEX(tblMoveTypes[Item?],MATCH($E558,tblMoveTypes[Movement],0)),"?")="Yes",$D558=""),"Item needed",IF(AND(IFERROR(INDEX(tblMoveTypes[Item?],MATCH($E558,tblMoveTypes[Movement],0)),"?")="No",$D558&lt;&gt;""),"Leave Item blank",IF(AND(IFERROR(INDEX(tblMoveTypes[Courier?],MATCH($E558,tblMoveTypes[Movement],0)),"?")="Yes",$H558=""),"Courier needed",IF(AND(IFERROR(INDEX(tblMoveTypes[Courier?],MATCH($E558,tblMoveTypes[Movement],0)),"?")="No",$H558&lt;&gt;""),"Leave Courier blank",IF(AND(IFERROR(INDEX(tblMoveTypes[Orders?],MATCH($E558,tblMoveTypes[Movement],0)),"?")="Yes",$G558=""),"Orders needed",IF(AND(IFERROR(INDEX(tblMoveTypes[Orders?],MATCH($E558,tblMoveTypes[Movement],0)),"?")="No",$G558&lt;&gt;""),"Leave Orders blank",IF(AND(IFERROR(INDEX(tblMoveTypes[Reason?],MATCH($E558,tblMoveTypes[Movement],0)),"?")="Yes",$I558=""),"Reason needed",IF(AND(IFERROR(INDEX(tblMoveTypes[Qty?],MATCH($E558,tblMoveTypes[Movement],0)),"?")="Yes",N($F558)&lt;=0),"Qty needed",IF($A558&lt;_xlfn.MINIFS(tblShipment[Arrival Date],tblShipment[Shipment ID],$C558),"Date before arrival",IF(AND($D558&lt;&gt;"",COUNTIFS(tblShipment[Shipment ID],$C558,tblShipment[Item Code],$D558)=0),"Item not in this shipment",IF(AND($H558&lt;&gt;"",COUNTIFS(tblCouriers[Courier],$H558,tblCouriers[Market],$B558)=0),"Courier not in this market","OK")))))))))))))))</f>
        <v>OK</v>
      </c>
    </row>
    <row r="559" customFormat="false" ht="15" hidden="false" customHeight="false" outlineLevel="0" collapsed="false">
      <c r="A559" s="27" t="n">
        <v>46239</v>
      </c>
      <c r="B559" s="26" t="s">
        <v>78</v>
      </c>
      <c r="C559" s="26" t="s">
        <v>136</v>
      </c>
      <c r="D559" s="26" t="s">
        <v>99</v>
      </c>
      <c r="E559" s="26" t="s">
        <v>74</v>
      </c>
      <c r="F559" s="28" t="n">
        <v>47</v>
      </c>
      <c r="G559" s="28"/>
      <c r="H559" s="26"/>
      <c r="I559" s="26"/>
      <c r="J559" s="26"/>
      <c r="K559" s="29" t="str">
        <f aca="false">IF($A559="","",IF(COUNTIFS(tblMoveTypes[Movement],$E559)=0,"Unknown movement type",IF(COUNTIF(tblShipment[Shipment ID],$C559)=0,"Unknown shipment",IF(COUNTIFS(tblShipment[Shipment ID],$C559,tblShipment[Market],$B559)=0,"Market does not match shipment",IF(AND(IFERROR(INDEX(tblMoveTypes[Item?],MATCH($E559,tblMoveTypes[Movement],0)),"?")="Yes",$D559=""),"Item needed",IF(AND(IFERROR(INDEX(tblMoveTypes[Item?],MATCH($E559,tblMoveTypes[Movement],0)),"?")="No",$D559&lt;&gt;""),"Leave Item blank",IF(AND(IFERROR(INDEX(tblMoveTypes[Courier?],MATCH($E559,tblMoveTypes[Movement],0)),"?")="Yes",$H559=""),"Courier needed",IF(AND(IFERROR(INDEX(tblMoveTypes[Courier?],MATCH($E559,tblMoveTypes[Movement],0)),"?")="No",$H559&lt;&gt;""),"Leave Courier blank",IF(AND(IFERROR(INDEX(tblMoveTypes[Orders?],MATCH($E559,tblMoveTypes[Movement],0)),"?")="Yes",$G559=""),"Orders needed",IF(AND(IFERROR(INDEX(tblMoveTypes[Orders?],MATCH($E559,tblMoveTypes[Movement],0)),"?")="No",$G559&lt;&gt;""),"Leave Orders blank",IF(AND(IFERROR(INDEX(tblMoveTypes[Reason?],MATCH($E559,tblMoveTypes[Movement],0)),"?")="Yes",$I559=""),"Reason needed",IF(AND(IFERROR(INDEX(tblMoveTypes[Qty?],MATCH($E559,tblMoveTypes[Movement],0)),"?")="Yes",N($F559)&lt;=0),"Qty needed",IF($A559&lt;_xlfn.MINIFS(tblShipment[Arrival Date],tblShipment[Shipment ID],$C559),"Date before arrival",IF(AND($D559&lt;&gt;"",COUNTIFS(tblShipment[Shipment ID],$C559,tblShipment[Item Code],$D559)=0),"Item not in this shipment",IF(AND($H559&lt;&gt;"",COUNTIFS(tblCouriers[Courier],$H559,tblCouriers[Market],$B559)=0),"Courier not in this market","OK")))))))))))))))</f>
        <v>OK</v>
      </c>
    </row>
    <row r="560" customFormat="false" ht="15" hidden="false" customHeight="false" outlineLevel="0" collapsed="false">
      <c r="A560" s="27" t="n">
        <v>46239</v>
      </c>
      <c r="B560" s="26" t="s">
        <v>78</v>
      </c>
      <c r="C560" s="26" t="s">
        <v>136</v>
      </c>
      <c r="D560" s="26" t="s">
        <v>83</v>
      </c>
      <c r="E560" s="26" t="s">
        <v>81</v>
      </c>
      <c r="F560" s="28" t="n">
        <v>2</v>
      </c>
      <c r="G560" s="28"/>
      <c r="H560" s="26"/>
      <c r="I560" s="26"/>
      <c r="J560" s="26" t="s">
        <v>162</v>
      </c>
      <c r="K560" s="29" t="str">
        <f aca="false">IF($A560="","",IF(COUNTIFS(tblMoveTypes[Movement],$E560)=0,"Unknown movement type",IF(COUNTIF(tblShipment[Shipment ID],$C560)=0,"Unknown shipment",IF(COUNTIFS(tblShipment[Shipment ID],$C560,tblShipment[Market],$B560)=0,"Market does not match shipment",IF(AND(IFERROR(INDEX(tblMoveTypes[Item?],MATCH($E560,tblMoveTypes[Movement],0)),"?")="Yes",$D560=""),"Item needed",IF(AND(IFERROR(INDEX(tblMoveTypes[Item?],MATCH($E560,tblMoveTypes[Movement],0)),"?")="No",$D560&lt;&gt;""),"Leave Item blank",IF(AND(IFERROR(INDEX(tblMoveTypes[Courier?],MATCH($E560,tblMoveTypes[Movement],0)),"?")="Yes",$H560=""),"Courier needed",IF(AND(IFERROR(INDEX(tblMoveTypes[Courier?],MATCH($E560,tblMoveTypes[Movement],0)),"?")="No",$H560&lt;&gt;""),"Leave Courier blank",IF(AND(IFERROR(INDEX(tblMoveTypes[Orders?],MATCH($E560,tblMoveTypes[Movement],0)),"?")="Yes",$G560=""),"Orders needed",IF(AND(IFERROR(INDEX(tblMoveTypes[Orders?],MATCH($E560,tblMoveTypes[Movement],0)),"?")="No",$G560&lt;&gt;""),"Leave Orders blank",IF(AND(IFERROR(INDEX(tblMoveTypes[Reason?],MATCH($E560,tblMoveTypes[Movement],0)),"?")="Yes",$I560=""),"Reason needed",IF(AND(IFERROR(INDEX(tblMoveTypes[Qty?],MATCH($E560,tblMoveTypes[Movement],0)),"?")="Yes",N($F560)&lt;=0),"Qty needed",IF($A560&lt;_xlfn.MINIFS(tblShipment[Arrival Date],tblShipment[Shipment ID],$C560),"Date before arrival",IF(AND($D560&lt;&gt;"",COUNTIFS(tblShipment[Shipment ID],$C560,tblShipment[Item Code],$D560)=0),"Item not in this shipment",IF(AND($H560&lt;&gt;"",COUNTIFS(tblCouriers[Courier],$H560,tblCouriers[Market],$B560)=0),"Courier not in this market","OK")))))))))))))))</f>
        <v>OK</v>
      </c>
    </row>
    <row r="561" customFormat="false" ht="15" hidden="false" customHeight="false" outlineLevel="0" collapsed="false">
      <c r="A561" s="27" t="n">
        <v>46239</v>
      </c>
      <c r="B561" s="26" t="s">
        <v>78</v>
      </c>
      <c r="C561" s="26" t="s">
        <v>136</v>
      </c>
      <c r="D561" s="26" t="s">
        <v>83</v>
      </c>
      <c r="E561" s="26" t="s">
        <v>74</v>
      </c>
      <c r="F561" s="28" t="n">
        <v>38</v>
      </c>
      <c r="G561" s="28"/>
      <c r="H561" s="26"/>
      <c r="I561" s="26"/>
      <c r="J561" s="26"/>
      <c r="K561" s="29" t="str">
        <f aca="false">IF($A561="","",IF(COUNTIFS(tblMoveTypes[Movement],$E561)=0,"Unknown movement type",IF(COUNTIF(tblShipment[Shipment ID],$C561)=0,"Unknown shipment",IF(COUNTIFS(tblShipment[Shipment ID],$C561,tblShipment[Market],$B561)=0,"Market does not match shipment",IF(AND(IFERROR(INDEX(tblMoveTypes[Item?],MATCH($E561,tblMoveTypes[Movement],0)),"?")="Yes",$D561=""),"Item needed",IF(AND(IFERROR(INDEX(tblMoveTypes[Item?],MATCH($E561,tblMoveTypes[Movement],0)),"?")="No",$D561&lt;&gt;""),"Leave Item blank",IF(AND(IFERROR(INDEX(tblMoveTypes[Courier?],MATCH($E561,tblMoveTypes[Movement],0)),"?")="Yes",$H561=""),"Courier needed",IF(AND(IFERROR(INDEX(tblMoveTypes[Courier?],MATCH($E561,tblMoveTypes[Movement],0)),"?")="No",$H561&lt;&gt;""),"Leave Courier blank",IF(AND(IFERROR(INDEX(tblMoveTypes[Orders?],MATCH($E561,tblMoveTypes[Movement],0)),"?")="Yes",$G561=""),"Orders needed",IF(AND(IFERROR(INDEX(tblMoveTypes[Orders?],MATCH($E561,tblMoveTypes[Movement],0)),"?")="No",$G561&lt;&gt;""),"Leave Orders blank",IF(AND(IFERROR(INDEX(tblMoveTypes[Reason?],MATCH($E561,tblMoveTypes[Movement],0)),"?")="Yes",$I561=""),"Reason needed",IF(AND(IFERROR(INDEX(tblMoveTypes[Qty?],MATCH($E561,tblMoveTypes[Movement],0)),"?")="Yes",N($F561)&lt;=0),"Qty needed",IF($A561&lt;_xlfn.MINIFS(tblShipment[Arrival Date],tblShipment[Shipment ID],$C561),"Date before arrival",IF(AND($D561&lt;&gt;"",COUNTIFS(tblShipment[Shipment ID],$C561,tblShipment[Item Code],$D561)=0),"Item not in this shipment",IF(AND($H561&lt;&gt;"",COUNTIFS(tblCouriers[Courier],$H561,tblCouriers[Market],$B561)=0),"Courier not in this market","OK")))))))))))))))</f>
        <v>OK</v>
      </c>
    </row>
    <row r="562" customFormat="false" ht="15" hidden="false" customHeight="false" outlineLevel="0" collapsed="false">
      <c r="A562" s="27" t="n">
        <v>46239</v>
      </c>
      <c r="B562" s="26" t="s">
        <v>78</v>
      </c>
      <c r="C562" s="26" t="s">
        <v>136</v>
      </c>
      <c r="D562" s="26"/>
      <c r="E562" s="26" t="s">
        <v>98</v>
      </c>
      <c r="F562" s="28"/>
      <c r="G562" s="28" t="n">
        <v>24</v>
      </c>
      <c r="H562" s="26"/>
      <c r="I562" s="26"/>
      <c r="J562" s="26"/>
      <c r="K562" s="29" t="str">
        <f aca="false">IF($A562="","",IF(COUNTIFS(tblMoveTypes[Movement],$E562)=0,"Unknown movement type",IF(COUNTIF(tblShipment[Shipment ID],$C562)=0,"Unknown shipment",IF(COUNTIFS(tblShipment[Shipment ID],$C562,tblShipment[Market],$B562)=0,"Market does not match shipment",IF(AND(IFERROR(INDEX(tblMoveTypes[Item?],MATCH($E562,tblMoveTypes[Movement],0)),"?")="Yes",$D562=""),"Item needed",IF(AND(IFERROR(INDEX(tblMoveTypes[Item?],MATCH($E562,tblMoveTypes[Movement],0)),"?")="No",$D562&lt;&gt;""),"Leave Item blank",IF(AND(IFERROR(INDEX(tblMoveTypes[Courier?],MATCH($E562,tblMoveTypes[Movement],0)),"?")="Yes",$H562=""),"Courier needed",IF(AND(IFERROR(INDEX(tblMoveTypes[Courier?],MATCH($E562,tblMoveTypes[Movement],0)),"?")="No",$H562&lt;&gt;""),"Leave Courier blank",IF(AND(IFERROR(INDEX(tblMoveTypes[Orders?],MATCH($E562,tblMoveTypes[Movement],0)),"?")="Yes",$G562=""),"Orders needed",IF(AND(IFERROR(INDEX(tblMoveTypes[Orders?],MATCH($E562,tblMoveTypes[Movement],0)),"?")="No",$G562&lt;&gt;""),"Leave Orders blank",IF(AND(IFERROR(INDEX(tblMoveTypes[Reason?],MATCH($E562,tblMoveTypes[Movement],0)),"?")="Yes",$I562=""),"Reason needed",IF(AND(IFERROR(INDEX(tblMoveTypes[Qty?],MATCH($E562,tblMoveTypes[Movement],0)),"?")="Yes",N($F562)&lt;=0),"Qty needed",IF($A562&lt;_xlfn.MINIFS(tblShipment[Arrival Date],tblShipment[Shipment ID],$C562),"Date before arrival",IF(AND($D562&lt;&gt;"",COUNTIFS(tblShipment[Shipment ID],$C562,tblShipment[Item Code],$D562)=0),"Item not in this shipment",IF(AND($H562&lt;&gt;"",COUNTIFS(tblCouriers[Courier],$H562,tblCouriers[Market],$B562)=0),"Courier not in this market","OK")))))))))))))))</f>
        <v>OK</v>
      </c>
    </row>
    <row r="563" customFormat="false" ht="15" hidden="false" customHeight="false" outlineLevel="0" collapsed="false">
      <c r="A563" s="27" t="n">
        <v>46239</v>
      </c>
      <c r="B563" s="26" t="s">
        <v>78</v>
      </c>
      <c r="C563" s="26" t="s">
        <v>136</v>
      </c>
      <c r="D563" s="26" t="s">
        <v>67</v>
      </c>
      <c r="E563" s="26" t="s">
        <v>73</v>
      </c>
      <c r="F563" s="28" t="n">
        <v>4</v>
      </c>
      <c r="G563" s="28"/>
      <c r="H563" s="26"/>
      <c r="I563" s="26" t="s">
        <v>72</v>
      </c>
      <c r="J563" s="26"/>
      <c r="K563" s="29" t="str">
        <f aca="false">IF($A563="","",IF(COUNTIFS(tblMoveTypes[Movement],$E563)=0,"Unknown movement type",IF(COUNTIF(tblShipment[Shipment ID],$C563)=0,"Unknown shipment",IF(COUNTIFS(tblShipment[Shipment ID],$C563,tblShipment[Market],$B563)=0,"Market does not match shipment",IF(AND(IFERROR(INDEX(tblMoveTypes[Item?],MATCH($E563,tblMoveTypes[Movement],0)),"?")="Yes",$D563=""),"Item needed",IF(AND(IFERROR(INDEX(tblMoveTypes[Item?],MATCH($E563,tblMoveTypes[Movement],0)),"?")="No",$D563&lt;&gt;""),"Leave Item blank",IF(AND(IFERROR(INDEX(tblMoveTypes[Courier?],MATCH($E563,tblMoveTypes[Movement],0)),"?")="Yes",$H563=""),"Courier needed",IF(AND(IFERROR(INDEX(tblMoveTypes[Courier?],MATCH($E563,tblMoveTypes[Movement],0)),"?")="No",$H563&lt;&gt;""),"Leave Courier blank",IF(AND(IFERROR(INDEX(tblMoveTypes[Orders?],MATCH($E563,tblMoveTypes[Movement],0)),"?")="Yes",$G563=""),"Orders needed",IF(AND(IFERROR(INDEX(tblMoveTypes[Orders?],MATCH($E563,tblMoveTypes[Movement],0)),"?")="No",$G563&lt;&gt;""),"Leave Orders blank",IF(AND(IFERROR(INDEX(tblMoveTypes[Reason?],MATCH($E563,tblMoveTypes[Movement],0)),"?")="Yes",$I563=""),"Reason needed",IF(AND(IFERROR(INDEX(tblMoveTypes[Qty?],MATCH($E563,tblMoveTypes[Movement],0)),"?")="Yes",N($F563)&lt;=0),"Qty needed",IF($A563&lt;_xlfn.MINIFS(tblShipment[Arrival Date],tblShipment[Shipment ID],$C563),"Date before arrival",IF(AND($D563&lt;&gt;"",COUNTIFS(tblShipment[Shipment ID],$C563,tblShipment[Item Code],$D563)=0),"Item not in this shipment",IF(AND($H563&lt;&gt;"",COUNTIFS(tblCouriers[Courier],$H563,tblCouriers[Market],$B563)=0),"Courier not in this market","OK")))))))))))))))</f>
        <v>OK</v>
      </c>
    </row>
    <row r="564" customFormat="false" ht="15" hidden="false" customHeight="false" outlineLevel="0" collapsed="false">
      <c r="A564" s="27" t="n">
        <v>46239</v>
      </c>
      <c r="B564" s="26" t="s">
        <v>78</v>
      </c>
      <c r="C564" s="26" t="s">
        <v>136</v>
      </c>
      <c r="D564" s="26" t="s">
        <v>99</v>
      </c>
      <c r="E564" s="26" t="s">
        <v>73</v>
      </c>
      <c r="F564" s="28" t="n">
        <v>1</v>
      </c>
      <c r="G564" s="28"/>
      <c r="H564" s="26"/>
      <c r="I564" s="26" t="s">
        <v>80</v>
      </c>
      <c r="J564" s="26"/>
      <c r="K564" s="29" t="str">
        <f aca="false">IF($A564="","",IF(COUNTIFS(tblMoveTypes[Movement],$E564)=0,"Unknown movement type",IF(COUNTIF(tblShipment[Shipment ID],$C564)=0,"Unknown shipment",IF(COUNTIFS(tblShipment[Shipment ID],$C564,tblShipment[Market],$B564)=0,"Market does not match shipment",IF(AND(IFERROR(INDEX(tblMoveTypes[Item?],MATCH($E564,tblMoveTypes[Movement],0)),"?")="Yes",$D564=""),"Item needed",IF(AND(IFERROR(INDEX(tblMoveTypes[Item?],MATCH($E564,tblMoveTypes[Movement],0)),"?")="No",$D564&lt;&gt;""),"Leave Item blank",IF(AND(IFERROR(INDEX(tblMoveTypes[Courier?],MATCH($E564,tblMoveTypes[Movement],0)),"?")="Yes",$H564=""),"Courier needed",IF(AND(IFERROR(INDEX(tblMoveTypes[Courier?],MATCH($E564,tblMoveTypes[Movement],0)),"?")="No",$H564&lt;&gt;""),"Leave Courier blank",IF(AND(IFERROR(INDEX(tblMoveTypes[Orders?],MATCH($E564,tblMoveTypes[Movement],0)),"?")="Yes",$G564=""),"Orders needed",IF(AND(IFERROR(INDEX(tblMoveTypes[Orders?],MATCH($E564,tblMoveTypes[Movement],0)),"?")="No",$G564&lt;&gt;""),"Leave Orders blank",IF(AND(IFERROR(INDEX(tblMoveTypes[Reason?],MATCH($E564,tblMoveTypes[Movement],0)),"?")="Yes",$I564=""),"Reason needed",IF(AND(IFERROR(INDEX(tblMoveTypes[Qty?],MATCH($E564,tblMoveTypes[Movement],0)),"?")="Yes",N($F564)&lt;=0),"Qty needed",IF($A564&lt;_xlfn.MINIFS(tblShipment[Arrival Date],tblShipment[Shipment ID],$C564),"Date before arrival",IF(AND($D564&lt;&gt;"",COUNTIFS(tblShipment[Shipment ID],$C564,tblShipment[Item Code],$D564)=0),"Item not in this shipment",IF(AND($H564&lt;&gt;"",COUNTIFS(tblCouriers[Courier],$H564,tblCouriers[Market],$B564)=0),"Courier not in this market","OK")))))))))))))))</f>
        <v>OK</v>
      </c>
    </row>
    <row r="565" customFormat="false" ht="15" hidden="false" customHeight="false" outlineLevel="0" collapsed="false">
      <c r="A565" s="27" t="n">
        <v>46239</v>
      </c>
      <c r="B565" s="26" t="s">
        <v>78</v>
      </c>
      <c r="C565" s="26" t="s">
        <v>136</v>
      </c>
      <c r="D565" s="26" t="s">
        <v>83</v>
      </c>
      <c r="E565" s="26" t="s">
        <v>73</v>
      </c>
      <c r="F565" s="28" t="n">
        <v>1</v>
      </c>
      <c r="G565" s="28"/>
      <c r="H565" s="26"/>
      <c r="I565" s="26" t="s">
        <v>87</v>
      </c>
      <c r="J565" s="26"/>
      <c r="K565" s="29" t="str">
        <f aca="false">IF($A565="","",IF(COUNTIFS(tblMoveTypes[Movement],$E565)=0,"Unknown movement type",IF(COUNTIF(tblShipment[Shipment ID],$C565)=0,"Unknown shipment",IF(COUNTIFS(tblShipment[Shipment ID],$C565,tblShipment[Market],$B565)=0,"Market does not match shipment",IF(AND(IFERROR(INDEX(tblMoveTypes[Item?],MATCH($E565,tblMoveTypes[Movement],0)),"?")="Yes",$D565=""),"Item needed",IF(AND(IFERROR(INDEX(tblMoveTypes[Item?],MATCH($E565,tblMoveTypes[Movement],0)),"?")="No",$D565&lt;&gt;""),"Leave Item blank",IF(AND(IFERROR(INDEX(tblMoveTypes[Courier?],MATCH($E565,tblMoveTypes[Movement],0)),"?")="Yes",$H565=""),"Courier needed",IF(AND(IFERROR(INDEX(tblMoveTypes[Courier?],MATCH($E565,tblMoveTypes[Movement],0)),"?")="No",$H565&lt;&gt;""),"Leave Courier blank",IF(AND(IFERROR(INDEX(tblMoveTypes[Orders?],MATCH($E565,tblMoveTypes[Movement],0)),"?")="Yes",$G565=""),"Orders needed",IF(AND(IFERROR(INDEX(tblMoveTypes[Orders?],MATCH($E565,tblMoveTypes[Movement],0)),"?")="No",$G565&lt;&gt;""),"Leave Orders blank",IF(AND(IFERROR(INDEX(tblMoveTypes[Reason?],MATCH($E565,tblMoveTypes[Movement],0)),"?")="Yes",$I565=""),"Reason needed",IF(AND(IFERROR(INDEX(tblMoveTypes[Qty?],MATCH($E565,tblMoveTypes[Movement],0)),"?")="Yes",N($F565)&lt;=0),"Qty needed",IF($A565&lt;_xlfn.MINIFS(tblShipment[Arrival Date],tblShipment[Shipment ID],$C565),"Date before arrival",IF(AND($D565&lt;&gt;"",COUNTIFS(tblShipment[Shipment ID],$C565,tblShipment[Item Code],$D565)=0),"Item not in this shipment",IF(AND($H565&lt;&gt;"",COUNTIFS(tblCouriers[Courier],$H565,tblCouriers[Market],$B565)=0),"Courier not in this market","OK")))))))))))))))</f>
        <v>OK</v>
      </c>
    </row>
    <row r="566" customFormat="false" ht="15" hidden="false" customHeight="false" outlineLevel="0" collapsed="false">
      <c r="A566" s="27" t="n">
        <v>46239</v>
      </c>
      <c r="B566" s="26" t="s">
        <v>78</v>
      </c>
      <c r="C566" s="26" t="s">
        <v>136</v>
      </c>
      <c r="D566" s="26" t="s">
        <v>67</v>
      </c>
      <c r="E566" s="26" t="s">
        <v>93</v>
      </c>
      <c r="F566" s="28" t="n">
        <v>46</v>
      </c>
      <c r="G566" s="28"/>
      <c r="H566" s="26" t="s">
        <v>79</v>
      </c>
      <c r="I566" s="26"/>
      <c r="J566" s="26"/>
      <c r="K566" s="29" t="str">
        <f aca="false">IF($A566="","",IF(COUNTIFS(tblMoveTypes[Movement],$E566)=0,"Unknown movement type",IF(COUNTIF(tblShipment[Shipment ID],$C566)=0,"Unknown shipment",IF(COUNTIFS(tblShipment[Shipment ID],$C566,tblShipment[Market],$B566)=0,"Market does not match shipment",IF(AND(IFERROR(INDEX(tblMoveTypes[Item?],MATCH($E566,tblMoveTypes[Movement],0)),"?")="Yes",$D566=""),"Item needed",IF(AND(IFERROR(INDEX(tblMoveTypes[Item?],MATCH($E566,tblMoveTypes[Movement],0)),"?")="No",$D566&lt;&gt;""),"Leave Item blank",IF(AND(IFERROR(INDEX(tblMoveTypes[Courier?],MATCH($E566,tblMoveTypes[Movement],0)),"?")="Yes",$H566=""),"Courier needed",IF(AND(IFERROR(INDEX(tblMoveTypes[Courier?],MATCH($E566,tblMoveTypes[Movement],0)),"?")="No",$H566&lt;&gt;""),"Leave Courier blank",IF(AND(IFERROR(INDEX(tblMoveTypes[Orders?],MATCH($E566,tblMoveTypes[Movement],0)),"?")="Yes",$G566=""),"Orders needed",IF(AND(IFERROR(INDEX(tblMoveTypes[Orders?],MATCH($E566,tblMoveTypes[Movement],0)),"?")="No",$G566&lt;&gt;""),"Leave Orders blank",IF(AND(IFERROR(INDEX(tblMoveTypes[Reason?],MATCH($E566,tblMoveTypes[Movement],0)),"?")="Yes",$I566=""),"Reason needed",IF(AND(IFERROR(INDEX(tblMoveTypes[Qty?],MATCH($E566,tblMoveTypes[Movement],0)),"?")="Yes",N($F566)&lt;=0),"Qty needed",IF($A566&lt;_xlfn.MINIFS(tblShipment[Arrival Date],tblShipment[Shipment ID],$C566),"Date before arrival",IF(AND($D566&lt;&gt;"",COUNTIFS(tblShipment[Shipment ID],$C566,tblShipment[Item Code],$D566)=0),"Item not in this shipment",IF(AND($H566&lt;&gt;"",COUNTIFS(tblCouriers[Courier],$H566,tblCouriers[Market],$B566)=0),"Courier not in this market","OK")))))))))))))))</f>
        <v>OK</v>
      </c>
    </row>
    <row r="567" customFormat="false" ht="15" hidden="false" customHeight="false" outlineLevel="0" collapsed="false">
      <c r="A567" s="27" t="n">
        <v>46239</v>
      </c>
      <c r="B567" s="26" t="s">
        <v>78</v>
      </c>
      <c r="C567" s="26" t="s">
        <v>136</v>
      </c>
      <c r="D567" s="26" t="s">
        <v>67</v>
      </c>
      <c r="E567" s="26" t="s">
        <v>93</v>
      </c>
      <c r="F567" s="28" t="n">
        <v>30</v>
      </c>
      <c r="G567" s="28"/>
      <c r="H567" s="26" t="s">
        <v>86</v>
      </c>
      <c r="I567" s="26"/>
      <c r="J567" s="26"/>
      <c r="K567" s="29" t="str">
        <f aca="false">IF($A567="","",IF(COUNTIFS(tblMoveTypes[Movement],$E567)=0,"Unknown movement type",IF(COUNTIF(tblShipment[Shipment ID],$C567)=0,"Unknown shipment",IF(COUNTIFS(tblShipment[Shipment ID],$C567,tblShipment[Market],$B567)=0,"Market does not match shipment",IF(AND(IFERROR(INDEX(tblMoveTypes[Item?],MATCH($E567,tblMoveTypes[Movement],0)),"?")="Yes",$D567=""),"Item needed",IF(AND(IFERROR(INDEX(tblMoveTypes[Item?],MATCH($E567,tblMoveTypes[Movement],0)),"?")="No",$D567&lt;&gt;""),"Leave Item blank",IF(AND(IFERROR(INDEX(tblMoveTypes[Courier?],MATCH($E567,tblMoveTypes[Movement],0)),"?")="Yes",$H567=""),"Courier needed",IF(AND(IFERROR(INDEX(tblMoveTypes[Courier?],MATCH($E567,tblMoveTypes[Movement],0)),"?")="No",$H567&lt;&gt;""),"Leave Courier blank",IF(AND(IFERROR(INDEX(tblMoveTypes[Orders?],MATCH($E567,tblMoveTypes[Movement],0)),"?")="Yes",$G567=""),"Orders needed",IF(AND(IFERROR(INDEX(tblMoveTypes[Orders?],MATCH($E567,tblMoveTypes[Movement],0)),"?")="No",$G567&lt;&gt;""),"Leave Orders blank",IF(AND(IFERROR(INDEX(tblMoveTypes[Reason?],MATCH($E567,tblMoveTypes[Movement],0)),"?")="Yes",$I567=""),"Reason needed",IF(AND(IFERROR(INDEX(tblMoveTypes[Qty?],MATCH($E567,tblMoveTypes[Movement],0)),"?")="Yes",N($F567)&lt;=0),"Qty needed",IF($A567&lt;_xlfn.MINIFS(tblShipment[Arrival Date],tblShipment[Shipment ID],$C567),"Date before arrival",IF(AND($D567&lt;&gt;"",COUNTIFS(tblShipment[Shipment ID],$C567,tblShipment[Item Code],$D567)=0),"Item not in this shipment",IF(AND($H567&lt;&gt;"",COUNTIFS(tblCouriers[Courier],$H567,tblCouriers[Market],$B567)=0),"Courier not in this market","OK")))))))))))))))</f>
        <v>OK</v>
      </c>
    </row>
    <row r="568" customFormat="false" ht="15" hidden="false" customHeight="false" outlineLevel="0" collapsed="false">
      <c r="A568" s="27" t="n">
        <v>46239</v>
      </c>
      <c r="B568" s="26" t="s">
        <v>78</v>
      </c>
      <c r="C568" s="26" t="s">
        <v>136</v>
      </c>
      <c r="D568" s="26" t="s">
        <v>99</v>
      </c>
      <c r="E568" s="26" t="s">
        <v>93</v>
      </c>
      <c r="F568" s="28" t="n">
        <v>28</v>
      </c>
      <c r="G568" s="28"/>
      <c r="H568" s="26" t="s">
        <v>79</v>
      </c>
      <c r="I568" s="26"/>
      <c r="J568" s="26"/>
      <c r="K568" s="29" t="str">
        <f aca="false">IF($A568="","",IF(COUNTIFS(tblMoveTypes[Movement],$E568)=0,"Unknown movement type",IF(COUNTIF(tblShipment[Shipment ID],$C568)=0,"Unknown shipment",IF(COUNTIFS(tblShipment[Shipment ID],$C568,tblShipment[Market],$B568)=0,"Market does not match shipment",IF(AND(IFERROR(INDEX(tblMoveTypes[Item?],MATCH($E568,tblMoveTypes[Movement],0)),"?")="Yes",$D568=""),"Item needed",IF(AND(IFERROR(INDEX(tblMoveTypes[Item?],MATCH($E568,tblMoveTypes[Movement],0)),"?")="No",$D568&lt;&gt;""),"Leave Item blank",IF(AND(IFERROR(INDEX(tblMoveTypes[Courier?],MATCH($E568,tblMoveTypes[Movement],0)),"?")="Yes",$H568=""),"Courier needed",IF(AND(IFERROR(INDEX(tblMoveTypes[Courier?],MATCH($E568,tblMoveTypes[Movement],0)),"?")="No",$H568&lt;&gt;""),"Leave Courier blank",IF(AND(IFERROR(INDEX(tblMoveTypes[Orders?],MATCH($E568,tblMoveTypes[Movement],0)),"?")="Yes",$G568=""),"Orders needed",IF(AND(IFERROR(INDEX(tblMoveTypes[Orders?],MATCH($E568,tblMoveTypes[Movement],0)),"?")="No",$G568&lt;&gt;""),"Leave Orders blank",IF(AND(IFERROR(INDEX(tblMoveTypes[Reason?],MATCH($E568,tblMoveTypes[Movement],0)),"?")="Yes",$I568=""),"Reason needed",IF(AND(IFERROR(INDEX(tblMoveTypes[Qty?],MATCH($E568,tblMoveTypes[Movement],0)),"?")="Yes",N($F568)&lt;=0),"Qty needed",IF($A568&lt;_xlfn.MINIFS(tblShipment[Arrival Date],tblShipment[Shipment ID],$C568),"Date before arrival",IF(AND($D568&lt;&gt;"",COUNTIFS(tblShipment[Shipment ID],$C568,tblShipment[Item Code],$D568)=0),"Item not in this shipment",IF(AND($H568&lt;&gt;"",COUNTIFS(tblCouriers[Courier],$H568,tblCouriers[Market],$B568)=0),"Courier not in this market","OK")))))))))))))))</f>
        <v>OK</v>
      </c>
    </row>
    <row r="569" customFormat="false" ht="15" hidden="false" customHeight="false" outlineLevel="0" collapsed="false">
      <c r="A569" s="27" t="n">
        <v>46239</v>
      </c>
      <c r="B569" s="26" t="s">
        <v>78</v>
      </c>
      <c r="C569" s="26" t="s">
        <v>136</v>
      </c>
      <c r="D569" s="26" t="s">
        <v>99</v>
      </c>
      <c r="E569" s="26" t="s">
        <v>93</v>
      </c>
      <c r="F569" s="28" t="n">
        <v>18</v>
      </c>
      <c r="G569" s="28"/>
      <c r="H569" s="26" t="s">
        <v>86</v>
      </c>
      <c r="I569" s="26"/>
      <c r="J569" s="26"/>
      <c r="K569" s="29" t="str">
        <f aca="false">IF($A569="","",IF(COUNTIFS(tblMoveTypes[Movement],$E569)=0,"Unknown movement type",IF(COUNTIF(tblShipment[Shipment ID],$C569)=0,"Unknown shipment",IF(COUNTIFS(tblShipment[Shipment ID],$C569,tblShipment[Market],$B569)=0,"Market does not match shipment",IF(AND(IFERROR(INDEX(tblMoveTypes[Item?],MATCH($E569,tblMoveTypes[Movement],0)),"?")="Yes",$D569=""),"Item needed",IF(AND(IFERROR(INDEX(tblMoveTypes[Item?],MATCH($E569,tblMoveTypes[Movement],0)),"?")="No",$D569&lt;&gt;""),"Leave Item blank",IF(AND(IFERROR(INDEX(tblMoveTypes[Courier?],MATCH($E569,tblMoveTypes[Movement],0)),"?")="Yes",$H569=""),"Courier needed",IF(AND(IFERROR(INDEX(tblMoveTypes[Courier?],MATCH($E569,tblMoveTypes[Movement],0)),"?")="No",$H569&lt;&gt;""),"Leave Courier blank",IF(AND(IFERROR(INDEX(tblMoveTypes[Orders?],MATCH($E569,tblMoveTypes[Movement],0)),"?")="Yes",$G569=""),"Orders needed",IF(AND(IFERROR(INDEX(tblMoveTypes[Orders?],MATCH($E569,tblMoveTypes[Movement],0)),"?")="No",$G569&lt;&gt;""),"Leave Orders blank",IF(AND(IFERROR(INDEX(tblMoveTypes[Reason?],MATCH($E569,tblMoveTypes[Movement],0)),"?")="Yes",$I569=""),"Reason needed",IF(AND(IFERROR(INDEX(tblMoveTypes[Qty?],MATCH($E569,tblMoveTypes[Movement],0)),"?")="Yes",N($F569)&lt;=0),"Qty needed",IF($A569&lt;_xlfn.MINIFS(tblShipment[Arrival Date],tblShipment[Shipment ID],$C569),"Date before arrival",IF(AND($D569&lt;&gt;"",COUNTIFS(tblShipment[Shipment ID],$C569,tblShipment[Item Code],$D569)=0),"Item not in this shipment",IF(AND($H569&lt;&gt;"",COUNTIFS(tblCouriers[Courier],$H569,tblCouriers[Market],$B569)=0),"Courier not in this market","OK")))))))))))))))</f>
        <v>OK</v>
      </c>
    </row>
    <row r="570" customFormat="false" ht="15" hidden="false" customHeight="false" outlineLevel="0" collapsed="false">
      <c r="A570" s="27" t="n">
        <v>46239</v>
      </c>
      <c r="B570" s="26" t="s">
        <v>78</v>
      </c>
      <c r="C570" s="26" t="s">
        <v>136</v>
      </c>
      <c r="D570" s="26" t="s">
        <v>83</v>
      </c>
      <c r="E570" s="26" t="s">
        <v>93</v>
      </c>
      <c r="F570" s="28" t="n">
        <v>22</v>
      </c>
      <c r="G570" s="28"/>
      <c r="H570" s="26" t="s">
        <v>79</v>
      </c>
      <c r="I570" s="26"/>
      <c r="J570" s="26"/>
      <c r="K570" s="29" t="str">
        <f aca="false">IF($A570="","",IF(COUNTIFS(tblMoveTypes[Movement],$E570)=0,"Unknown movement type",IF(COUNTIF(tblShipment[Shipment ID],$C570)=0,"Unknown shipment",IF(COUNTIFS(tblShipment[Shipment ID],$C570,tblShipment[Market],$B570)=0,"Market does not match shipment",IF(AND(IFERROR(INDEX(tblMoveTypes[Item?],MATCH($E570,tblMoveTypes[Movement],0)),"?")="Yes",$D570=""),"Item needed",IF(AND(IFERROR(INDEX(tblMoveTypes[Item?],MATCH($E570,tblMoveTypes[Movement],0)),"?")="No",$D570&lt;&gt;""),"Leave Item blank",IF(AND(IFERROR(INDEX(tblMoveTypes[Courier?],MATCH($E570,tblMoveTypes[Movement],0)),"?")="Yes",$H570=""),"Courier needed",IF(AND(IFERROR(INDEX(tblMoveTypes[Courier?],MATCH($E570,tblMoveTypes[Movement],0)),"?")="No",$H570&lt;&gt;""),"Leave Courier blank",IF(AND(IFERROR(INDEX(tblMoveTypes[Orders?],MATCH($E570,tblMoveTypes[Movement],0)),"?")="Yes",$G570=""),"Orders needed",IF(AND(IFERROR(INDEX(tblMoveTypes[Orders?],MATCH($E570,tblMoveTypes[Movement],0)),"?")="No",$G570&lt;&gt;""),"Leave Orders blank",IF(AND(IFERROR(INDEX(tblMoveTypes[Reason?],MATCH($E570,tblMoveTypes[Movement],0)),"?")="Yes",$I570=""),"Reason needed",IF(AND(IFERROR(INDEX(tblMoveTypes[Qty?],MATCH($E570,tblMoveTypes[Movement],0)),"?")="Yes",N($F570)&lt;=0),"Qty needed",IF($A570&lt;_xlfn.MINIFS(tblShipment[Arrival Date],tblShipment[Shipment ID],$C570),"Date before arrival",IF(AND($D570&lt;&gt;"",COUNTIFS(tblShipment[Shipment ID],$C570,tblShipment[Item Code],$D570)=0),"Item not in this shipment",IF(AND($H570&lt;&gt;"",COUNTIFS(tblCouriers[Courier],$H570,tblCouriers[Market],$B570)=0),"Courier not in this market","OK")))))))))))))))</f>
        <v>OK</v>
      </c>
    </row>
    <row r="571" customFormat="false" ht="15" hidden="false" customHeight="false" outlineLevel="0" collapsed="false">
      <c r="A571" s="27" t="n">
        <v>46239</v>
      </c>
      <c r="B571" s="26" t="s">
        <v>78</v>
      </c>
      <c r="C571" s="26" t="s">
        <v>136</v>
      </c>
      <c r="D571" s="26" t="s">
        <v>83</v>
      </c>
      <c r="E571" s="26" t="s">
        <v>93</v>
      </c>
      <c r="F571" s="28" t="n">
        <v>15</v>
      </c>
      <c r="G571" s="28"/>
      <c r="H571" s="26" t="s">
        <v>86</v>
      </c>
      <c r="I571" s="26"/>
      <c r="J571" s="26"/>
      <c r="K571" s="29" t="str">
        <f aca="false">IF($A571="","",IF(COUNTIFS(tblMoveTypes[Movement],$E571)=0,"Unknown movement type",IF(COUNTIF(tblShipment[Shipment ID],$C571)=0,"Unknown shipment",IF(COUNTIFS(tblShipment[Shipment ID],$C571,tblShipment[Market],$B571)=0,"Market does not match shipment",IF(AND(IFERROR(INDEX(tblMoveTypes[Item?],MATCH($E571,tblMoveTypes[Movement],0)),"?")="Yes",$D571=""),"Item needed",IF(AND(IFERROR(INDEX(tblMoveTypes[Item?],MATCH($E571,tblMoveTypes[Movement],0)),"?")="No",$D571&lt;&gt;""),"Leave Item blank",IF(AND(IFERROR(INDEX(tblMoveTypes[Courier?],MATCH($E571,tblMoveTypes[Movement],0)),"?")="Yes",$H571=""),"Courier needed",IF(AND(IFERROR(INDEX(tblMoveTypes[Courier?],MATCH($E571,tblMoveTypes[Movement],0)),"?")="No",$H571&lt;&gt;""),"Leave Courier blank",IF(AND(IFERROR(INDEX(tblMoveTypes[Orders?],MATCH($E571,tblMoveTypes[Movement],0)),"?")="Yes",$G571=""),"Orders needed",IF(AND(IFERROR(INDEX(tblMoveTypes[Orders?],MATCH($E571,tblMoveTypes[Movement],0)),"?")="No",$G571&lt;&gt;""),"Leave Orders blank",IF(AND(IFERROR(INDEX(tblMoveTypes[Reason?],MATCH($E571,tblMoveTypes[Movement],0)),"?")="Yes",$I571=""),"Reason needed",IF(AND(IFERROR(INDEX(tblMoveTypes[Qty?],MATCH($E571,tblMoveTypes[Movement],0)),"?")="Yes",N($F571)&lt;=0),"Qty needed",IF($A571&lt;_xlfn.MINIFS(tblShipment[Arrival Date],tblShipment[Shipment ID],$C571),"Date before arrival",IF(AND($D571&lt;&gt;"",COUNTIFS(tblShipment[Shipment ID],$C571,tblShipment[Item Code],$D571)=0),"Item not in this shipment",IF(AND($H571&lt;&gt;"",COUNTIFS(tblCouriers[Courier],$H571,tblCouriers[Market],$B571)=0),"Courier not in this market","OK")))))))))))))))</f>
        <v>OK</v>
      </c>
    </row>
    <row r="572" customFormat="false" ht="15" hidden="false" customHeight="false" outlineLevel="0" collapsed="false">
      <c r="A572" s="27" t="n">
        <v>46239</v>
      </c>
      <c r="B572" s="26" t="s">
        <v>78</v>
      </c>
      <c r="C572" s="26" t="s">
        <v>136</v>
      </c>
      <c r="D572" s="26"/>
      <c r="E572" s="26" t="s">
        <v>104</v>
      </c>
      <c r="F572" s="28"/>
      <c r="G572" s="28" t="n">
        <v>14</v>
      </c>
      <c r="H572" s="26" t="s">
        <v>79</v>
      </c>
      <c r="I572" s="26"/>
      <c r="J572" s="26"/>
      <c r="K572" s="29" t="str">
        <f aca="false">IF($A572="","",IF(COUNTIFS(tblMoveTypes[Movement],$E572)=0,"Unknown movement type",IF(COUNTIF(tblShipment[Shipment ID],$C572)=0,"Unknown shipment",IF(COUNTIFS(tblShipment[Shipment ID],$C572,tblShipment[Market],$B572)=0,"Market does not match shipment",IF(AND(IFERROR(INDEX(tblMoveTypes[Item?],MATCH($E572,tblMoveTypes[Movement],0)),"?")="Yes",$D572=""),"Item needed",IF(AND(IFERROR(INDEX(tblMoveTypes[Item?],MATCH($E572,tblMoveTypes[Movement],0)),"?")="No",$D572&lt;&gt;""),"Leave Item blank",IF(AND(IFERROR(INDEX(tblMoveTypes[Courier?],MATCH($E572,tblMoveTypes[Movement],0)),"?")="Yes",$H572=""),"Courier needed",IF(AND(IFERROR(INDEX(tblMoveTypes[Courier?],MATCH($E572,tblMoveTypes[Movement],0)),"?")="No",$H572&lt;&gt;""),"Leave Courier blank",IF(AND(IFERROR(INDEX(tblMoveTypes[Orders?],MATCH($E572,tblMoveTypes[Movement],0)),"?")="Yes",$G572=""),"Orders needed",IF(AND(IFERROR(INDEX(tblMoveTypes[Orders?],MATCH($E572,tblMoveTypes[Movement],0)),"?")="No",$G572&lt;&gt;""),"Leave Orders blank",IF(AND(IFERROR(INDEX(tblMoveTypes[Reason?],MATCH($E572,tblMoveTypes[Movement],0)),"?")="Yes",$I572=""),"Reason needed",IF(AND(IFERROR(INDEX(tblMoveTypes[Qty?],MATCH($E572,tblMoveTypes[Movement],0)),"?")="Yes",N($F572)&lt;=0),"Qty needed",IF($A572&lt;_xlfn.MINIFS(tblShipment[Arrival Date],tblShipment[Shipment ID],$C572),"Date before arrival",IF(AND($D572&lt;&gt;"",COUNTIFS(tblShipment[Shipment ID],$C572,tblShipment[Item Code],$D572)=0),"Item not in this shipment",IF(AND($H572&lt;&gt;"",COUNTIFS(tblCouriers[Courier],$H572,tblCouriers[Market],$B572)=0),"Courier not in this market","OK")))))))))))))))</f>
        <v>OK</v>
      </c>
    </row>
    <row r="573" customFormat="false" ht="15" hidden="false" customHeight="false" outlineLevel="0" collapsed="false">
      <c r="A573" s="27" t="n">
        <v>46239</v>
      </c>
      <c r="B573" s="26" t="s">
        <v>78</v>
      </c>
      <c r="C573" s="26" t="s">
        <v>136</v>
      </c>
      <c r="D573" s="26"/>
      <c r="E573" s="26" t="s">
        <v>104</v>
      </c>
      <c r="F573" s="28"/>
      <c r="G573" s="28" t="n">
        <v>10</v>
      </c>
      <c r="H573" s="26" t="s">
        <v>86</v>
      </c>
      <c r="I573" s="26"/>
      <c r="J573" s="26"/>
      <c r="K573" s="29" t="str">
        <f aca="false">IF($A573="","",IF(COUNTIFS(tblMoveTypes[Movement],$E573)=0,"Unknown movement type",IF(COUNTIF(tblShipment[Shipment ID],$C573)=0,"Unknown shipment",IF(COUNTIFS(tblShipment[Shipment ID],$C573,tblShipment[Market],$B573)=0,"Market does not match shipment",IF(AND(IFERROR(INDEX(tblMoveTypes[Item?],MATCH($E573,tblMoveTypes[Movement],0)),"?")="Yes",$D573=""),"Item needed",IF(AND(IFERROR(INDEX(tblMoveTypes[Item?],MATCH($E573,tblMoveTypes[Movement],0)),"?")="No",$D573&lt;&gt;""),"Leave Item blank",IF(AND(IFERROR(INDEX(tblMoveTypes[Courier?],MATCH($E573,tblMoveTypes[Movement],0)),"?")="Yes",$H573=""),"Courier needed",IF(AND(IFERROR(INDEX(tblMoveTypes[Courier?],MATCH($E573,tblMoveTypes[Movement],0)),"?")="No",$H573&lt;&gt;""),"Leave Courier blank",IF(AND(IFERROR(INDEX(tblMoveTypes[Orders?],MATCH($E573,tblMoveTypes[Movement],0)),"?")="Yes",$G573=""),"Orders needed",IF(AND(IFERROR(INDEX(tblMoveTypes[Orders?],MATCH($E573,tblMoveTypes[Movement],0)),"?")="No",$G573&lt;&gt;""),"Leave Orders blank",IF(AND(IFERROR(INDEX(tblMoveTypes[Reason?],MATCH($E573,tblMoveTypes[Movement],0)),"?")="Yes",$I573=""),"Reason needed",IF(AND(IFERROR(INDEX(tblMoveTypes[Qty?],MATCH($E573,tblMoveTypes[Movement],0)),"?")="Yes",N($F573)&lt;=0),"Qty needed",IF($A573&lt;_xlfn.MINIFS(tblShipment[Arrival Date],tblShipment[Shipment ID],$C573),"Date before arrival",IF(AND($D573&lt;&gt;"",COUNTIFS(tblShipment[Shipment ID],$C573,tblShipment[Item Code],$D573)=0),"Item not in this shipment",IF(AND($H573&lt;&gt;"",COUNTIFS(tblCouriers[Courier],$H573,tblCouriers[Market],$B573)=0),"Courier not in this market","OK")))))))))))))))</f>
        <v>OK</v>
      </c>
    </row>
    <row r="574" customFormat="false" ht="15" hidden="false" customHeight="false" outlineLevel="0" collapsed="false">
      <c r="A574" s="27" t="n">
        <v>46239</v>
      </c>
      <c r="B574" s="26" t="s">
        <v>78</v>
      </c>
      <c r="C574" s="26" t="s">
        <v>136</v>
      </c>
      <c r="D574" s="26"/>
      <c r="E574" s="26" t="s">
        <v>106</v>
      </c>
      <c r="F574" s="28" t="n">
        <v>30</v>
      </c>
      <c r="G574" s="28" t="n">
        <v>5</v>
      </c>
      <c r="H574" s="26" t="s">
        <v>86</v>
      </c>
      <c r="I574" s="26"/>
      <c r="J574" s="26"/>
      <c r="K574" s="29" t="str">
        <f aca="false">IF($A574="","",IF(COUNTIFS(tblMoveTypes[Movement],$E574)=0,"Unknown movement type",IF(COUNTIF(tblShipment[Shipment ID],$C574)=0,"Unknown shipment",IF(COUNTIFS(tblShipment[Shipment ID],$C574,tblShipment[Market],$B574)=0,"Market does not match shipment",IF(AND(IFERROR(INDEX(tblMoveTypes[Item?],MATCH($E574,tblMoveTypes[Movement],0)),"?")="Yes",$D574=""),"Item needed",IF(AND(IFERROR(INDEX(tblMoveTypes[Item?],MATCH($E574,tblMoveTypes[Movement],0)),"?")="No",$D574&lt;&gt;""),"Leave Item blank",IF(AND(IFERROR(INDEX(tblMoveTypes[Courier?],MATCH($E574,tblMoveTypes[Movement],0)),"?")="Yes",$H574=""),"Courier needed",IF(AND(IFERROR(INDEX(tblMoveTypes[Courier?],MATCH($E574,tblMoveTypes[Movement],0)),"?")="No",$H574&lt;&gt;""),"Leave Courier blank",IF(AND(IFERROR(INDEX(tblMoveTypes[Orders?],MATCH($E574,tblMoveTypes[Movement],0)),"?")="Yes",$G574=""),"Orders needed",IF(AND(IFERROR(INDEX(tblMoveTypes[Orders?],MATCH($E574,tblMoveTypes[Movement],0)),"?")="No",$G574&lt;&gt;""),"Leave Orders blank",IF(AND(IFERROR(INDEX(tblMoveTypes[Reason?],MATCH($E574,tblMoveTypes[Movement],0)),"?")="Yes",$I574=""),"Reason needed",IF(AND(IFERROR(INDEX(tblMoveTypes[Qty?],MATCH($E574,tblMoveTypes[Movement],0)),"?")="Yes",N($F574)&lt;=0),"Qty needed",IF($A574&lt;_xlfn.MINIFS(tblShipment[Arrival Date],tblShipment[Shipment ID],$C574),"Date before arrival",IF(AND($D574&lt;&gt;"",COUNTIFS(tblShipment[Shipment ID],$C574,tblShipment[Item Code],$D574)=0),"Item not in this shipment",IF(AND($H574&lt;&gt;"",COUNTIFS(tblCouriers[Courier],$H574,tblCouriers[Market],$B574)=0),"Courier not in this market","OK")))))))))))))))</f>
        <v>OK</v>
      </c>
    </row>
    <row r="575" customFormat="false" ht="15" hidden="false" customHeight="false" outlineLevel="0" collapsed="false">
      <c r="A575" s="27" t="n">
        <v>46240</v>
      </c>
      <c r="B575" s="26" t="s">
        <v>70</v>
      </c>
      <c r="C575" s="26" t="s">
        <v>128</v>
      </c>
      <c r="D575" s="26" t="s">
        <v>88</v>
      </c>
      <c r="E575" s="26" t="s">
        <v>74</v>
      </c>
      <c r="F575" s="28" t="n">
        <v>60</v>
      </c>
      <c r="G575" s="28"/>
      <c r="H575" s="26"/>
      <c r="I575" s="26"/>
      <c r="J575" s="26"/>
      <c r="K575" s="29" t="str">
        <f aca="false">IF($A575="","",IF(COUNTIFS(tblMoveTypes[Movement],$E575)=0,"Unknown movement type",IF(COUNTIF(tblShipment[Shipment ID],$C575)=0,"Unknown shipment",IF(COUNTIFS(tblShipment[Shipment ID],$C575,tblShipment[Market],$B575)=0,"Market does not match shipment",IF(AND(IFERROR(INDEX(tblMoveTypes[Item?],MATCH($E575,tblMoveTypes[Movement],0)),"?")="Yes",$D575=""),"Item needed",IF(AND(IFERROR(INDEX(tblMoveTypes[Item?],MATCH($E575,tblMoveTypes[Movement],0)),"?")="No",$D575&lt;&gt;""),"Leave Item blank",IF(AND(IFERROR(INDEX(tblMoveTypes[Courier?],MATCH($E575,tblMoveTypes[Movement],0)),"?")="Yes",$H575=""),"Courier needed",IF(AND(IFERROR(INDEX(tblMoveTypes[Courier?],MATCH($E575,tblMoveTypes[Movement],0)),"?")="No",$H575&lt;&gt;""),"Leave Courier blank",IF(AND(IFERROR(INDEX(tblMoveTypes[Orders?],MATCH($E575,tblMoveTypes[Movement],0)),"?")="Yes",$G575=""),"Orders needed",IF(AND(IFERROR(INDEX(tblMoveTypes[Orders?],MATCH($E575,tblMoveTypes[Movement],0)),"?")="No",$G575&lt;&gt;""),"Leave Orders blank",IF(AND(IFERROR(INDEX(tblMoveTypes[Reason?],MATCH($E575,tblMoveTypes[Movement],0)),"?")="Yes",$I575=""),"Reason needed",IF(AND(IFERROR(INDEX(tblMoveTypes[Qty?],MATCH($E575,tblMoveTypes[Movement],0)),"?")="Yes",N($F575)&lt;=0),"Qty needed",IF($A575&lt;_xlfn.MINIFS(tblShipment[Arrival Date],tblShipment[Shipment ID],$C575),"Date before arrival",IF(AND($D575&lt;&gt;"",COUNTIFS(tblShipment[Shipment ID],$C575,tblShipment[Item Code],$D575)=0),"Item not in this shipment",IF(AND($H575&lt;&gt;"",COUNTIFS(tblCouriers[Courier],$H575,tblCouriers[Market],$B575)=0),"Courier not in this market","OK")))))))))))))))</f>
        <v>OK</v>
      </c>
    </row>
    <row r="576" customFormat="false" ht="15" hidden="false" customHeight="false" outlineLevel="0" collapsed="false">
      <c r="A576" s="27" t="n">
        <v>46240</v>
      </c>
      <c r="B576" s="26" t="s">
        <v>70</v>
      </c>
      <c r="C576" s="26" t="s">
        <v>128</v>
      </c>
      <c r="D576" s="26" t="s">
        <v>76</v>
      </c>
      <c r="E576" s="26" t="s">
        <v>74</v>
      </c>
      <c r="F576" s="28" t="n">
        <v>100</v>
      </c>
      <c r="G576" s="28"/>
      <c r="H576" s="26"/>
      <c r="I576" s="26"/>
      <c r="J576" s="26"/>
      <c r="K576" s="29" t="str">
        <f aca="false">IF($A576="","",IF(COUNTIFS(tblMoveTypes[Movement],$E576)=0,"Unknown movement type",IF(COUNTIF(tblShipment[Shipment ID],$C576)=0,"Unknown shipment",IF(COUNTIFS(tblShipment[Shipment ID],$C576,tblShipment[Market],$B576)=0,"Market does not match shipment",IF(AND(IFERROR(INDEX(tblMoveTypes[Item?],MATCH($E576,tblMoveTypes[Movement],0)),"?")="Yes",$D576=""),"Item needed",IF(AND(IFERROR(INDEX(tblMoveTypes[Item?],MATCH($E576,tblMoveTypes[Movement],0)),"?")="No",$D576&lt;&gt;""),"Leave Item blank",IF(AND(IFERROR(INDEX(tblMoveTypes[Courier?],MATCH($E576,tblMoveTypes[Movement],0)),"?")="Yes",$H576=""),"Courier needed",IF(AND(IFERROR(INDEX(tblMoveTypes[Courier?],MATCH($E576,tblMoveTypes[Movement],0)),"?")="No",$H576&lt;&gt;""),"Leave Courier blank",IF(AND(IFERROR(INDEX(tblMoveTypes[Orders?],MATCH($E576,tblMoveTypes[Movement],0)),"?")="Yes",$G576=""),"Orders needed",IF(AND(IFERROR(INDEX(tblMoveTypes[Orders?],MATCH($E576,tblMoveTypes[Movement],0)),"?")="No",$G576&lt;&gt;""),"Leave Orders blank",IF(AND(IFERROR(INDEX(tblMoveTypes[Reason?],MATCH($E576,tblMoveTypes[Movement],0)),"?")="Yes",$I576=""),"Reason needed",IF(AND(IFERROR(INDEX(tblMoveTypes[Qty?],MATCH($E576,tblMoveTypes[Movement],0)),"?")="Yes",N($F576)&lt;=0),"Qty needed",IF($A576&lt;_xlfn.MINIFS(tblShipment[Arrival Date],tblShipment[Shipment ID],$C576),"Date before arrival",IF(AND($D576&lt;&gt;"",COUNTIFS(tblShipment[Shipment ID],$C576,tblShipment[Item Code],$D576)=0),"Item not in this shipment",IF(AND($H576&lt;&gt;"",COUNTIFS(tblCouriers[Courier],$H576,tblCouriers[Market],$B576)=0),"Courier not in this market","OK")))))))))))))))</f>
        <v>OK</v>
      </c>
    </row>
    <row r="577" customFormat="false" ht="15" hidden="false" customHeight="false" outlineLevel="0" collapsed="false">
      <c r="A577" s="27" t="n">
        <v>46240</v>
      </c>
      <c r="B577" s="26" t="s">
        <v>70</v>
      </c>
      <c r="C577" s="26" t="s">
        <v>128</v>
      </c>
      <c r="D577" s="26" t="s">
        <v>67</v>
      </c>
      <c r="E577" s="26" t="s">
        <v>74</v>
      </c>
      <c r="F577" s="28" t="n">
        <v>40</v>
      </c>
      <c r="G577" s="28"/>
      <c r="H577" s="26"/>
      <c r="I577" s="26"/>
      <c r="J577" s="26"/>
      <c r="K577" s="29" t="str">
        <f aca="false">IF($A577="","",IF(COUNTIFS(tblMoveTypes[Movement],$E577)=0,"Unknown movement type",IF(COUNTIF(tblShipment[Shipment ID],$C577)=0,"Unknown shipment",IF(COUNTIFS(tblShipment[Shipment ID],$C577,tblShipment[Market],$B577)=0,"Market does not match shipment",IF(AND(IFERROR(INDEX(tblMoveTypes[Item?],MATCH($E577,tblMoveTypes[Movement],0)),"?")="Yes",$D577=""),"Item needed",IF(AND(IFERROR(INDEX(tblMoveTypes[Item?],MATCH($E577,tblMoveTypes[Movement],0)),"?")="No",$D577&lt;&gt;""),"Leave Item blank",IF(AND(IFERROR(INDEX(tblMoveTypes[Courier?],MATCH($E577,tblMoveTypes[Movement],0)),"?")="Yes",$H577=""),"Courier needed",IF(AND(IFERROR(INDEX(tblMoveTypes[Courier?],MATCH($E577,tblMoveTypes[Movement],0)),"?")="No",$H577&lt;&gt;""),"Leave Courier blank",IF(AND(IFERROR(INDEX(tblMoveTypes[Orders?],MATCH($E577,tblMoveTypes[Movement],0)),"?")="Yes",$G577=""),"Orders needed",IF(AND(IFERROR(INDEX(tblMoveTypes[Orders?],MATCH($E577,tblMoveTypes[Movement],0)),"?")="No",$G577&lt;&gt;""),"Leave Orders blank",IF(AND(IFERROR(INDEX(tblMoveTypes[Reason?],MATCH($E577,tblMoveTypes[Movement],0)),"?")="Yes",$I577=""),"Reason needed",IF(AND(IFERROR(INDEX(tblMoveTypes[Qty?],MATCH($E577,tblMoveTypes[Movement],0)),"?")="Yes",N($F577)&lt;=0),"Qty needed",IF($A577&lt;_xlfn.MINIFS(tblShipment[Arrival Date],tblShipment[Shipment ID],$C577),"Date before arrival",IF(AND($D577&lt;&gt;"",COUNTIFS(tblShipment[Shipment ID],$C577,tblShipment[Item Code],$D577)=0),"Item not in this shipment",IF(AND($H577&lt;&gt;"",COUNTIFS(tblCouriers[Courier],$H577,tblCouriers[Market],$B577)=0),"Courier not in this market","OK")))))))))))))))</f>
        <v>OK</v>
      </c>
    </row>
    <row r="578" customFormat="false" ht="15" hidden="false" customHeight="false" outlineLevel="0" collapsed="false">
      <c r="A578" s="27" t="n">
        <v>46240</v>
      </c>
      <c r="B578" s="26" t="s">
        <v>70</v>
      </c>
      <c r="C578" s="26" t="s">
        <v>128</v>
      </c>
      <c r="D578" s="26"/>
      <c r="E578" s="26" t="s">
        <v>98</v>
      </c>
      <c r="F578" s="28"/>
      <c r="G578" s="28" t="n">
        <v>29</v>
      </c>
      <c r="H578" s="26"/>
      <c r="I578" s="26"/>
      <c r="J578" s="26"/>
      <c r="K578" s="29" t="str">
        <f aca="false">IF($A578="","",IF(COUNTIFS(tblMoveTypes[Movement],$E578)=0,"Unknown movement type",IF(COUNTIF(tblShipment[Shipment ID],$C578)=0,"Unknown shipment",IF(COUNTIFS(tblShipment[Shipment ID],$C578,tblShipment[Market],$B578)=0,"Market does not match shipment",IF(AND(IFERROR(INDEX(tblMoveTypes[Item?],MATCH($E578,tblMoveTypes[Movement],0)),"?")="Yes",$D578=""),"Item needed",IF(AND(IFERROR(INDEX(tblMoveTypes[Item?],MATCH($E578,tblMoveTypes[Movement],0)),"?")="No",$D578&lt;&gt;""),"Leave Item blank",IF(AND(IFERROR(INDEX(tblMoveTypes[Courier?],MATCH($E578,tblMoveTypes[Movement],0)),"?")="Yes",$H578=""),"Courier needed",IF(AND(IFERROR(INDEX(tblMoveTypes[Courier?],MATCH($E578,tblMoveTypes[Movement],0)),"?")="No",$H578&lt;&gt;""),"Leave Courier blank",IF(AND(IFERROR(INDEX(tblMoveTypes[Orders?],MATCH($E578,tblMoveTypes[Movement],0)),"?")="Yes",$G578=""),"Orders needed",IF(AND(IFERROR(INDEX(tblMoveTypes[Orders?],MATCH($E578,tblMoveTypes[Movement],0)),"?")="No",$G578&lt;&gt;""),"Leave Orders blank",IF(AND(IFERROR(INDEX(tblMoveTypes[Reason?],MATCH($E578,tblMoveTypes[Movement],0)),"?")="Yes",$I578=""),"Reason needed",IF(AND(IFERROR(INDEX(tblMoveTypes[Qty?],MATCH($E578,tblMoveTypes[Movement],0)),"?")="Yes",N($F578)&lt;=0),"Qty needed",IF($A578&lt;_xlfn.MINIFS(tblShipment[Arrival Date],tblShipment[Shipment ID],$C578),"Date before arrival",IF(AND($D578&lt;&gt;"",COUNTIFS(tblShipment[Shipment ID],$C578,tblShipment[Item Code],$D578)=0),"Item not in this shipment",IF(AND($H578&lt;&gt;"",COUNTIFS(tblCouriers[Courier],$H578,tblCouriers[Market],$B578)=0),"Courier not in this market","OK")))))))))))))))</f>
        <v>OK</v>
      </c>
    </row>
    <row r="579" customFormat="false" ht="15" hidden="false" customHeight="false" outlineLevel="0" collapsed="false">
      <c r="A579" s="27" t="n">
        <v>46240</v>
      </c>
      <c r="B579" s="26" t="s">
        <v>70</v>
      </c>
      <c r="C579" s="26" t="s">
        <v>128</v>
      </c>
      <c r="D579" s="26" t="s">
        <v>88</v>
      </c>
      <c r="E579" s="26" t="s">
        <v>73</v>
      </c>
      <c r="F579" s="28" t="n">
        <v>4</v>
      </c>
      <c r="G579" s="28"/>
      <c r="H579" s="26"/>
      <c r="I579" s="26" t="s">
        <v>80</v>
      </c>
      <c r="J579" s="26"/>
      <c r="K579" s="29" t="str">
        <f aca="false">IF($A579="","",IF(COUNTIFS(tblMoveTypes[Movement],$E579)=0,"Unknown movement type",IF(COUNTIF(tblShipment[Shipment ID],$C579)=0,"Unknown shipment",IF(COUNTIFS(tblShipment[Shipment ID],$C579,tblShipment[Market],$B579)=0,"Market does not match shipment",IF(AND(IFERROR(INDEX(tblMoveTypes[Item?],MATCH($E579,tblMoveTypes[Movement],0)),"?")="Yes",$D579=""),"Item needed",IF(AND(IFERROR(INDEX(tblMoveTypes[Item?],MATCH($E579,tblMoveTypes[Movement],0)),"?")="No",$D579&lt;&gt;""),"Leave Item blank",IF(AND(IFERROR(INDEX(tblMoveTypes[Courier?],MATCH($E579,tblMoveTypes[Movement],0)),"?")="Yes",$H579=""),"Courier needed",IF(AND(IFERROR(INDEX(tblMoveTypes[Courier?],MATCH($E579,tblMoveTypes[Movement],0)),"?")="No",$H579&lt;&gt;""),"Leave Courier blank",IF(AND(IFERROR(INDEX(tblMoveTypes[Orders?],MATCH($E579,tblMoveTypes[Movement],0)),"?")="Yes",$G579=""),"Orders needed",IF(AND(IFERROR(INDEX(tblMoveTypes[Orders?],MATCH($E579,tblMoveTypes[Movement],0)),"?")="No",$G579&lt;&gt;""),"Leave Orders blank",IF(AND(IFERROR(INDEX(tblMoveTypes[Reason?],MATCH($E579,tblMoveTypes[Movement],0)),"?")="Yes",$I579=""),"Reason needed",IF(AND(IFERROR(INDEX(tblMoveTypes[Qty?],MATCH($E579,tblMoveTypes[Movement],0)),"?")="Yes",N($F579)&lt;=0),"Qty needed",IF($A579&lt;_xlfn.MINIFS(tblShipment[Arrival Date],tblShipment[Shipment ID],$C579),"Date before arrival",IF(AND($D579&lt;&gt;"",COUNTIFS(tblShipment[Shipment ID],$C579,tblShipment[Item Code],$D579)=0),"Item not in this shipment",IF(AND($H579&lt;&gt;"",COUNTIFS(tblCouriers[Courier],$H579,tblCouriers[Market],$B579)=0),"Courier not in this market","OK")))))))))))))))</f>
        <v>OK</v>
      </c>
    </row>
    <row r="580" customFormat="false" ht="15" hidden="false" customHeight="false" outlineLevel="0" collapsed="false">
      <c r="A580" s="27" t="n">
        <v>46240</v>
      </c>
      <c r="B580" s="26" t="s">
        <v>70</v>
      </c>
      <c r="C580" s="26" t="s">
        <v>128</v>
      </c>
      <c r="D580" s="26" t="s">
        <v>76</v>
      </c>
      <c r="E580" s="26" t="s">
        <v>73</v>
      </c>
      <c r="F580" s="28" t="n">
        <v>2</v>
      </c>
      <c r="G580" s="28"/>
      <c r="H580" s="26"/>
      <c r="I580" s="26" t="s">
        <v>80</v>
      </c>
      <c r="J580" s="26"/>
      <c r="K580" s="29" t="str">
        <f aca="false">IF($A580="","",IF(COUNTIFS(tblMoveTypes[Movement],$E580)=0,"Unknown movement type",IF(COUNTIF(tblShipment[Shipment ID],$C580)=0,"Unknown shipment",IF(COUNTIFS(tblShipment[Shipment ID],$C580,tblShipment[Market],$B580)=0,"Market does not match shipment",IF(AND(IFERROR(INDEX(tblMoveTypes[Item?],MATCH($E580,tblMoveTypes[Movement],0)),"?")="Yes",$D580=""),"Item needed",IF(AND(IFERROR(INDEX(tblMoveTypes[Item?],MATCH($E580,tblMoveTypes[Movement],0)),"?")="No",$D580&lt;&gt;""),"Leave Item blank",IF(AND(IFERROR(INDEX(tblMoveTypes[Courier?],MATCH($E580,tblMoveTypes[Movement],0)),"?")="Yes",$H580=""),"Courier needed",IF(AND(IFERROR(INDEX(tblMoveTypes[Courier?],MATCH($E580,tblMoveTypes[Movement],0)),"?")="No",$H580&lt;&gt;""),"Leave Courier blank",IF(AND(IFERROR(INDEX(tblMoveTypes[Orders?],MATCH($E580,tblMoveTypes[Movement],0)),"?")="Yes",$G580=""),"Orders needed",IF(AND(IFERROR(INDEX(tblMoveTypes[Orders?],MATCH($E580,tblMoveTypes[Movement],0)),"?")="No",$G580&lt;&gt;""),"Leave Orders blank",IF(AND(IFERROR(INDEX(tblMoveTypes[Reason?],MATCH($E580,tblMoveTypes[Movement],0)),"?")="Yes",$I580=""),"Reason needed",IF(AND(IFERROR(INDEX(tblMoveTypes[Qty?],MATCH($E580,tblMoveTypes[Movement],0)),"?")="Yes",N($F580)&lt;=0),"Qty needed",IF($A580&lt;_xlfn.MINIFS(tblShipment[Arrival Date],tblShipment[Shipment ID],$C580),"Date before arrival",IF(AND($D580&lt;&gt;"",COUNTIFS(tblShipment[Shipment ID],$C580,tblShipment[Item Code],$D580)=0),"Item not in this shipment",IF(AND($H580&lt;&gt;"",COUNTIFS(tblCouriers[Courier],$H580,tblCouriers[Market],$B580)=0),"Courier not in this market","OK")))))))))))))))</f>
        <v>OK</v>
      </c>
    </row>
    <row r="581" customFormat="false" ht="15" hidden="false" customHeight="false" outlineLevel="0" collapsed="false">
      <c r="A581" s="27" t="n">
        <v>46240</v>
      </c>
      <c r="B581" s="26" t="s">
        <v>70</v>
      </c>
      <c r="C581" s="26" t="s">
        <v>128</v>
      </c>
      <c r="D581" s="26" t="s">
        <v>67</v>
      </c>
      <c r="E581" s="26" t="s">
        <v>73</v>
      </c>
      <c r="F581" s="28" t="n">
        <v>2</v>
      </c>
      <c r="G581" s="28"/>
      <c r="H581" s="26"/>
      <c r="I581" s="26" t="s">
        <v>80</v>
      </c>
      <c r="J581" s="26"/>
      <c r="K581" s="29" t="str">
        <f aca="false">IF($A581="","",IF(COUNTIFS(tblMoveTypes[Movement],$E581)=0,"Unknown movement type",IF(COUNTIF(tblShipment[Shipment ID],$C581)=0,"Unknown shipment",IF(COUNTIFS(tblShipment[Shipment ID],$C581,tblShipment[Market],$B581)=0,"Market does not match shipment",IF(AND(IFERROR(INDEX(tblMoveTypes[Item?],MATCH($E581,tblMoveTypes[Movement],0)),"?")="Yes",$D581=""),"Item needed",IF(AND(IFERROR(INDEX(tblMoveTypes[Item?],MATCH($E581,tblMoveTypes[Movement],0)),"?")="No",$D581&lt;&gt;""),"Leave Item blank",IF(AND(IFERROR(INDEX(tblMoveTypes[Courier?],MATCH($E581,tblMoveTypes[Movement],0)),"?")="Yes",$H581=""),"Courier needed",IF(AND(IFERROR(INDEX(tblMoveTypes[Courier?],MATCH($E581,tblMoveTypes[Movement],0)),"?")="No",$H581&lt;&gt;""),"Leave Courier blank",IF(AND(IFERROR(INDEX(tblMoveTypes[Orders?],MATCH($E581,tblMoveTypes[Movement],0)),"?")="Yes",$G581=""),"Orders needed",IF(AND(IFERROR(INDEX(tblMoveTypes[Orders?],MATCH($E581,tblMoveTypes[Movement],0)),"?")="No",$G581&lt;&gt;""),"Leave Orders blank",IF(AND(IFERROR(INDEX(tblMoveTypes[Reason?],MATCH($E581,tblMoveTypes[Movement],0)),"?")="Yes",$I581=""),"Reason needed",IF(AND(IFERROR(INDEX(tblMoveTypes[Qty?],MATCH($E581,tblMoveTypes[Movement],0)),"?")="Yes",N($F581)&lt;=0),"Qty needed",IF($A581&lt;_xlfn.MINIFS(tblShipment[Arrival Date],tblShipment[Shipment ID],$C581),"Date before arrival",IF(AND($D581&lt;&gt;"",COUNTIFS(tblShipment[Shipment ID],$C581,tblShipment[Item Code],$D581)=0),"Item not in this shipment",IF(AND($H581&lt;&gt;"",COUNTIFS(tblCouriers[Courier],$H581,tblCouriers[Market],$B581)=0),"Courier not in this market","OK")))))))))))))))</f>
        <v>OK</v>
      </c>
    </row>
    <row r="582" customFormat="false" ht="15" hidden="false" customHeight="false" outlineLevel="0" collapsed="false">
      <c r="A582" s="27" t="n">
        <v>46240</v>
      </c>
      <c r="B582" s="26" t="s">
        <v>70</v>
      </c>
      <c r="C582" s="26" t="s">
        <v>128</v>
      </c>
      <c r="D582" s="26" t="s">
        <v>88</v>
      </c>
      <c r="E582" s="26" t="s">
        <v>93</v>
      </c>
      <c r="F582" s="28" t="n">
        <v>56</v>
      </c>
      <c r="G582" s="28"/>
      <c r="H582" s="26" t="s">
        <v>71</v>
      </c>
      <c r="I582" s="26"/>
      <c r="J582" s="26"/>
      <c r="K582" s="29" t="str">
        <f aca="false">IF($A582="","",IF(COUNTIFS(tblMoveTypes[Movement],$E582)=0,"Unknown movement type",IF(COUNTIF(tblShipment[Shipment ID],$C582)=0,"Unknown shipment",IF(COUNTIFS(tblShipment[Shipment ID],$C582,tblShipment[Market],$B582)=0,"Market does not match shipment",IF(AND(IFERROR(INDEX(tblMoveTypes[Item?],MATCH($E582,tblMoveTypes[Movement],0)),"?")="Yes",$D582=""),"Item needed",IF(AND(IFERROR(INDEX(tblMoveTypes[Item?],MATCH($E582,tblMoveTypes[Movement],0)),"?")="No",$D582&lt;&gt;""),"Leave Item blank",IF(AND(IFERROR(INDEX(tblMoveTypes[Courier?],MATCH($E582,tblMoveTypes[Movement],0)),"?")="Yes",$H582=""),"Courier needed",IF(AND(IFERROR(INDEX(tblMoveTypes[Courier?],MATCH($E582,tblMoveTypes[Movement],0)),"?")="No",$H582&lt;&gt;""),"Leave Courier blank",IF(AND(IFERROR(INDEX(tblMoveTypes[Orders?],MATCH($E582,tblMoveTypes[Movement],0)),"?")="Yes",$G582=""),"Orders needed",IF(AND(IFERROR(INDEX(tblMoveTypes[Orders?],MATCH($E582,tblMoveTypes[Movement],0)),"?")="No",$G582&lt;&gt;""),"Leave Orders blank",IF(AND(IFERROR(INDEX(tblMoveTypes[Reason?],MATCH($E582,tblMoveTypes[Movement],0)),"?")="Yes",$I582=""),"Reason needed",IF(AND(IFERROR(INDEX(tblMoveTypes[Qty?],MATCH($E582,tblMoveTypes[Movement],0)),"?")="Yes",N($F582)&lt;=0),"Qty needed",IF($A582&lt;_xlfn.MINIFS(tblShipment[Arrival Date],tblShipment[Shipment ID],$C582),"Date before arrival",IF(AND($D582&lt;&gt;"",COUNTIFS(tblShipment[Shipment ID],$C582,tblShipment[Item Code],$D582)=0),"Item not in this shipment",IF(AND($H582&lt;&gt;"",COUNTIFS(tblCouriers[Courier],$H582,tblCouriers[Market],$B582)=0),"Courier not in this market","OK")))))))))))))))</f>
        <v>OK</v>
      </c>
    </row>
    <row r="583" customFormat="false" ht="15" hidden="false" customHeight="false" outlineLevel="0" collapsed="false">
      <c r="A583" s="27" t="n">
        <v>46240</v>
      </c>
      <c r="B583" s="26" t="s">
        <v>70</v>
      </c>
      <c r="C583" s="26" t="s">
        <v>128</v>
      </c>
      <c r="D583" s="26" t="s">
        <v>76</v>
      </c>
      <c r="E583" s="26" t="s">
        <v>93</v>
      </c>
      <c r="F583" s="28" t="n">
        <v>98</v>
      </c>
      <c r="G583" s="28"/>
      <c r="H583" s="26" t="s">
        <v>71</v>
      </c>
      <c r="I583" s="26"/>
      <c r="J583" s="26"/>
      <c r="K583" s="29" t="str">
        <f aca="false">IF($A583="","",IF(COUNTIFS(tblMoveTypes[Movement],$E583)=0,"Unknown movement type",IF(COUNTIF(tblShipment[Shipment ID],$C583)=0,"Unknown shipment",IF(COUNTIFS(tblShipment[Shipment ID],$C583,tblShipment[Market],$B583)=0,"Market does not match shipment",IF(AND(IFERROR(INDEX(tblMoveTypes[Item?],MATCH($E583,tblMoveTypes[Movement],0)),"?")="Yes",$D583=""),"Item needed",IF(AND(IFERROR(INDEX(tblMoveTypes[Item?],MATCH($E583,tblMoveTypes[Movement],0)),"?")="No",$D583&lt;&gt;""),"Leave Item blank",IF(AND(IFERROR(INDEX(tblMoveTypes[Courier?],MATCH($E583,tblMoveTypes[Movement],0)),"?")="Yes",$H583=""),"Courier needed",IF(AND(IFERROR(INDEX(tblMoveTypes[Courier?],MATCH($E583,tblMoveTypes[Movement],0)),"?")="No",$H583&lt;&gt;""),"Leave Courier blank",IF(AND(IFERROR(INDEX(tblMoveTypes[Orders?],MATCH($E583,tblMoveTypes[Movement],0)),"?")="Yes",$G583=""),"Orders needed",IF(AND(IFERROR(INDEX(tblMoveTypes[Orders?],MATCH($E583,tblMoveTypes[Movement],0)),"?")="No",$G583&lt;&gt;""),"Leave Orders blank",IF(AND(IFERROR(INDEX(tblMoveTypes[Reason?],MATCH($E583,tblMoveTypes[Movement],0)),"?")="Yes",$I583=""),"Reason needed",IF(AND(IFERROR(INDEX(tblMoveTypes[Qty?],MATCH($E583,tblMoveTypes[Movement],0)),"?")="Yes",N($F583)&lt;=0),"Qty needed",IF($A583&lt;_xlfn.MINIFS(tblShipment[Arrival Date],tblShipment[Shipment ID],$C583),"Date before arrival",IF(AND($D583&lt;&gt;"",COUNTIFS(tblShipment[Shipment ID],$C583,tblShipment[Item Code],$D583)=0),"Item not in this shipment",IF(AND($H583&lt;&gt;"",COUNTIFS(tblCouriers[Courier],$H583,tblCouriers[Market],$B583)=0),"Courier not in this market","OK")))))))))))))))</f>
        <v>OK</v>
      </c>
    </row>
    <row r="584" customFormat="false" ht="15" hidden="false" customHeight="false" outlineLevel="0" collapsed="false">
      <c r="A584" s="27" t="n">
        <v>46240</v>
      </c>
      <c r="B584" s="26" t="s">
        <v>70</v>
      </c>
      <c r="C584" s="26" t="s">
        <v>128</v>
      </c>
      <c r="D584" s="26" t="s">
        <v>67</v>
      </c>
      <c r="E584" s="26" t="s">
        <v>93</v>
      </c>
      <c r="F584" s="28" t="n">
        <v>38</v>
      </c>
      <c r="G584" s="28"/>
      <c r="H584" s="26" t="s">
        <v>71</v>
      </c>
      <c r="I584" s="26"/>
      <c r="J584" s="26"/>
      <c r="K584" s="29" t="str">
        <f aca="false">IF($A584="","",IF(COUNTIFS(tblMoveTypes[Movement],$E584)=0,"Unknown movement type",IF(COUNTIF(tblShipment[Shipment ID],$C584)=0,"Unknown shipment",IF(COUNTIFS(tblShipment[Shipment ID],$C584,tblShipment[Market],$B584)=0,"Market does not match shipment",IF(AND(IFERROR(INDEX(tblMoveTypes[Item?],MATCH($E584,tblMoveTypes[Movement],0)),"?")="Yes",$D584=""),"Item needed",IF(AND(IFERROR(INDEX(tblMoveTypes[Item?],MATCH($E584,tblMoveTypes[Movement],0)),"?")="No",$D584&lt;&gt;""),"Leave Item blank",IF(AND(IFERROR(INDEX(tblMoveTypes[Courier?],MATCH($E584,tblMoveTypes[Movement],0)),"?")="Yes",$H584=""),"Courier needed",IF(AND(IFERROR(INDEX(tblMoveTypes[Courier?],MATCH($E584,tblMoveTypes[Movement],0)),"?")="No",$H584&lt;&gt;""),"Leave Courier blank",IF(AND(IFERROR(INDEX(tblMoveTypes[Orders?],MATCH($E584,tblMoveTypes[Movement],0)),"?")="Yes",$G584=""),"Orders needed",IF(AND(IFERROR(INDEX(tblMoveTypes[Orders?],MATCH($E584,tblMoveTypes[Movement],0)),"?")="No",$G584&lt;&gt;""),"Leave Orders blank",IF(AND(IFERROR(INDEX(tblMoveTypes[Reason?],MATCH($E584,tblMoveTypes[Movement],0)),"?")="Yes",$I584=""),"Reason needed",IF(AND(IFERROR(INDEX(tblMoveTypes[Qty?],MATCH($E584,tblMoveTypes[Movement],0)),"?")="Yes",N($F584)&lt;=0),"Qty needed",IF($A584&lt;_xlfn.MINIFS(tblShipment[Arrival Date],tblShipment[Shipment ID],$C584),"Date before arrival",IF(AND($D584&lt;&gt;"",COUNTIFS(tblShipment[Shipment ID],$C584,tblShipment[Item Code],$D584)=0),"Item not in this shipment",IF(AND($H584&lt;&gt;"",COUNTIFS(tblCouriers[Courier],$H584,tblCouriers[Market],$B584)=0),"Courier not in this market","OK")))))))))))))))</f>
        <v>OK</v>
      </c>
    </row>
    <row r="585" customFormat="false" ht="15" hidden="false" customHeight="false" outlineLevel="0" collapsed="false">
      <c r="A585" s="27" t="n">
        <v>46240</v>
      </c>
      <c r="B585" s="26" t="s">
        <v>70</v>
      </c>
      <c r="C585" s="26" t="s">
        <v>128</v>
      </c>
      <c r="D585" s="26"/>
      <c r="E585" s="26" t="s">
        <v>104</v>
      </c>
      <c r="F585" s="28"/>
      <c r="G585" s="28" t="n">
        <v>29</v>
      </c>
      <c r="H585" s="26" t="s">
        <v>71</v>
      </c>
      <c r="I585" s="26"/>
      <c r="J585" s="26"/>
      <c r="K585" s="29" t="str">
        <f aca="false">IF($A585="","",IF(COUNTIFS(tblMoveTypes[Movement],$E585)=0,"Unknown movement type",IF(COUNTIF(tblShipment[Shipment ID],$C585)=0,"Unknown shipment",IF(COUNTIFS(tblShipment[Shipment ID],$C585,tblShipment[Market],$B585)=0,"Market does not match shipment",IF(AND(IFERROR(INDEX(tblMoveTypes[Item?],MATCH($E585,tblMoveTypes[Movement],0)),"?")="Yes",$D585=""),"Item needed",IF(AND(IFERROR(INDEX(tblMoveTypes[Item?],MATCH($E585,tblMoveTypes[Movement],0)),"?")="No",$D585&lt;&gt;""),"Leave Item blank",IF(AND(IFERROR(INDEX(tblMoveTypes[Courier?],MATCH($E585,tblMoveTypes[Movement],0)),"?")="Yes",$H585=""),"Courier needed",IF(AND(IFERROR(INDEX(tblMoveTypes[Courier?],MATCH($E585,tblMoveTypes[Movement],0)),"?")="No",$H585&lt;&gt;""),"Leave Courier blank",IF(AND(IFERROR(INDEX(tblMoveTypes[Orders?],MATCH($E585,tblMoveTypes[Movement],0)),"?")="Yes",$G585=""),"Orders needed",IF(AND(IFERROR(INDEX(tblMoveTypes[Orders?],MATCH($E585,tblMoveTypes[Movement],0)),"?")="No",$G585&lt;&gt;""),"Leave Orders blank",IF(AND(IFERROR(INDEX(tblMoveTypes[Reason?],MATCH($E585,tblMoveTypes[Movement],0)),"?")="Yes",$I585=""),"Reason needed",IF(AND(IFERROR(INDEX(tblMoveTypes[Qty?],MATCH($E585,tblMoveTypes[Movement],0)),"?")="Yes",N($F585)&lt;=0),"Qty needed",IF($A585&lt;_xlfn.MINIFS(tblShipment[Arrival Date],tblShipment[Shipment ID],$C585),"Date before arrival",IF(AND($D585&lt;&gt;"",COUNTIFS(tblShipment[Shipment ID],$C585,tblShipment[Item Code],$D585)=0),"Item not in this shipment",IF(AND($H585&lt;&gt;"",COUNTIFS(tblCouriers[Courier],$H585,tblCouriers[Market],$B585)=0),"Courier not in this market","OK")))))))))))))))</f>
        <v>OK</v>
      </c>
    </row>
    <row r="586" customFormat="false" ht="15" hidden="false" customHeight="false" outlineLevel="0" collapsed="false">
      <c r="A586" s="27" t="n">
        <v>46240</v>
      </c>
      <c r="B586" s="26" t="s">
        <v>85</v>
      </c>
      <c r="C586" s="26" t="s">
        <v>143</v>
      </c>
      <c r="D586" s="26"/>
      <c r="E586" s="26" t="s">
        <v>106</v>
      </c>
      <c r="F586" s="28" t="n">
        <v>18</v>
      </c>
      <c r="G586" s="28" t="n">
        <v>3</v>
      </c>
      <c r="H586" s="26" t="s">
        <v>96</v>
      </c>
      <c r="I586" s="26"/>
      <c r="J586" s="26"/>
      <c r="K586" s="29" t="str">
        <f aca="false">IF($A586="","",IF(COUNTIFS(tblMoveTypes[Movement],$E586)=0,"Unknown movement type",IF(COUNTIF(tblShipment[Shipment ID],$C586)=0,"Unknown shipment",IF(COUNTIFS(tblShipment[Shipment ID],$C586,tblShipment[Market],$B586)=0,"Market does not match shipment",IF(AND(IFERROR(INDEX(tblMoveTypes[Item?],MATCH($E586,tblMoveTypes[Movement],0)),"?")="Yes",$D586=""),"Item needed",IF(AND(IFERROR(INDEX(tblMoveTypes[Item?],MATCH($E586,tblMoveTypes[Movement],0)),"?")="No",$D586&lt;&gt;""),"Leave Item blank",IF(AND(IFERROR(INDEX(tblMoveTypes[Courier?],MATCH($E586,tblMoveTypes[Movement],0)),"?")="Yes",$H586=""),"Courier needed",IF(AND(IFERROR(INDEX(tblMoveTypes[Courier?],MATCH($E586,tblMoveTypes[Movement],0)),"?")="No",$H586&lt;&gt;""),"Leave Courier blank",IF(AND(IFERROR(INDEX(tblMoveTypes[Orders?],MATCH($E586,tblMoveTypes[Movement],0)),"?")="Yes",$G586=""),"Orders needed",IF(AND(IFERROR(INDEX(tblMoveTypes[Orders?],MATCH($E586,tblMoveTypes[Movement],0)),"?")="No",$G586&lt;&gt;""),"Leave Orders blank",IF(AND(IFERROR(INDEX(tblMoveTypes[Reason?],MATCH($E586,tblMoveTypes[Movement],0)),"?")="Yes",$I586=""),"Reason needed",IF(AND(IFERROR(INDEX(tblMoveTypes[Qty?],MATCH($E586,tblMoveTypes[Movement],0)),"?")="Yes",N($F586)&lt;=0),"Qty needed",IF($A586&lt;_xlfn.MINIFS(tblShipment[Arrival Date],tblShipment[Shipment ID],$C586),"Date before arrival",IF(AND($D586&lt;&gt;"",COUNTIFS(tblShipment[Shipment ID],$C586,tblShipment[Item Code],$D586)=0),"Item not in this shipment",IF(AND($H586&lt;&gt;"",COUNTIFS(tblCouriers[Courier],$H586,tblCouriers[Market],$B586)=0),"Courier not in this market","OK")))))))))))))))</f>
        <v>OK</v>
      </c>
    </row>
    <row r="587" customFormat="false" ht="15" hidden="false" customHeight="false" outlineLevel="0" collapsed="false">
      <c r="A587" s="27" t="n">
        <v>46240</v>
      </c>
      <c r="B587" s="26" t="s">
        <v>85</v>
      </c>
      <c r="C587" s="26" t="s">
        <v>143</v>
      </c>
      <c r="D587" s="26" t="s">
        <v>94</v>
      </c>
      <c r="E587" s="26" t="s">
        <v>93</v>
      </c>
      <c r="F587" s="28" t="n">
        <v>3</v>
      </c>
      <c r="G587" s="28"/>
      <c r="H587" s="26" t="s">
        <v>91</v>
      </c>
      <c r="I587" s="26"/>
      <c r="J587" s="26"/>
      <c r="K587" s="29" t="str">
        <f aca="false">IF($A587="","",IF(COUNTIFS(tblMoveTypes[Movement],$E587)=0,"Unknown movement type",IF(COUNTIF(tblShipment[Shipment ID],$C587)=0,"Unknown shipment",IF(COUNTIFS(tblShipment[Shipment ID],$C587,tblShipment[Market],$B587)=0,"Market does not match shipment",IF(AND(IFERROR(INDEX(tblMoveTypes[Item?],MATCH($E587,tblMoveTypes[Movement],0)),"?")="Yes",$D587=""),"Item needed",IF(AND(IFERROR(INDEX(tblMoveTypes[Item?],MATCH($E587,tblMoveTypes[Movement],0)),"?")="No",$D587&lt;&gt;""),"Leave Item blank",IF(AND(IFERROR(INDEX(tblMoveTypes[Courier?],MATCH($E587,tblMoveTypes[Movement],0)),"?")="Yes",$H587=""),"Courier needed",IF(AND(IFERROR(INDEX(tblMoveTypes[Courier?],MATCH($E587,tblMoveTypes[Movement],0)),"?")="No",$H587&lt;&gt;""),"Leave Courier blank",IF(AND(IFERROR(INDEX(tblMoveTypes[Orders?],MATCH($E587,tblMoveTypes[Movement],0)),"?")="Yes",$G587=""),"Orders needed",IF(AND(IFERROR(INDEX(tblMoveTypes[Orders?],MATCH($E587,tblMoveTypes[Movement],0)),"?")="No",$G587&lt;&gt;""),"Leave Orders blank",IF(AND(IFERROR(INDEX(tblMoveTypes[Reason?],MATCH($E587,tblMoveTypes[Movement],0)),"?")="Yes",$I587=""),"Reason needed",IF(AND(IFERROR(INDEX(tblMoveTypes[Qty?],MATCH($E587,tblMoveTypes[Movement],0)),"?")="Yes",N($F587)&lt;=0),"Qty needed",IF($A587&lt;_xlfn.MINIFS(tblShipment[Arrival Date],tblShipment[Shipment ID],$C587),"Date before arrival",IF(AND($D587&lt;&gt;"",COUNTIFS(tblShipment[Shipment ID],$C587,tblShipment[Item Code],$D587)=0),"Item not in this shipment",IF(AND($H587&lt;&gt;"",COUNTIFS(tblCouriers[Courier],$H587,tblCouriers[Market],$B587)=0),"Courier not in this market","OK")))))))))))))))</f>
        <v>OK</v>
      </c>
    </row>
    <row r="588" customFormat="false" ht="15" hidden="false" customHeight="false" outlineLevel="0" collapsed="false">
      <c r="A588" s="27" t="n">
        <v>46240</v>
      </c>
      <c r="B588" s="26" t="s">
        <v>85</v>
      </c>
      <c r="C588" s="26" t="s">
        <v>143</v>
      </c>
      <c r="D588" s="26"/>
      <c r="E588" s="26" t="s">
        <v>104</v>
      </c>
      <c r="F588" s="28"/>
      <c r="G588" s="28" t="n">
        <v>1</v>
      </c>
      <c r="H588" s="26" t="s">
        <v>91</v>
      </c>
      <c r="I588" s="26"/>
      <c r="J588" s="26"/>
      <c r="K588" s="29" t="str">
        <f aca="false">IF($A588="","",IF(COUNTIFS(tblMoveTypes[Movement],$E588)=0,"Unknown movement type",IF(COUNTIF(tblShipment[Shipment ID],$C588)=0,"Unknown shipment",IF(COUNTIFS(tblShipment[Shipment ID],$C588,tblShipment[Market],$B588)=0,"Market does not match shipment",IF(AND(IFERROR(INDEX(tblMoveTypes[Item?],MATCH($E588,tblMoveTypes[Movement],0)),"?")="Yes",$D588=""),"Item needed",IF(AND(IFERROR(INDEX(tblMoveTypes[Item?],MATCH($E588,tblMoveTypes[Movement],0)),"?")="No",$D588&lt;&gt;""),"Leave Item blank",IF(AND(IFERROR(INDEX(tblMoveTypes[Courier?],MATCH($E588,tblMoveTypes[Movement],0)),"?")="Yes",$H588=""),"Courier needed",IF(AND(IFERROR(INDEX(tblMoveTypes[Courier?],MATCH($E588,tblMoveTypes[Movement],0)),"?")="No",$H588&lt;&gt;""),"Leave Courier blank",IF(AND(IFERROR(INDEX(tblMoveTypes[Orders?],MATCH($E588,tblMoveTypes[Movement],0)),"?")="Yes",$G588=""),"Orders needed",IF(AND(IFERROR(INDEX(tblMoveTypes[Orders?],MATCH($E588,tblMoveTypes[Movement],0)),"?")="No",$G588&lt;&gt;""),"Leave Orders blank",IF(AND(IFERROR(INDEX(tblMoveTypes[Reason?],MATCH($E588,tblMoveTypes[Movement],0)),"?")="Yes",$I588=""),"Reason needed",IF(AND(IFERROR(INDEX(tblMoveTypes[Qty?],MATCH($E588,tblMoveTypes[Movement],0)),"?")="Yes",N($F588)&lt;=0),"Qty needed",IF($A588&lt;_xlfn.MINIFS(tblShipment[Arrival Date],tblShipment[Shipment ID],$C588),"Date before arrival",IF(AND($D588&lt;&gt;"",COUNTIFS(tblShipment[Shipment ID],$C588,tblShipment[Item Code],$D588)=0),"Item not in this shipment",IF(AND($H588&lt;&gt;"",COUNTIFS(tblCouriers[Courier],$H588,tblCouriers[Market],$B588)=0),"Courier not in this market","OK")))))))))))))))</f>
        <v>OK</v>
      </c>
    </row>
    <row r="589" customFormat="false" ht="15" hidden="false" customHeight="false" outlineLevel="0" collapsed="false">
      <c r="A589" s="27" t="n">
        <v>46240</v>
      </c>
      <c r="B589" s="26" t="s">
        <v>85</v>
      </c>
      <c r="C589" s="26" t="s">
        <v>144</v>
      </c>
      <c r="D589" s="26" t="s">
        <v>99</v>
      </c>
      <c r="E589" s="26" t="s">
        <v>81</v>
      </c>
      <c r="F589" s="28" t="n">
        <v>3</v>
      </c>
      <c r="G589" s="28"/>
      <c r="H589" s="26"/>
      <c r="I589" s="26"/>
      <c r="J589" s="26" t="s">
        <v>162</v>
      </c>
      <c r="K589" s="29" t="str">
        <f aca="false">IF($A589="","",IF(COUNTIFS(tblMoveTypes[Movement],$E589)=0,"Unknown movement type",IF(COUNTIF(tblShipment[Shipment ID],$C589)=0,"Unknown shipment",IF(COUNTIFS(tblShipment[Shipment ID],$C589,tblShipment[Market],$B589)=0,"Market does not match shipment",IF(AND(IFERROR(INDEX(tblMoveTypes[Item?],MATCH($E589,tblMoveTypes[Movement],0)),"?")="Yes",$D589=""),"Item needed",IF(AND(IFERROR(INDEX(tblMoveTypes[Item?],MATCH($E589,tblMoveTypes[Movement],0)),"?")="No",$D589&lt;&gt;""),"Leave Item blank",IF(AND(IFERROR(INDEX(tblMoveTypes[Courier?],MATCH($E589,tblMoveTypes[Movement],0)),"?")="Yes",$H589=""),"Courier needed",IF(AND(IFERROR(INDEX(tblMoveTypes[Courier?],MATCH($E589,tblMoveTypes[Movement],0)),"?")="No",$H589&lt;&gt;""),"Leave Courier blank",IF(AND(IFERROR(INDEX(tblMoveTypes[Orders?],MATCH($E589,tblMoveTypes[Movement],0)),"?")="Yes",$G589=""),"Orders needed",IF(AND(IFERROR(INDEX(tblMoveTypes[Orders?],MATCH($E589,tblMoveTypes[Movement],0)),"?")="No",$G589&lt;&gt;""),"Leave Orders blank",IF(AND(IFERROR(INDEX(tblMoveTypes[Reason?],MATCH($E589,tblMoveTypes[Movement],0)),"?")="Yes",$I589=""),"Reason needed",IF(AND(IFERROR(INDEX(tblMoveTypes[Qty?],MATCH($E589,tblMoveTypes[Movement],0)),"?")="Yes",N($F589)&lt;=0),"Qty needed",IF($A589&lt;_xlfn.MINIFS(tblShipment[Arrival Date],tblShipment[Shipment ID],$C589),"Date before arrival",IF(AND($D589&lt;&gt;"",COUNTIFS(tblShipment[Shipment ID],$C589,tblShipment[Item Code],$D589)=0),"Item not in this shipment",IF(AND($H589&lt;&gt;"",COUNTIFS(tblCouriers[Courier],$H589,tblCouriers[Market],$B589)=0),"Courier not in this market","OK")))))))))))))))</f>
        <v>OK</v>
      </c>
    </row>
    <row r="590" customFormat="false" ht="15" hidden="false" customHeight="false" outlineLevel="0" collapsed="false">
      <c r="A590" s="27" t="n">
        <v>46240</v>
      </c>
      <c r="B590" s="26" t="s">
        <v>85</v>
      </c>
      <c r="C590" s="26" t="s">
        <v>144</v>
      </c>
      <c r="D590" s="26" t="s">
        <v>99</v>
      </c>
      <c r="E590" s="26" t="s">
        <v>74</v>
      </c>
      <c r="F590" s="28" t="n">
        <v>47</v>
      </c>
      <c r="G590" s="28"/>
      <c r="H590" s="26"/>
      <c r="I590" s="26"/>
      <c r="J590" s="26"/>
      <c r="K590" s="29" t="str">
        <f aca="false">IF($A590="","",IF(COUNTIFS(tblMoveTypes[Movement],$E590)=0,"Unknown movement type",IF(COUNTIF(tblShipment[Shipment ID],$C590)=0,"Unknown shipment",IF(COUNTIFS(tblShipment[Shipment ID],$C590,tblShipment[Market],$B590)=0,"Market does not match shipment",IF(AND(IFERROR(INDEX(tblMoveTypes[Item?],MATCH($E590,tblMoveTypes[Movement],0)),"?")="Yes",$D590=""),"Item needed",IF(AND(IFERROR(INDEX(tblMoveTypes[Item?],MATCH($E590,tblMoveTypes[Movement],0)),"?")="No",$D590&lt;&gt;""),"Leave Item blank",IF(AND(IFERROR(INDEX(tblMoveTypes[Courier?],MATCH($E590,tblMoveTypes[Movement],0)),"?")="Yes",$H590=""),"Courier needed",IF(AND(IFERROR(INDEX(tblMoveTypes[Courier?],MATCH($E590,tblMoveTypes[Movement],0)),"?")="No",$H590&lt;&gt;""),"Leave Courier blank",IF(AND(IFERROR(INDEX(tblMoveTypes[Orders?],MATCH($E590,tblMoveTypes[Movement],0)),"?")="Yes",$G590=""),"Orders needed",IF(AND(IFERROR(INDEX(tblMoveTypes[Orders?],MATCH($E590,tblMoveTypes[Movement],0)),"?")="No",$G590&lt;&gt;""),"Leave Orders blank",IF(AND(IFERROR(INDEX(tblMoveTypes[Reason?],MATCH($E590,tblMoveTypes[Movement],0)),"?")="Yes",$I590=""),"Reason needed",IF(AND(IFERROR(INDEX(tblMoveTypes[Qty?],MATCH($E590,tblMoveTypes[Movement],0)),"?")="Yes",N($F590)&lt;=0),"Qty needed",IF($A590&lt;_xlfn.MINIFS(tblShipment[Arrival Date],tblShipment[Shipment ID],$C590),"Date before arrival",IF(AND($D590&lt;&gt;"",COUNTIFS(tblShipment[Shipment ID],$C590,tblShipment[Item Code],$D590)=0),"Item not in this shipment",IF(AND($H590&lt;&gt;"",COUNTIFS(tblCouriers[Courier],$H590,tblCouriers[Market],$B590)=0),"Courier not in this market","OK")))))))))))))))</f>
        <v>OK</v>
      </c>
    </row>
    <row r="591" customFormat="false" ht="15" hidden="false" customHeight="false" outlineLevel="0" collapsed="false">
      <c r="A591" s="27" t="n">
        <v>46240</v>
      </c>
      <c r="B591" s="26" t="s">
        <v>85</v>
      </c>
      <c r="C591" s="26" t="s">
        <v>144</v>
      </c>
      <c r="D591" s="26" t="s">
        <v>76</v>
      </c>
      <c r="E591" s="26" t="s">
        <v>74</v>
      </c>
      <c r="F591" s="28" t="n">
        <v>100</v>
      </c>
      <c r="G591" s="28"/>
      <c r="H591" s="26"/>
      <c r="I591" s="26"/>
      <c r="J591" s="26"/>
      <c r="K591" s="29" t="str">
        <f aca="false">IF($A591="","",IF(COUNTIFS(tblMoveTypes[Movement],$E591)=0,"Unknown movement type",IF(COUNTIF(tblShipment[Shipment ID],$C591)=0,"Unknown shipment",IF(COUNTIFS(tblShipment[Shipment ID],$C591,tblShipment[Market],$B591)=0,"Market does not match shipment",IF(AND(IFERROR(INDEX(tblMoveTypes[Item?],MATCH($E591,tblMoveTypes[Movement],0)),"?")="Yes",$D591=""),"Item needed",IF(AND(IFERROR(INDEX(tblMoveTypes[Item?],MATCH($E591,tblMoveTypes[Movement],0)),"?")="No",$D591&lt;&gt;""),"Leave Item blank",IF(AND(IFERROR(INDEX(tblMoveTypes[Courier?],MATCH($E591,tblMoveTypes[Movement],0)),"?")="Yes",$H591=""),"Courier needed",IF(AND(IFERROR(INDEX(tblMoveTypes[Courier?],MATCH($E591,tblMoveTypes[Movement],0)),"?")="No",$H591&lt;&gt;""),"Leave Courier blank",IF(AND(IFERROR(INDEX(tblMoveTypes[Orders?],MATCH($E591,tblMoveTypes[Movement],0)),"?")="Yes",$G591=""),"Orders needed",IF(AND(IFERROR(INDEX(tblMoveTypes[Orders?],MATCH($E591,tblMoveTypes[Movement],0)),"?")="No",$G591&lt;&gt;""),"Leave Orders blank",IF(AND(IFERROR(INDEX(tblMoveTypes[Reason?],MATCH($E591,tblMoveTypes[Movement],0)),"?")="Yes",$I591=""),"Reason needed",IF(AND(IFERROR(INDEX(tblMoveTypes[Qty?],MATCH($E591,tblMoveTypes[Movement],0)),"?")="Yes",N($F591)&lt;=0),"Qty needed",IF($A591&lt;_xlfn.MINIFS(tblShipment[Arrival Date],tblShipment[Shipment ID],$C591),"Date before arrival",IF(AND($D591&lt;&gt;"",COUNTIFS(tblShipment[Shipment ID],$C591,tblShipment[Item Code],$D591)=0),"Item not in this shipment",IF(AND($H591&lt;&gt;"",COUNTIFS(tblCouriers[Courier],$H591,tblCouriers[Market],$B591)=0),"Courier not in this market","OK")))))))))))))))</f>
        <v>OK</v>
      </c>
    </row>
    <row r="592" customFormat="false" ht="15" hidden="false" customHeight="false" outlineLevel="0" collapsed="false">
      <c r="A592" s="27" t="n">
        <v>46240</v>
      </c>
      <c r="B592" s="26" t="s">
        <v>85</v>
      </c>
      <c r="C592" s="26" t="s">
        <v>144</v>
      </c>
      <c r="D592" s="26" t="s">
        <v>88</v>
      </c>
      <c r="E592" s="26" t="s">
        <v>74</v>
      </c>
      <c r="F592" s="28" t="n">
        <v>50</v>
      </c>
      <c r="G592" s="28"/>
      <c r="H592" s="26"/>
      <c r="I592" s="26"/>
      <c r="J592" s="26"/>
      <c r="K592" s="29" t="str">
        <f aca="false">IF($A592="","",IF(COUNTIFS(tblMoveTypes[Movement],$E592)=0,"Unknown movement type",IF(COUNTIF(tblShipment[Shipment ID],$C592)=0,"Unknown shipment",IF(COUNTIFS(tblShipment[Shipment ID],$C592,tblShipment[Market],$B592)=0,"Market does not match shipment",IF(AND(IFERROR(INDEX(tblMoveTypes[Item?],MATCH($E592,tblMoveTypes[Movement],0)),"?")="Yes",$D592=""),"Item needed",IF(AND(IFERROR(INDEX(tblMoveTypes[Item?],MATCH($E592,tblMoveTypes[Movement],0)),"?")="No",$D592&lt;&gt;""),"Leave Item blank",IF(AND(IFERROR(INDEX(tblMoveTypes[Courier?],MATCH($E592,tblMoveTypes[Movement],0)),"?")="Yes",$H592=""),"Courier needed",IF(AND(IFERROR(INDEX(tblMoveTypes[Courier?],MATCH($E592,tblMoveTypes[Movement],0)),"?")="No",$H592&lt;&gt;""),"Leave Courier blank",IF(AND(IFERROR(INDEX(tblMoveTypes[Orders?],MATCH($E592,tblMoveTypes[Movement],0)),"?")="Yes",$G592=""),"Orders needed",IF(AND(IFERROR(INDEX(tblMoveTypes[Orders?],MATCH($E592,tblMoveTypes[Movement],0)),"?")="No",$G592&lt;&gt;""),"Leave Orders blank",IF(AND(IFERROR(INDEX(tblMoveTypes[Reason?],MATCH($E592,tblMoveTypes[Movement],0)),"?")="Yes",$I592=""),"Reason needed",IF(AND(IFERROR(INDEX(tblMoveTypes[Qty?],MATCH($E592,tblMoveTypes[Movement],0)),"?")="Yes",N($F592)&lt;=0),"Qty needed",IF($A592&lt;_xlfn.MINIFS(tblShipment[Arrival Date],tblShipment[Shipment ID],$C592),"Date before arrival",IF(AND($D592&lt;&gt;"",COUNTIFS(tblShipment[Shipment ID],$C592,tblShipment[Item Code],$D592)=0),"Item not in this shipment",IF(AND($H592&lt;&gt;"",COUNTIFS(tblCouriers[Courier],$H592,tblCouriers[Market],$B592)=0),"Courier not in this market","OK")))))))))))))))</f>
        <v>OK</v>
      </c>
    </row>
    <row r="593" customFormat="false" ht="15" hidden="false" customHeight="false" outlineLevel="0" collapsed="false">
      <c r="A593" s="27" t="n">
        <v>46240</v>
      </c>
      <c r="B593" s="26" t="s">
        <v>85</v>
      </c>
      <c r="C593" s="26" t="s">
        <v>144</v>
      </c>
      <c r="D593" s="26" t="s">
        <v>83</v>
      </c>
      <c r="E593" s="26" t="s">
        <v>74</v>
      </c>
      <c r="F593" s="28" t="n">
        <v>40</v>
      </c>
      <c r="G593" s="28"/>
      <c r="H593" s="26"/>
      <c r="I593" s="26"/>
      <c r="J593" s="26"/>
      <c r="K593" s="29" t="str">
        <f aca="false">IF($A593="","",IF(COUNTIFS(tblMoveTypes[Movement],$E593)=0,"Unknown movement type",IF(COUNTIF(tblShipment[Shipment ID],$C593)=0,"Unknown shipment",IF(COUNTIFS(tblShipment[Shipment ID],$C593,tblShipment[Market],$B593)=0,"Market does not match shipment",IF(AND(IFERROR(INDEX(tblMoveTypes[Item?],MATCH($E593,tblMoveTypes[Movement],0)),"?")="Yes",$D593=""),"Item needed",IF(AND(IFERROR(INDEX(tblMoveTypes[Item?],MATCH($E593,tblMoveTypes[Movement],0)),"?")="No",$D593&lt;&gt;""),"Leave Item blank",IF(AND(IFERROR(INDEX(tblMoveTypes[Courier?],MATCH($E593,tblMoveTypes[Movement],0)),"?")="Yes",$H593=""),"Courier needed",IF(AND(IFERROR(INDEX(tblMoveTypes[Courier?],MATCH($E593,tblMoveTypes[Movement],0)),"?")="No",$H593&lt;&gt;""),"Leave Courier blank",IF(AND(IFERROR(INDEX(tblMoveTypes[Orders?],MATCH($E593,tblMoveTypes[Movement],0)),"?")="Yes",$G593=""),"Orders needed",IF(AND(IFERROR(INDEX(tblMoveTypes[Orders?],MATCH($E593,tblMoveTypes[Movement],0)),"?")="No",$G593&lt;&gt;""),"Leave Orders blank",IF(AND(IFERROR(INDEX(tblMoveTypes[Reason?],MATCH($E593,tblMoveTypes[Movement],0)),"?")="Yes",$I593=""),"Reason needed",IF(AND(IFERROR(INDEX(tblMoveTypes[Qty?],MATCH($E593,tblMoveTypes[Movement],0)),"?")="Yes",N($F593)&lt;=0),"Qty needed",IF($A593&lt;_xlfn.MINIFS(tblShipment[Arrival Date],tblShipment[Shipment ID],$C593),"Date before arrival",IF(AND($D593&lt;&gt;"",COUNTIFS(tblShipment[Shipment ID],$C593,tblShipment[Item Code],$D593)=0),"Item not in this shipment",IF(AND($H593&lt;&gt;"",COUNTIFS(tblCouriers[Courier],$H593,tblCouriers[Market],$B593)=0),"Courier not in this market","OK")))))))))))))))</f>
        <v>OK</v>
      </c>
    </row>
    <row r="594" customFormat="false" ht="15" hidden="false" customHeight="false" outlineLevel="0" collapsed="false">
      <c r="A594" s="27" t="n">
        <v>46240</v>
      </c>
      <c r="B594" s="26" t="s">
        <v>85</v>
      </c>
      <c r="C594" s="26" t="s">
        <v>144</v>
      </c>
      <c r="D594" s="26"/>
      <c r="E594" s="26" t="s">
        <v>98</v>
      </c>
      <c r="F594" s="28"/>
      <c r="G594" s="28" t="n">
        <v>34</v>
      </c>
      <c r="H594" s="26"/>
      <c r="I594" s="26"/>
      <c r="J594" s="26"/>
      <c r="K594" s="29" t="str">
        <f aca="false">IF($A594="","",IF(COUNTIFS(tblMoveTypes[Movement],$E594)=0,"Unknown movement type",IF(COUNTIF(tblShipment[Shipment ID],$C594)=0,"Unknown shipment",IF(COUNTIFS(tblShipment[Shipment ID],$C594,tblShipment[Market],$B594)=0,"Market does not match shipment",IF(AND(IFERROR(INDEX(tblMoveTypes[Item?],MATCH($E594,tblMoveTypes[Movement],0)),"?")="Yes",$D594=""),"Item needed",IF(AND(IFERROR(INDEX(tblMoveTypes[Item?],MATCH($E594,tblMoveTypes[Movement],0)),"?")="No",$D594&lt;&gt;""),"Leave Item blank",IF(AND(IFERROR(INDEX(tblMoveTypes[Courier?],MATCH($E594,tblMoveTypes[Movement],0)),"?")="Yes",$H594=""),"Courier needed",IF(AND(IFERROR(INDEX(tblMoveTypes[Courier?],MATCH($E594,tblMoveTypes[Movement],0)),"?")="No",$H594&lt;&gt;""),"Leave Courier blank",IF(AND(IFERROR(INDEX(tblMoveTypes[Orders?],MATCH($E594,tblMoveTypes[Movement],0)),"?")="Yes",$G594=""),"Orders needed",IF(AND(IFERROR(INDEX(tblMoveTypes[Orders?],MATCH($E594,tblMoveTypes[Movement],0)),"?")="No",$G594&lt;&gt;""),"Leave Orders blank",IF(AND(IFERROR(INDEX(tblMoveTypes[Reason?],MATCH($E594,tblMoveTypes[Movement],0)),"?")="Yes",$I594=""),"Reason needed",IF(AND(IFERROR(INDEX(tblMoveTypes[Qty?],MATCH($E594,tblMoveTypes[Movement],0)),"?")="Yes",N($F594)&lt;=0),"Qty needed",IF($A594&lt;_xlfn.MINIFS(tblShipment[Arrival Date],tblShipment[Shipment ID],$C594),"Date before arrival",IF(AND($D594&lt;&gt;"",COUNTIFS(tblShipment[Shipment ID],$C594,tblShipment[Item Code],$D594)=0),"Item not in this shipment",IF(AND($H594&lt;&gt;"",COUNTIFS(tblCouriers[Courier],$H594,tblCouriers[Market],$B594)=0),"Courier not in this market","OK")))))))))))))))</f>
        <v>OK</v>
      </c>
    </row>
    <row r="595" customFormat="false" ht="15" hidden="false" customHeight="false" outlineLevel="0" collapsed="false">
      <c r="A595" s="27" t="n">
        <v>46240</v>
      </c>
      <c r="B595" s="26" t="s">
        <v>85</v>
      </c>
      <c r="C595" s="26" t="s">
        <v>144</v>
      </c>
      <c r="D595" s="26" t="s">
        <v>99</v>
      </c>
      <c r="E595" s="26" t="s">
        <v>73</v>
      </c>
      <c r="F595" s="28" t="n">
        <v>3</v>
      </c>
      <c r="G595" s="28"/>
      <c r="H595" s="26"/>
      <c r="I595" s="26" t="s">
        <v>87</v>
      </c>
      <c r="J595" s="26"/>
      <c r="K595" s="29" t="str">
        <f aca="false">IF($A595="","",IF(COUNTIFS(tblMoveTypes[Movement],$E595)=0,"Unknown movement type",IF(COUNTIF(tblShipment[Shipment ID],$C595)=0,"Unknown shipment",IF(COUNTIFS(tblShipment[Shipment ID],$C595,tblShipment[Market],$B595)=0,"Market does not match shipment",IF(AND(IFERROR(INDEX(tblMoveTypes[Item?],MATCH($E595,tblMoveTypes[Movement],0)),"?")="Yes",$D595=""),"Item needed",IF(AND(IFERROR(INDEX(tblMoveTypes[Item?],MATCH($E595,tblMoveTypes[Movement],0)),"?")="No",$D595&lt;&gt;""),"Leave Item blank",IF(AND(IFERROR(INDEX(tblMoveTypes[Courier?],MATCH($E595,tblMoveTypes[Movement],0)),"?")="Yes",$H595=""),"Courier needed",IF(AND(IFERROR(INDEX(tblMoveTypes[Courier?],MATCH($E595,tblMoveTypes[Movement],0)),"?")="No",$H595&lt;&gt;""),"Leave Courier blank",IF(AND(IFERROR(INDEX(tblMoveTypes[Orders?],MATCH($E595,tblMoveTypes[Movement],0)),"?")="Yes",$G595=""),"Orders needed",IF(AND(IFERROR(INDEX(tblMoveTypes[Orders?],MATCH($E595,tblMoveTypes[Movement],0)),"?")="No",$G595&lt;&gt;""),"Leave Orders blank",IF(AND(IFERROR(INDEX(tblMoveTypes[Reason?],MATCH($E595,tblMoveTypes[Movement],0)),"?")="Yes",$I595=""),"Reason needed",IF(AND(IFERROR(INDEX(tblMoveTypes[Qty?],MATCH($E595,tblMoveTypes[Movement],0)),"?")="Yes",N($F595)&lt;=0),"Qty needed",IF($A595&lt;_xlfn.MINIFS(tblShipment[Arrival Date],tblShipment[Shipment ID],$C595),"Date before arrival",IF(AND($D595&lt;&gt;"",COUNTIFS(tblShipment[Shipment ID],$C595,tblShipment[Item Code],$D595)=0),"Item not in this shipment",IF(AND($H595&lt;&gt;"",COUNTIFS(tblCouriers[Courier],$H595,tblCouriers[Market],$B595)=0),"Courier not in this market","OK")))))))))))))))</f>
        <v>OK</v>
      </c>
    </row>
    <row r="596" customFormat="false" ht="15" hidden="false" customHeight="false" outlineLevel="0" collapsed="false">
      <c r="A596" s="27" t="n">
        <v>46240</v>
      </c>
      <c r="B596" s="26" t="s">
        <v>85</v>
      </c>
      <c r="C596" s="26" t="s">
        <v>144</v>
      </c>
      <c r="D596" s="26" t="s">
        <v>76</v>
      </c>
      <c r="E596" s="26" t="s">
        <v>73</v>
      </c>
      <c r="F596" s="28" t="n">
        <v>2</v>
      </c>
      <c r="G596" s="28"/>
      <c r="H596" s="26"/>
      <c r="I596" s="26" t="s">
        <v>80</v>
      </c>
      <c r="J596" s="26"/>
      <c r="K596" s="29" t="str">
        <f aca="false">IF($A596="","",IF(COUNTIFS(tblMoveTypes[Movement],$E596)=0,"Unknown movement type",IF(COUNTIF(tblShipment[Shipment ID],$C596)=0,"Unknown shipment",IF(COUNTIFS(tblShipment[Shipment ID],$C596,tblShipment[Market],$B596)=0,"Market does not match shipment",IF(AND(IFERROR(INDEX(tblMoveTypes[Item?],MATCH($E596,tblMoveTypes[Movement],0)),"?")="Yes",$D596=""),"Item needed",IF(AND(IFERROR(INDEX(tblMoveTypes[Item?],MATCH($E596,tblMoveTypes[Movement],0)),"?")="No",$D596&lt;&gt;""),"Leave Item blank",IF(AND(IFERROR(INDEX(tblMoveTypes[Courier?],MATCH($E596,tblMoveTypes[Movement],0)),"?")="Yes",$H596=""),"Courier needed",IF(AND(IFERROR(INDEX(tblMoveTypes[Courier?],MATCH($E596,tblMoveTypes[Movement],0)),"?")="No",$H596&lt;&gt;""),"Leave Courier blank",IF(AND(IFERROR(INDEX(tblMoveTypes[Orders?],MATCH($E596,tblMoveTypes[Movement],0)),"?")="Yes",$G596=""),"Orders needed",IF(AND(IFERROR(INDEX(tblMoveTypes[Orders?],MATCH($E596,tblMoveTypes[Movement],0)),"?")="No",$G596&lt;&gt;""),"Leave Orders blank",IF(AND(IFERROR(INDEX(tblMoveTypes[Reason?],MATCH($E596,tblMoveTypes[Movement],0)),"?")="Yes",$I596=""),"Reason needed",IF(AND(IFERROR(INDEX(tblMoveTypes[Qty?],MATCH($E596,tblMoveTypes[Movement],0)),"?")="Yes",N($F596)&lt;=0),"Qty needed",IF($A596&lt;_xlfn.MINIFS(tblShipment[Arrival Date],tblShipment[Shipment ID],$C596),"Date before arrival",IF(AND($D596&lt;&gt;"",COUNTIFS(tblShipment[Shipment ID],$C596,tblShipment[Item Code],$D596)=0),"Item not in this shipment",IF(AND($H596&lt;&gt;"",COUNTIFS(tblCouriers[Courier],$H596,tblCouriers[Market],$B596)=0),"Courier not in this market","OK")))))))))))))))</f>
        <v>OK</v>
      </c>
    </row>
    <row r="597" customFormat="false" ht="15" hidden="false" customHeight="false" outlineLevel="0" collapsed="false">
      <c r="A597" s="27" t="n">
        <v>46240</v>
      </c>
      <c r="B597" s="26" t="s">
        <v>85</v>
      </c>
      <c r="C597" s="26" t="s">
        <v>144</v>
      </c>
      <c r="D597" s="26" t="s">
        <v>88</v>
      </c>
      <c r="E597" s="26" t="s">
        <v>73</v>
      </c>
      <c r="F597" s="28" t="n">
        <v>3</v>
      </c>
      <c r="G597" s="28"/>
      <c r="H597" s="26"/>
      <c r="I597" s="26" t="s">
        <v>72</v>
      </c>
      <c r="J597" s="26"/>
      <c r="K597" s="29" t="str">
        <f aca="false">IF($A597="","",IF(COUNTIFS(tblMoveTypes[Movement],$E597)=0,"Unknown movement type",IF(COUNTIF(tblShipment[Shipment ID],$C597)=0,"Unknown shipment",IF(COUNTIFS(tblShipment[Shipment ID],$C597,tblShipment[Market],$B597)=0,"Market does not match shipment",IF(AND(IFERROR(INDEX(tblMoveTypes[Item?],MATCH($E597,tblMoveTypes[Movement],0)),"?")="Yes",$D597=""),"Item needed",IF(AND(IFERROR(INDEX(tblMoveTypes[Item?],MATCH($E597,tblMoveTypes[Movement],0)),"?")="No",$D597&lt;&gt;""),"Leave Item blank",IF(AND(IFERROR(INDEX(tblMoveTypes[Courier?],MATCH($E597,tblMoveTypes[Movement],0)),"?")="Yes",$H597=""),"Courier needed",IF(AND(IFERROR(INDEX(tblMoveTypes[Courier?],MATCH($E597,tblMoveTypes[Movement],0)),"?")="No",$H597&lt;&gt;""),"Leave Courier blank",IF(AND(IFERROR(INDEX(tblMoveTypes[Orders?],MATCH($E597,tblMoveTypes[Movement],0)),"?")="Yes",$G597=""),"Orders needed",IF(AND(IFERROR(INDEX(tblMoveTypes[Orders?],MATCH($E597,tblMoveTypes[Movement],0)),"?")="No",$G597&lt;&gt;""),"Leave Orders blank",IF(AND(IFERROR(INDEX(tblMoveTypes[Reason?],MATCH($E597,tblMoveTypes[Movement],0)),"?")="Yes",$I597=""),"Reason needed",IF(AND(IFERROR(INDEX(tblMoveTypes[Qty?],MATCH($E597,tblMoveTypes[Movement],0)),"?")="Yes",N($F597)&lt;=0),"Qty needed",IF($A597&lt;_xlfn.MINIFS(tblShipment[Arrival Date],tblShipment[Shipment ID],$C597),"Date before arrival",IF(AND($D597&lt;&gt;"",COUNTIFS(tblShipment[Shipment ID],$C597,tblShipment[Item Code],$D597)=0),"Item not in this shipment",IF(AND($H597&lt;&gt;"",COUNTIFS(tblCouriers[Courier],$H597,tblCouriers[Market],$B597)=0),"Courier not in this market","OK")))))))))))))))</f>
        <v>OK</v>
      </c>
    </row>
    <row r="598" customFormat="false" ht="15" hidden="false" customHeight="false" outlineLevel="0" collapsed="false">
      <c r="A598" s="27" t="n">
        <v>46240</v>
      </c>
      <c r="B598" s="26" t="s">
        <v>85</v>
      </c>
      <c r="C598" s="26" t="s">
        <v>144</v>
      </c>
      <c r="D598" s="26" t="s">
        <v>83</v>
      </c>
      <c r="E598" s="26" t="s">
        <v>73</v>
      </c>
      <c r="F598" s="28" t="n">
        <v>1</v>
      </c>
      <c r="G598" s="28"/>
      <c r="H598" s="26"/>
      <c r="I598" s="26" t="s">
        <v>72</v>
      </c>
      <c r="J598" s="26"/>
      <c r="K598" s="29" t="str">
        <f aca="false">IF($A598="","",IF(COUNTIFS(tblMoveTypes[Movement],$E598)=0,"Unknown movement type",IF(COUNTIF(tblShipment[Shipment ID],$C598)=0,"Unknown shipment",IF(COUNTIFS(tblShipment[Shipment ID],$C598,tblShipment[Market],$B598)=0,"Market does not match shipment",IF(AND(IFERROR(INDEX(tblMoveTypes[Item?],MATCH($E598,tblMoveTypes[Movement],0)),"?")="Yes",$D598=""),"Item needed",IF(AND(IFERROR(INDEX(tblMoveTypes[Item?],MATCH($E598,tblMoveTypes[Movement],0)),"?")="No",$D598&lt;&gt;""),"Leave Item blank",IF(AND(IFERROR(INDEX(tblMoveTypes[Courier?],MATCH($E598,tblMoveTypes[Movement],0)),"?")="Yes",$H598=""),"Courier needed",IF(AND(IFERROR(INDEX(tblMoveTypes[Courier?],MATCH($E598,tblMoveTypes[Movement],0)),"?")="No",$H598&lt;&gt;""),"Leave Courier blank",IF(AND(IFERROR(INDEX(tblMoveTypes[Orders?],MATCH($E598,tblMoveTypes[Movement],0)),"?")="Yes",$G598=""),"Orders needed",IF(AND(IFERROR(INDEX(tblMoveTypes[Orders?],MATCH($E598,tblMoveTypes[Movement],0)),"?")="No",$G598&lt;&gt;""),"Leave Orders blank",IF(AND(IFERROR(INDEX(tblMoveTypes[Reason?],MATCH($E598,tblMoveTypes[Movement],0)),"?")="Yes",$I598=""),"Reason needed",IF(AND(IFERROR(INDEX(tblMoveTypes[Qty?],MATCH($E598,tblMoveTypes[Movement],0)),"?")="Yes",N($F598)&lt;=0),"Qty needed",IF($A598&lt;_xlfn.MINIFS(tblShipment[Arrival Date],tblShipment[Shipment ID],$C598),"Date before arrival",IF(AND($D598&lt;&gt;"",COUNTIFS(tblShipment[Shipment ID],$C598,tblShipment[Item Code],$D598)=0),"Item not in this shipment",IF(AND($H598&lt;&gt;"",COUNTIFS(tblCouriers[Courier],$H598,tblCouriers[Market],$B598)=0),"Courier not in this market","OK")))))))))))))))</f>
        <v>OK</v>
      </c>
    </row>
    <row r="599" customFormat="false" ht="15" hidden="false" customHeight="false" outlineLevel="0" collapsed="false">
      <c r="A599" s="27" t="n">
        <v>46240</v>
      </c>
      <c r="B599" s="26" t="s">
        <v>85</v>
      </c>
      <c r="C599" s="26" t="s">
        <v>144</v>
      </c>
      <c r="D599" s="26" t="s">
        <v>99</v>
      </c>
      <c r="E599" s="26" t="s">
        <v>93</v>
      </c>
      <c r="F599" s="28" t="n">
        <v>26</v>
      </c>
      <c r="G599" s="28"/>
      <c r="H599" s="26" t="s">
        <v>91</v>
      </c>
      <c r="I599" s="26"/>
      <c r="J599" s="26"/>
      <c r="K599" s="29" t="str">
        <f aca="false">IF($A599="","",IF(COUNTIFS(tblMoveTypes[Movement],$E599)=0,"Unknown movement type",IF(COUNTIF(tblShipment[Shipment ID],$C599)=0,"Unknown shipment",IF(COUNTIFS(tblShipment[Shipment ID],$C599,tblShipment[Market],$B599)=0,"Market does not match shipment",IF(AND(IFERROR(INDEX(tblMoveTypes[Item?],MATCH($E599,tblMoveTypes[Movement],0)),"?")="Yes",$D599=""),"Item needed",IF(AND(IFERROR(INDEX(tblMoveTypes[Item?],MATCH($E599,tblMoveTypes[Movement],0)),"?")="No",$D599&lt;&gt;""),"Leave Item blank",IF(AND(IFERROR(INDEX(tblMoveTypes[Courier?],MATCH($E599,tblMoveTypes[Movement],0)),"?")="Yes",$H599=""),"Courier needed",IF(AND(IFERROR(INDEX(tblMoveTypes[Courier?],MATCH($E599,tblMoveTypes[Movement],0)),"?")="No",$H599&lt;&gt;""),"Leave Courier blank",IF(AND(IFERROR(INDEX(tblMoveTypes[Orders?],MATCH($E599,tblMoveTypes[Movement],0)),"?")="Yes",$G599=""),"Orders needed",IF(AND(IFERROR(INDEX(tblMoveTypes[Orders?],MATCH($E599,tblMoveTypes[Movement],0)),"?")="No",$G599&lt;&gt;""),"Leave Orders blank",IF(AND(IFERROR(INDEX(tblMoveTypes[Reason?],MATCH($E599,tblMoveTypes[Movement],0)),"?")="Yes",$I599=""),"Reason needed",IF(AND(IFERROR(INDEX(tblMoveTypes[Qty?],MATCH($E599,tblMoveTypes[Movement],0)),"?")="Yes",N($F599)&lt;=0),"Qty needed",IF($A599&lt;_xlfn.MINIFS(tblShipment[Arrival Date],tblShipment[Shipment ID],$C599),"Date before arrival",IF(AND($D599&lt;&gt;"",COUNTIFS(tblShipment[Shipment ID],$C599,tblShipment[Item Code],$D599)=0),"Item not in this shipment",IF(AND($H599&lt;&gt;"",COUNTIFS(tblCouriers[Courier],$H599,tblCouriers[Market],$B599)=0),"Courier not in this market","OK")))))))))))))))</f>
        <v>OK</v>
      </c>
    </row>
    <row r="600" customFormat="false" ht="15" hidden="false" customHeight="false" outlineLevel="0" collapsed="false">
      <c r="A600" s="27" t="n">
        <v>46240</v>
      </c>
      <c r="B600" s="26" t="s">
        <v>85</v>
      </c>
      <c r="C600" s="26" t="s">
        <v>144</v>
      </c>
      <c r="D600" s="26" t="s">
        <v>99</v>
      </c>
      <c r="E600" s="26" t="s">
        <v>93</v>
      </c>
      <c r="F600" s="28" t="n">
        <v>18</v>
      </c>
      <c r="G600" s="28"/>
      <c r="H600" s="26" t="s">
        <v>96</v>
      </c>
      <c r="I600" s="26"/>
      <c r="J600" s="26"/>
      <c r="K600" s="29" t="str">
        <f aca="false">IF($A600="","",IF(COUNTIFS(tblMoveTypes[Movement],$E600)=0,"Unknown movement type",IF(COUNTIF(tblShipment[Shipment ID],$C600)=0,"Unknown shipment",IF(COUNTIFS(tblShipment[Shipment ID],$C600,tblShipment[Market],$B600)=0,"Market does not match shipment",IF(AND(IFERROR(INDEX(tblMoveTypes[Item?],MATCH($E600,tblMoveTypes[Movement],0)),"?")="Yes",$D600=""),"Item needed",IF(AND(IFERROR(INDEX(tblMoveTypes[Item?],MATCH($E600,tblMoveTypes[Movement],0)),"?")="No",$D600&lt;&gt;""),"Leave Item blank",IF(AND(IFERROR(INDEX(tblMoveTypes[Courier?],MATCH($E600,tblMoveTypes[Movement],0)),"?")="Yes",$H600=""),"Courier needed",IF(AND(IFERROR(INDEX(tblMoveTypes[Courier?],MATCH($E600,tblMoveTypes[Movement],0)),"?")="No",$H600&lt;&gt;""),"Leave Courier blank",IF(AND(IFERROR(INDEX(tblMoveTypes[Orders?],MATCH($E600,tblMoveTypes[Movement],0)),"?")="Yes",$G600=""),"Orders needed",IF(AND(IFERROR(INDEX(tblMoveTypes[Orders?],MATCH($E600,tblMoveTypes[Movement],0)),"?")="No",$G600&lt;&gt;""),"Leave Orders blank",IF(AND(IFERROR(INDEX(tblMoveTypes[Reason?],MATCH($E600,tblMoveTypes[Movement],0)),"?")="Yes",$I600=""),"Reason needed",IF(AND(IFERROR(INDEX(tblMoveTypes[Qty?],MATCH($E600,tblMoveTypes[Movement],0)),"?")="Yes",N($F600)&lt;=0),"Qty needed",IF($A600&lt;_xlfn.MINIFS(tblShipment[Arrival Date],tblShipment[Shipment ID],$C600),"Date before arrival",IF(AND($D600&lt;&gt;"",COUNTIFS(tblShipment[Shipment ID],$C600,tblShipment[Item Code],$D600)=0),"Item not in this shipment",IF(AND($H600&lt;&gt;"",COUNTIFS(tblCouriers[Courier],$H600,tblCouriers[Market],$B600)=0),"Courier not in this market","OK")))))))))))))))</f>
        <v>OK</v>
      </c>
    </row>
    <row r="601" customFormat="false" ht="15" hidden="false" customHeight="false" outlineLevel="0" collapsed="false">
      <c r="A601" s="27" t="n">
        <v>46240</v>
      </c>
      <c r="B601" s="26" t="s">
        <v>85</v>
      </c>
      <c r="C601" s="26" t="s">
        <v>144</v>
      </c>
      <c r="D601" s="26" t="s">
        <v>76</v>
      </c>
      <c r="E601" s="26" t="s">
        <v>93</v>
      </c>
      <c r="F601" s="28" t="n">
        <v>59</v>
      </c>
      <c r="G601" s="28"/>
      <c r="H601" s="26" t="s">
        <v>91</v>
      </c>
      <c r="I601" s="26"/>
      <c r="J601" s="26"/>
      <c r="K601" s="29" t="str">
        <f aca="false">IF($A601="","",IF(COUNTIFS(tblMoveTypes[Movement],$E601)=0,"Unknown movement type",IF(COUNTIF(tblShipment[Shipment ID],$C601)=0,"Unknown shipment",IF(COUNTIFS(tblShipment[Shipment ID],$C601,tblShipment[Market],$B601)=0,"Market does not match shipment",IF(AND(IFERROR(INDEX(tblMoveTypes[Item?],MATCH($E601,tblMoveTypes[Movement],0)),"?")="Yes",$D601=""),"Item needed",IF(AND(IFERROR(INDEX(tblMoveTypes[Item?],MATCH($E601,tblMoveTypes[Movement],0)),"?")="No",$D601&lt;&gt;""),"Leave Item blank",IF(AND(IFERROR(INDEX(tblMoveTypes[Courier?],MATCH($E601,tblMoveTypes[Movement],0)),"?")="Yes",$H601=""),"Courier needed",IF(AND(IFERROR(INDEX(tblMoveTypes[Courier?],MATCH($E601,tblMoveTypes[Movement],0)),"?")="No",$H601&lt;&gt;""),"Leave Courier blank",IF(AND(IFERROR(INDEX(tblMoveTypes[Orders?],MATCH($E601,tblMoveTypes[Movement],0)),"?")="Yes",$G601=""),"Orders needed",IF(AND(IFERROR(INDEX(tblMoveTypes[Orders?],MATCH($E601,tblMoveTypes[Movement],0)),"?")="No",$G601&lt;&gt;""),"Leave Orders blank",IF(AND(IFERROR(INDEX(tblMoveTypes[Reason?],MATCH($E601,tblMoveTypes[Movement],0)),"?")="Yes",$I601=""),"Reason needed",IF(AND(IFERROR(INDEX(tblMoveTypes[Qty?],MATCH($E601,tblMoveTypes[Movement],0)),"?")="Yes",N($F601)&lt;=0),"Qty needed",IF($A601&lt;_xlfn.MINIFS(tblShipment[Arrival Date],tblShipment[Shipment ID],$C601),"Date before arrival",IF(AND($D601&lt;&gt;"",COUNTIFS(tblShipment[Shipment ID],$C601,tblShipment[Item Code],$D601)=0),"Item not in this shipment",IF(AND($H601&lt;&gt;"",COUNTIFS(tblCouriers[Courier],$H601,tblCouriers[Market],$B601)=0),"Courier not in this market","OK")))))))))))))))</f>
        <v>OK</v>
      </c>
    </row>
    <row r="602" customFormat="false" ht="15" hidden="false" customHeight="false" outlineLevel="0" collapsed="false">
      <c r="A602" s="27" t="n">
        <v>46240</v>
      </c>
      <c r="B602" s="26" t="s">
        <v>85</v>
      </c>
      <c r="C602" s="26" t="s">
        <v>144</v>
      </c>
      <c r="D602" s="26" t="s">
        <v>76</v>
      </c>
      <c r="E602" s="26" t="s">
        <v>93</v>
      </c>
      <c r="F602" s="28" t="n">
        <v>39</v>
      </c>
      <c r="G602" s="28"/>
      <c r="H602" s="26" t="s">
        <v>96</v>
      </c>
      <c r="I602" s="26"/>
      <c r="J602" s="26"/>
      <c r="K602" s="29" t="str">
        <f aca="false">IF($A602="","",IF(COUNTIFS(tblMoveTypes[Movement],$E602)=0,"Unknown movement type",IF(COUNTIF(tblShipment[Shipment ID],$C602)=0,"Unknown shipment",IF(COUNTIFS(tblShipment[Shipment ID],$C602,tblShipment[Market],$B602)=0,"Market does not match shipment",IF(AND(IFERROR(INDEX(tblMoveTypes[Item?],MATCH($E602,tblMoveTypes[Movement],0)),"?")="Yes",$D602=""),"Item needed",IF(AND(IFERROR(INDEX(tblMoveTypes[Item?],MATCH($E602,tblMoveTypes[Movement],0)),"?")="No",$D602&lt;&gt;""),"Leave Item blank",IF(AND(IFERROR(INDEX(tblMoveTypes[Courier?],MATCH($E602,tblMoveTypes[Movement],0)),"?")="Yes",$H602=""),"Courier needed",IF(AND(IFERROR(INDEX(tblMoveTypes[Courier?],MATCH($E602,tblMoveTypes[Movement],0)),"?")="No",$H602&lt;&gt;""),"Leave Courier blank",IF(AND(IFERROR(INDEX(tblMoveTypes[Orders?],MATCH($E602,tblMoveTypes[Movement],0)),"?")="Yes",$G602=""),"Orders needed",IF(AND(IFERROR(INDEX(tblMoveTypes[Orders?],MATCH($E602,tblMoveTypes[Movement],0)),"?")="No",$G602&lt;&gt;""),"Leave Orders blank",IF(AND(IFERROR(INDEX(tblMoveTypes[Reason?],MATCH($E602,tblMoveTypes[Movement],0)),"?")="Yes",$I602=""),"Reason needed",IF(AND(IFERROR(INDEX(tblMoveTypes[Qty?],MATCH($E602,tblMoveTypes[Movement],0)),"?")="Yes",N($F602)&lt;=0),"Qty needed",IF($A602&lt;_xlfn.MINIFS(tblShipment[Arrival Date],tblShipment[Shipment ID],$C602),"Date before arrival",IF(AND($D602&lt;&gt;"",COUNTIFS(tblShipment[Shipment ID],$C602,tblShipment[Item Code],$D602)=0),"Item not in this shipment",IF(AND($H602&lt;&gt;"",COUNTIFS(tblCouriers[Courier],$H602,tblCouriers[Market],$B602)=0),"Courier not in this market","OK")))))))))))))))</f>
        <v>OK</v>
      </c>
    </row>
    <row r="603" customFormat="false" ht="15" hidden="false" customHeight="false" outlineLevel="0" collapsed="false">
      <c r="A603" s="27" t="n">
        <v>46240</v>
      </c>
      <c r="B603" s="26" t="s">
        <v>85</v>
      </c>
      <c r="C603" s="26" t="s">
        <v>144</v>
      </c>
      <c r="D603" s="26" t="s">
        <v>88</v>
      </c>
      <c r="E603" s="26" t="s">
        <v>93</v>
      </c>
      <c r="F603" s="28" t="n">
        <v>28</v>
      </c>
      <c r="G603" s="28"/>
      <c r="H603" s="26" t="s">
        <v>91</v>
      </c>
      <c r="I603" s="26"/>
      <c r="J603" s="26"/>
      <c r="K603" s="29" t="str">
        <f aca="false">IF($A603="","",IF(COUNTIFS(tblMoveTypes[Movement],$E603)=0,"Unknown movement type",IF(COUNTIF(tblShipment[Shipment ID],$C603)=0,"Unknown shipment",IF(COUNTIFS(tblShipment[Shipment ID],$C603,tblShipment[Market],$B603)=0,"Market does not match shipment",IF(AND(IFERROR(INDEX(tblMoveTypes[Item?],MATCH($E603,tblMoveTypes[Movement],0)),"?")="Yes",$D603=""),"Item needed",IF(AND(IFERROR(INDEX(tblMoveTypes[Item?],MATCH($E603,tblMoveTypes[Movement],0)),"?")="No",$D603&lt;&gt;""),"Leave Item blank",IF(AND(IFERROR(INDEX(tblMoveTypes[Courier?],MATCH($E603,tblMoveTypes[Movement],0)),"?")="Yes",$H603=""),"Courier needed",IF(AND(IFERROR(INDEX(tblMoveTypes[Courier?],MATCH($E603,tblMoveTypes[Movement],0)),"?")="No",$H603&lt;&gt;""),"Leave Courier blank",IF(AND(IFERROR(INDEX(tblMoveTypes[Orders?],MATCH($E603,tblMoveTypes[Movement],0)),"?")="Yes",$G603=""),"Orders needed",IF(AND(IFERROR(INDEX(tblMoveTypes[Orders?],MATCH($E603,tblMoveTypes[Movement],0)),"?")="No",$G603&lt;&gt;""),"Leave Orders blank",IF(AND(IFERROR(INDEX(tblMoveTypes[Reason?],MATCH($E603,tblMoveTypes[Movement],0)),"?")="Yes",$I603=""),"Reason needed",IF(AND(IFERROR(INDEX(tblMoveTypes[Qty?],MATCH($E603,tblMoveTypes[Movement],0)),"?")="Yes",N($F603)&lt;=0),"Qty needed",IF($A603&lt;_xlfn.MINIFS(tblShipment[Arrival Date],tblShipment[Shipment ID],$C603),"Date before arrival",IF(AND($D603&lt;&gt;"",COUNTIFS(tblShipment[Shipment ID],$C603,tblShipment[Item Code],$D603)=0),"Item not in this shipment",IF(AND($H603&lt;&gt;"",COUNTIFS(tblCouriers[Courier],$H603,tblCouriers[Market],$B603)=0),"Courier not in this market","OK")))))))))))))))</f>
        <v>OK</v>
      </c>
    </row>
    <row r="604" customFormat="false" ht="15" hidden="false" customHeight="false" outlineLevel="0" collapsed="false">
      <c r="A604" s="27" t="n">
        <v>46240</v>
      </c>
      <c r="B604" s="26" t="s">
        <v>85</v>
      </c>
      <c r="C604" s="26" t="s">
        <v>144</v>
      </c>
      <c r="D604" s="26" t="s">
        <v>88</v>
      </c>
      <c r="E604" s="26" t="s">
        <v>93</v>
      </c>
      <c r="F604" s="28" t="n">
        <v>19</v>
      </c>
      <c r="G604" s="28"/>
      <c r="H604" s="26" t="s">
        <v>96</v>
      </c>
      <c r="I604" s="26"/>
      <c r="J604" s="26"/>
      <c r="K604" s="29" t="str">
        <f aca="false">IF($A604="","",IF(COUNTIFS(tblMoveTypes[Movement],$E604)=0,"Unknown movement type",IF(COUNTIF(tblShipment[Shipment ID],$C604)=0,"Unknown shipment",IF(COUNTIFS(tblShipment[Shipment ID],$C604,tblShipment[Market],$B604)=0,"Market does not match shipment",IF(AND(IFERROR(INDEX(tblMoveTypes[Item?],MATCH($E604,tblMoveTypes[Movement],0)),"?")="Yes",$D604=""),"Item needed",IF(AND(IFERROR(INDEX(tblMoveTypes[Item?],MATCH($E604,tblMoveTypes[Movement],0)),"?")="No",$D604&lt;&gt;""),"Leave Item blank",IF(AND(IFERROR(INDEX(tblMoveTypes[Courier?],MATCH($E604,tblMoveTypes[Movement],0)),"?")="Yes",$H604=""),"Courier needed",IF(AND(IFERROR(INDEX(tblMoveTypes[Courier?],MATCH($E604,tblMoveTypes[Movement],0)),"?")="No",$H604&lt;&gt;""),"Leave Courier blank",IF(AND(IFERROR(INDEX(tblMoveTypes[Orders?],MATCH($E604,tblMoveTypes[Movement],0)),"?")="Yes",$G604=""),"Orders needed",IF(AND(IFERROR(INDEX(tblMoveTypes[Orders?],MATCH($E604,tblMoveTypes[Movement],0)),"?")="No",$G604&lt;&gt;""),"Leave Orders blank",IF(AND(IFERROR(INDEX(tblMoveTypes[Reason?],MATCH($E604,tblMoveTypes[Movement],0)),"?")="Yes",$I604=""),"Reason needed",IF(AND(IFERROR(INDEX(tblMoveTypes[Qty?],MATCH($E604,tblMoveTypes[Movement],0)),"?")="Yes",N($F604)&lt;=0),"Qty needed",IF($A604&lt;_xlfn.MINIFS(tblShipment[Arrival Date],tblShipment[Shipment ID],$C604),"Date before arrival",IF(AND($D604&lt;&gt;"",COUNTIFS(tblShipment[Shipment ID],$C604,tblShipment[Item Code],$D604)=0),"Item not in this shipment",IF(AND($H604&lt;&gt;"",COUNTIFS(tblCouriers[Courier],$H604,tblCouriers[Market],$B604)=0),"Courier not in this market","OK")))))))))))))))</f>
        <v>OK</v>
      </c>
    </row>
    <row r="605" customFormat="false" ht="15" hidden="false" customHeight="false" outlineLevel="0" collapsed="false">
      <c r="A605" s="27" t="n">
        <v>46240</v>
      </c>
      <c r="B605" s="26" t="s">
        <v>85</v>
      </c>
      <c r="C605" s="26" t="s">
        <v>144</v>
      </c>
      <c r="D605" s="26" t="s">
        <v>83</v>
      </c>
      <c r="E605" s="26" t="s">
        <v>93</v>
      </c>
      <c r="F605" s="28" t="n">
        <v>23</v>
      </c>
      <c r="G605" s="28"/>
      <c r="H605" s="26" t="s">
        <v>91</v>
      </c>
      <c r="I605" s="26"/>
      <c r="J605" s="26"/>
      <c r="K605" s="29" t="str">
        <f aca="false">IF($A605="","",IF(COUNTIFS(tblMoveTypes[Movement],$E605)=0,"Unknown movement type",IF(COUNTIF(tblShipment[Shipment ID],$C605)=0,"Unknown shipment",IF(COUNTIFS(tblShipment[Shipment ID],$C605,tblShipment[Market],$B605)=0,"Market does not match shipment",IF(AND(IFERROR(INDEX(tblMoveTypes[Item?],MATCH($E605,tblMoveTypes[Movement],0)),"?")="Yes",$D605=""),"Item needed",IF(AND(IFERROR(INDEX(tblMoveTypes[Item?],MATCH($E605,tblMoveTypes[Movement],0)),"?")="No",$D605&lt;&gt;""),"Leave Item blank",IF(AND(IFERROR(INDEX(tblMoveTypes[Courier?],MATCH($E605,tblMoveTypes[Movement],0)),"?")="Yes",$H605=""),"Courier needed",IF(AND(IFERROR(INDEX(tblMoveTypes[Courier?],MATCH($E605,tblMoveTypes[Movement],0)),"?")="No",$H605&lt;&gt;""),"Leave Courier blank",IF(AND(IFERROR(INDEX(tblMoveTypes[Orders?],MATCH($E605,tblMoveTypes[Movement],0)),"?")="Yes",$G605=""),"Orders needed",IF(AND(IFERROR(INDEX(tblMoveTypes[Orders?],MATCH($E605,tblMoveTypes[Movement],0)),"?")="No",$G605&lt;&gt;""),"Leave Orders blank",IF(AND(IFERROR(INDEX(tblMoveTypes[Reason?],MATCH($E605,tblMoveTypes[Movement],0)),"?")="Yes",$I605=""),"Reason needed",IF(AND(IFERROR(INDEX(tblMoveTypes[Qty?],MATCH($E605,tblMoveTypes[Movement],0)),"?")="Yes",N($F605)&lt;=0),"Qty needed",IF($A605&lt;_xlfn.MINIFS(tblShipment[Arrival Date],tblShipment[Shipment ID],$C605),"Date before arrival",IF(AND($D605&lt;&gt;"",COUNTIFS(tblShipment[Shipment ID],$C605,tblShipment[Item Code],$D605)=0),"Item not in this shipment",IF(AND($H605&lt;&gt;"",COUNTIFS(tblCouriers[Courier],$H605,tblCouriers[Market],$B605)=0),"Courier not in this market","OK")))))))))))))))</f>
        <v>OK</v>
      </c>
    </row>
    <row r="606" customFormat="false" ht="15" hidden="false" customHeight="false" outlineLevel="0" collapsed="false">
      <c r="A606" s="27" t="n">
        <v>46240</v>
      </c>
      <c r="B606" s="26" t="s">
        <v>85</v>
      </c>
      <c r="C606" s="26" t="s">
        <v>144</v>
      </c>
      <c r="D606" s="26" t="s">
        <v>83</v>
      </c>
      <c r="E606" s="26" t="s">
        <v>93</v>
      </c>
      <c r="F606" s="28" t="n">
        <v>16</v>
      </c>
      <c r="G606" s="28"/>
      <c r="H606" s="26" t="s">
        <v>96</v>
      </c>
      <c r="I606" s="26"/>
      <c r="J606" s="26"/>
      <c r="K606" s="29" t="str">
        <f aca="false">IF($A606="","",IF(COUNTIFS(tblMoveTypes[Movement],$E606)=0,"Unknown movement type",IF(COUNTIF(tblShipment[Shipment ID],$C606)=0,"Unknown shipment",IF(COUNTIFS(tblShipment[Shipment ID],$C606,tblShipment[Market],$B606)=0,"Market does not match shipment",IF(AND(IFERROR(INDEX(tblMoveTypes[Item?],MATCH($E606,tblMoveTypes[Movement],0)),"?")="Yes",$D606=""),"Item needed",IF(AND(IFERROR(INDEX(tblMoveTypes[Item?],MATCH($E606,tblMoveTypes[Movement],0)),"?")="No",$D606&lt;&gt;""),"Leave Item blank",IF(AND(IFERROR(INDEX(tblMoveTypes[Courier?],MATCH($E606,tblMoveTypes[Movement],0)),"?")="Yes",$H606=""),"Courier needed",IF(AND(IFERROR(INDEX(tblMoveTypes[Courier?],MATCH($E606,tblMoveTypes[Movement],0)),"?")="No",$H606&lt;&gt;""),"Leave Courier blank",IF(AND(IFERROR(INDEX(tblMoveTypes[Orders?],MATCH($E606,tblMoveTypes[Movement],0)),"?")="Yes",$G606=""),"Orders needed",IF(AND(IFERROR(INDEX(tblMoveTypes[Orders?],MATCH($E606,tblMoveTypes[Movement],0)),"?")="No",$G606&lt;&gt;""),"Leave Orders blank",IF(AND(IFERROR(INDEX(tblMoveTypes[Reason?],MATCH($E606,tblMoveTypes[Movement],0)),"?")="Yes",$I606=""),"Reason needed",IF(AND(IFERROR(INDEX(tblMoveTypes[Qty?],MATCH($E606,tblMoveTypes[Movement],0)),"?")="Yes",N($F606)&lt;=0),"Qty needed",IF($A606&lt;_xlfn.MINIFS(tblShipment[Arrival Date],tblShipment[Shipment ID],$C606),"Date before arrival",IF(AND($D606&lt;&gt;"",COUNTIFS(tblShipment[Shipment ID],$C606,tblShipment[Item Code],$D606)=0),"Item not in this shipment",IF(AND($H606&lt;&gt;"",COUNTIFS(tblCouriers[Courier],$H606,tblCouriers[Market],$B606)=0),"Courier not in this market","OK")))))))))))))))</f>
        <v>OK</v>
      </c>
    </row>
    <row r="607" customFormat="false" ht="15" hidden="false" customHeight="false" outlineLevel="0" collapsed="false">
      <c r="A607" s="27" t="n">
        <v>46240</v>
      </c>
      <c r="B607" s="26" t="s">
        <v>85</v>
      </c>
      <c r="C607" s="26" t="s">
        <v>144</v>
      </c>
      <c r="D607" s="26"/>
      <c r="E607" s="26" t="s">
        <v>104</v>
      </c>
      <c r="F607" s="28"/>
      <c r="G607" s="28" t="n">
        <v>20</v>
      </c>
      <c r="H607" s="26" t="s">
        <v>91</v>
      </c>
      <c r="I607" s="26"/>
      <c r="J607" s="26"/>
      <c r="K607" s="29" t="str">
        <f aca="false">IF($A607="","",IF(COUNTIFS(tblMoveTypes[Movement],$E607)=0,"Unknown movement type",IF(COUNTIF(tblShipment[Shipment ID],$C607)=0,"Unknown shipment",IF(COUNTIFS(tblShipment[Shipment ID],$C607,tblShipment[Market],$B607)=0,"Market does not match shipment",IF(AND(IFERROR(INDEX(tblMoveTypes[Item?],MATCH($E607,tblMoveTypes[Movement],0)),"?")="Yes",$D607=""),"Item needed",IF(AND(IFERROR(INDEX(tblMoveTypes[Item?],MATCH($E607,tblMoveTypes[Movement],0)),"?")="No",$D607&lt;&gt;""),"Leave Item blank",IF(AND(IFERROR(INDEX(tblMoveTypes[Courier?],MATCH($E607,tblMoveTypes[Movement],0)),"?")="Yes",$H607=""),"Courier needed",IF(AND(IFERROR(INDEX(tblMoveTypes[Courier?],MATCH($E607,tblMoveTypes[Movement],0)),"?")="No",$H607&lt;&gt;""),"Leave Courier blank",IF(AND(IFERROR(INDEX(tblMoveTypes[Orders?],MATCH($E607,tblMoveTypes[Movement],0)),"?")="Yes",$G607=""),"Orders needed",IF(AND(IFERROR(INDEX(tblMoveTypes[Orders?],MATCH($E607,tblMoveTypes[Movement],0)),"?")="No",$G607&lt;&gt;""),"Leave Orders blank",IF(AND(IFERROR(INDEX(tblMoveTypes[Reason?],MATCH($E607,tblMoveTypes[Movement],0)),"?")="Yes",$I607=""),"Reason needed",IF(AND(IFERROR(INDEX(tblMoveTypes[Qty?],MATCH($E607,tblMoveTypes[Movement],0)),"?")="Yes",N($F607)&lt;=0),"Qty needed",IF($A607&lt;_xlfn.MINIFS(tblShipment[Arrival Date],tblShipment[Shipment ID],$C607),"Date before arrival",IF(AND($D607&lt;&gt;"",COUNTIFS(tblShipment[Shipment ID],$C607,tblShipment[Item Code],$D607)=0),"Item not in this shipment",IF(AND($H607&lt;&gt;"",COUNTIFS(tblCouriers[Courier],$H607,tblCouriers[Market],$B607)=0),"Courier not in this market","OK")))))))))))))))</f>
        <v>OK</v>
      </c>
    </row>
    <row r="608" customFormat="false" ht="15" hidden="false" customHeight="false" outlineLevel="0" collapsed="false">
      <c r="A608" s="27" t="n">
        <v>46240</v>
      </c>
      <c r="B608" s="26" t="s">
        <v>85</v>
      </c>
      <c r="C608" s="26" t="s">
        <v>144</v>
      </c>
      <c r="D608" s="26"/>
      <c r="E608" s="26" t="s">
        <v>104</v>
      </c>
      <c r="F608" s="28"/>
      <c r="G608" s="28" t="n">
        <v>14</v>
      </c>
      <c r="H608" s="26" t="s">
        <v>96</v>
      </c>
      <c r="I608" s="26"/>
      <c r="J608" s="26"/>
      <c r="K608" s="29" t="str">
        <f aca="false">IF($A608="","",IF(COUNTIFS(tblMoveTypes[Movement],$E608)=0,"Unknown movement type",IF(COUNTIF(tblShipment[Shipment ID],$C608)=0,"Unknown shipment",IF(COUNTIFS(tblShipment[Shipment ID],$C608,tblShipment[Market],$B608)=0,"Market does not match shipment",IF(AND(IFERROR(INDEX(tblMoveTypes[Item?],MATCH($E608,tblMoveTypes[Movement],0)),"?")="Yes",$D608=""),"Item needed",IF(AND(IFERROR(INDEX(tblMoveTypes[Item?],MATCH($E608,tblMoveTypes[Movement],0)),"?")="No",$D608&lt;&gt;""),"Leave Item blank",IF(AND(IFERROR(INDEX(tblMoveTypes[Courier?],MATCH($E608,tblMoveTypes[Movement],0)),"?")="Yes",$H608=""),"Courier needed",IF(AND(IFERROR(INDEX(tblMoveTypes[Courier?],MATCH($E608,tblMoveTypes[Movement],0)),"?")="No",$H608&lt;&gt;""),"Leave Courier blank",IF(AND(IFERROR(INDEX(tblMoveTypes[Orders?],MATCH($E608,tblMoveTypes[Movement],0)),"?")="Yes",$G608=""),"Orders needed",IF(AND(IFERROR(INDEX(tblMoveTypes[Orders?],MATCH($E608,tblMoveTypes[Movement],0)),"?")="No",$G608&lt;&gt;""),"Leave Orders blank",IF(AND(IFERROR(INDEX(tblMoveTypes[Reason?],MATCH($E608,tblMoveTypes[Movement],0)),"?")="Yes",$I608=""),"Reason needed",IF(AND(IFERROR(INDEX(tblMoveTypes[Qty?],MATCH($E608,tblMoveTypes[Movement],0)),"?")="Yes",N($F608)&lt;=0),"Qty needed",IF($A608&lt;_xlfn.MINIFS(tblShipment[Arrival Date],tblShipment[Shipment ID],$C608),"Date before arrival",IF(AND($D608&lt;&gt;"",COUNTIFS(tblShipment[Shipment ID],$C608,tblShipment[Item Code],$D608)=0),"Item not in this shipment",IF(AND($H608&lt;&gt;"",COUNTIFS(tblCouriers[Courier],$H608,tblCouriers[Market],$B608)=0),"Courier not in this market","OK")))))))))))))))</f>
        <v>OK</v>
      </c>
    </row>
    <row r="609" customFormat="false" ht="15" hidden="false" customHeight="false" outlineLevel="0" collapsed="false">
      <c r="A609" s="27" t="n">
        <v>46240</v>
      </c>
      <c r="B609" s="26" t="s">
        <v>90</v>
      </c>
      <c r="C609" s="26" t="s">
        <v>150</v>
      </c>
      <c r="D609" s="26"/>
      <c r="E609" s="26" t="s">
        <v>106</v>
      </c>
      <c r="F609" s="28" t="n">
        <v>56</v>
      </c>
      <c r="G609" s="28" t="n">
        <v>8</v>
      </c>
      <c r="H609" s="26" t="s">
        <v>101</v>
      </c>
      <c r="I609" s="26"/>
      <c r="J609" s="26"/>
      <c r="K609" s="29" t="str">
        <f aca="false">IF($A609="","",IF(COUNTIFS(tblMoveTypes[Movement],$E609)=0,"Unknown movement type",IF(COUNTIF(tblShipment[Shipment ID],$C609)=0,"Unknown shipment",IF(COUNTIFS(tblShipment[Shipment ID],$C609,tblShipment[Market],$B609)=0,"Market does not match shipment",IF(AND(IFERROR(INDEX(tblMoveTypes[Item?],MATCH($E609,tblMoveTypes[Movement],0)),"?")="Yes",$D609=""),"Item needed",IF(AND(IFERROR(INDEX(tblMoveTypes[Item?],MATCH($E609,tblMoveTypes[Movement],0)),"?")="No",$D609&lt;&gt;""),"Leave Item blank",IF(AND(IFERROR(INDEX(tblMoveTypes[Courier?],MATCH($E609,tblMoveTypes[Movement],0)),"?")="Yes",$H609=""),"Courier needed",IF(AND(IFERROR(INDEX(tblMoveTypes[Courier?],MATCH($E609,tblMoveTypes[Movement],0)),"?")="No",$H609&lt;&gt;""),"Leave Courier blank",IF(AND(IFERROR(INDEX(tblMoveTypes[Orders?],MATCH($E609,tblMoveTypes[Movement],0)),"?")="Yes",$G609=""),"Orders needed",IF(AND(IFERROR(INDEX(tblMoveTypes[Orders?],MATCH($E609,tblMoveTypes[Movement],0)),"?")="No",$G609&lt;&gt;""),"Leave Orders blank",IF(AND(IFERROR(INDEX(tblMoveTypes[Reason?],MATCH($E609,tblMoveTypes[Movement],0)),"?")="Yes",$I609=""),"Reason needed",IF(AND(IFERROR(INDEX(tblMoveTypes[Qty?],MATCH($E609,tblMoveTypes[Movement],0)),"?")="Yes",N($F609)&lt;=0),"Qty needed",IF($A609&lt;_xlfn.MINIFS(tblShipment[Arrival Date],tblShipment[Shipment ID],$C609),"Date before arrival",IF(AND($D609&lt;&gt;"",COUNTIFS(tblShipment[Shipment ID],$C609,tblShipment[Item Code],$D609)=0),"Item not in this shipment",IF(AND($H609&lt;&gt;"",COUNTIFS(tblCouriers[Courier],$H609,tblCouriers[Market],$B609)=0),"Courier not in this market","OK")))))))))))))))</f>
        <v>OK</v>
      </c>
    </row>
    <row r="610" customFormat="false" ht="15" hidden="false" customHeight="false" outlineLevel="0" collapsed="false">
      <c r="A610" s="27" t="n">
        <v>46240</v>
      </c>
      <c r="B610" s="26" t="s">
        <v>90</v>
      </c>
      <c r="C610" s="26" t="s">
        <v>150</v>
      </c>
      <c r="D610" s="26" t="s">
        <v>94</v>
      </c>
      <c r="E610" s="26" t="s">
        <v>93</v>
      </c>
      <c r="F610" s="28" t="n">
        <v>15</v>
      </c>
      <c r="G610" s="28"/>
      <c r="H610" s="26" t="s">
        <v>101</v>
      </c>
      <c r="I610" s="26"/>
      <c r="J610" s="26"/>
      <c r="K610" s="29" t="str">
        <f aca="false">IF($A610="","",IF(COUNTIFS(tblMoveTypes[Movement],$E610)=0,"Unknown movement type",IF(COUNTIF(tblShipment[Shipment ID],$C610)=0,"Unknown shipment",IF(COUNTIFS(tblShipment[Shipment ID],$C610,tblShipment[Market],$B610)=0,"Market does not match shipment",IF(AND(IFERROR(INDEX(tblMoveTypes[Item?],MATCH($E610,tblMoveTypes[Movement],0)),"?")="Yes",$D610=""),"Item needed",IF(AND(IFERROR(INDEX(tblMoveTypes[Item?],MATCH($E610,tblMoveTypes[Movement],0)),"?")="No",$D610&lt;&gt;""),"Leave Item blank",IF(AND(IFERROR(INDEX(tblMoveTypes[Courier?],MATCH($E610,tblMoveTypes[Movement],0)),"?")="Yes",$H610=""),"Courier needed",IF(AND(IFERROR(INDEX(tblMoveTypes[Courier?],MATCH($E610,tblMoveTypes[Movement],0)),"?")="No",$H610&lt;&gt;""),"Leave Courier blank",IF(AND(IFERROR(INDEX(tblMoveTypes[Orders?],MATCH($E610,tblMoveTypes[Movement],0)),"?")="Yes",$G610=""),"Orders needed",IF(AND(IFERROR(INDEX(tblMoveTypes[Orders?],MATCH($E610,tblMoveTypes[Movement],0)),"?")="No",$G610&lt;&gt;""),"Leave Orders blank",IF(AND(IFERROR(INDEX(tblMoveTypes[Reason?],MATCH($E610,tblMoveTypes[Movement],0)),"?")="Yes",$I610=""),"Reason needed",IF(AND(IFERROR(INDEX(tblMoveTypes[Qty?],MATCH($E610,tblMoveTypes[Movement],0)),"?")="Yes",N($F610)&lt;=0),"Qty needed",IF($A610&lt;_xlfn.MINIFS(tblShipment[Arrival Date],tblShipment[Shipment ID],$C610),"Date before arrival",IF(AND($D610&lt;&gt;"",COUNTIFS(tblShipment[Shipment ID],$C610,tblShipment[Item Code],$D610)=0),"Item not in this shipment",IF(AND($H610&lt;&gt;"",COUNTIFS(tblCouriers[Courier],$H610,tblCouriers[Market],$B610)=0),"Courier not in this market","OK")))))))))))))))</f>
        <v>OK</v>
      </c>
    </row>
    <row r="611" customFormat="false" ht="15" hidden="false" customHeight="false" outlineLevel="0" collapsed="false">
      <c r="A611" s="27" t="n">
        <v>46240</v>
      </c>
      <c r="B611" s="26" t="s">
        <v>90</v>
      </c>
      <c r="C611" s="26" t="s">
        <v>150</v>
      </c>
      <c r="D611" s="26"/>
      <c r="E611" s="26" t="s">
        <v>104</v>
      </c>
      <c r="F611" s="28"/>
      <c r="G611" s="28" t="n">
        <v>2</v>
      </c>
      <c r="H611" s="26" t="s">
        <v>101</v>
      </c>
      <c r="I611" s="26"/>
      <c r="J611" s="26"/>
      <c r="K611" s="29" t="str">
        <f aca="false">IF($A611="","",IF(COUNTIFS(tblMoveTypes[Movement],$E611)=0,"Unknown movement type",IF(COUNTIF(tblShipment[Shipment ID],$C611)=0,"Unknown shipment",IF(COUNTIFS(tblShipment[Shipment ID],$C611,tblShipment[Market],$B611)=0,"Market does not match shipment",IF(AND(IFERROR(INDEX(tblMoveTypes[Item?],MATCH($E611,tblMoveTypes[Movement],0)),"?")="Yes",$D611=""),"Item needed",IF(AND(IFERROR(INDEX(tblMoveTypes[Item?],MATCH($E611,tblMoveTypes[Movement],0)),"?")="No",$D611&lt;&gt;""),"Leave Item blank",IF(AND(IFERROR(INDEX(tblMoveTypes[Courier?],MATCH($E611,tblMoveTypes[Movement],0)),"?")="Yes",$H611=""),"Courier needed",IF(AND(IFERROR(INDEX(tblMoveTypes[Courier?],MATCH($E611,tblMoveTypes[Movement],0)),"?")="No",$H611&lt;&gt;""),"Leave Courier blank",IF(AND(IFERROR(INDEX(tblMoveTypes[Orders?],MATCH($E611,tblMoveTypes[Movement],0)),"?")="Yes",$G611=""),"Orders needed",IF(AND(IFERROR(INDEX(tblMoveTypes[Orders?],MATCH($E611,tblMoveTypes[Movement],0)),"?")="No",$G611&lt;&gt;""),"Leave Orders blank",IF(AND(IFERROR(INDEX(tblMoveTypes[Reason?],MATCH($E611,tblMoveTypes[Movement],0)),"?")="Yes",$I611=""),"Reason needed",IF(AND(IFERROR(INDEX(tblMoveTypes[Qty?],MATCH($E611,tblMoveTypes[Movement],0)),"?")="Yes",N($F611)&lt;=0),"Qty needed",IF($A611&lt;_xlfn.MINIFS(tblShipment[Arrival Date],tblShipment[Shipment ID],$C611),"Date before arrival",IF(AND($D611&lt;&gt;"",COUNTIFS(tblShipment[Shipment ID],$C611,tblShipment[Item Code],$D611)=0),"Item not in this shipment",IF(AND($H611&lt;&gt;"",COUNTIFS(tblCouriers[Courier],$H611,tblCouriers[Market],$B611)=0),"Courier not in this market","OK")))))))))))))))</f>
        <v>OK</v>
      </c>
    </row>
    <row r="612" customFormat="false" ht="15" hidden="false" customHeight="false" outlineLevel="0" collapsed="false">
      <c r="A612" s="27" t="n">
        <v>46240</v>
      </c>
      <c r="B612" s="26" t="s">
        <v>78</v>
      </c>
      <c r="C612" s="26" t="s">
        <v>135</v>
      </c>
      <c r="D612" s="26"/>
      <c r="E612" s="26" t="s">
        <v>106</v>
      </c>
      <c r="F612" s="28" t="n">
        <v>39</v>
      </c>
      <c r="G612" s="28" t="n">
        <v>6</v>
      </c>
      <c r="H612" s="26" t="s">
        <v>79</v>
      </c>
      <c r="I612" s="26"/>
      <c r="J612" s="26"/>
      <c r="K612" s="29" t="str">
        <f aca="false">IF($A612="","",IF(COUNTIFS(tblMoveTypes[Movement],$E612)=0,"Unknown movement type",IF(COUNTIF(tblShipment[Shipment ID],$C612)=0,"Unknown shipment",IF(COUNTIFS(tblShipment[Shipment ID],$C612,tblShipment[Market],$B612)=0,"Market does not match shipment",IF(AND(IFERROR(INDEX(tblMoveTypes[Item?],MATCH($E612,tblMoveTypes[Movement],0)),"?")="Yes",$D612=""),"Item needed",IF(AND(IFERROR(INDEX(tblMoveTypes[Item?],MATCH($E612,tblMoveTypes[Movement],0)),"?")="No",$D612&lt;&gt;""),"Leave Item blank",IF(AND(IFERROR(INDEX(tblMoveTypes[Courier?],MATCH($E612,tblMoveTypes[Movement],0)),"?")="Yes",$H612=""),"Courier needed",IF(AND(IFERROR(INDEX(tblMoveTypes[Courier?],MATCH($E612,tblMoveTypes[Movement],0)),"?")="No",$H612&lt;&gt;""),"Leave Courier blank",IF(AND(IFERROR(INDEX(tblMoveTypes[Orders?],MATCH($E612,tblMoveTypes[Movement],0)),"?")="Yes",$G612=""),"Orders needed",IF(AND(IFERROR(INDEX(tblMoveTypes[Orders?],MATCH($E612,tblMoveTypes[Movement],0)),"?")="No",$G612&lt;&gt;""),"Leave Orders blank",IF(AND(IFERROR(INDEX(tblMoveTypes[Reason?],MATCH($E612,tblMoveTypes[Movement],0)),"?")="Yes",$I612=""),"Reason needed",IF(AND(IFERROR(INDEX(tblMoveTypes[Qty?],MATCH($E612,tblMoveTypes[Movement],0)),"?")="Yes",N($F612)&lt;=0),"Qty needed",IF($A612&lt;_xlfn.MINIFS(tblShipment[Arrival Date],tblShipment[Shipment ID],$C612),"Date before arrival",IF(AND($D612&lt;&gt;"",COUNTIFS(tblShipment[Shipment ID],$C612,tblShipment[Item Code],$D612)=0),"Item not in this shipment",IF(AND($H612&lt;&gt;"",COUNTIFS(tblCouriers[Courier],$H612,tblCouriers[Market],$B612)=0),"Courier not in this market","OK")))))))))))))))</f>
        <v>OK</v>
      </c>
    </row>
    <row r="613" customFormat="false" ht="15" hidden="false" customHeight="false" outlineLevel="0" collapsed="false">
      <c r="A613" s="27" t="n">
        <v>46240</v>
      </c>
      <c r="B613" s="26" t="s">
        <v>78</v>
      </c>
      <c r="C613" s="26" t="s">
        <v>135</v>
      </c>
      <c r="D613" s="26"/>
      <c r="E613" s="26" t="s">
        <v>106</v>
      </c>
      <c r="F613" s="28" t="n">
        <v>18</v>
      </c>
      <c r="G613" s="28" t="n">
        <v>3</v>
      </c>
      <c r="H613" s="26" t="s">
        <v>86</v>
      </c>
      <c r="I613" s="26"/>
      <c r="J613" s="26"/>
      <c r="K613" s="29" t="str">
        <f aca="false">IF($A613="","",IF(COUNTIFS(tblMoveTypes[Movement],$E613)=0,"Unknown movement type",IF(COUNTIF(tblShipment[Shipment ID],$C613)=0,"Unknown shipment",IF(COUNTIFS(tblShipment[Shipment ID],$C613,tblShipment[Market],$B613)=0,"Market does not match shipment",IF(AND(IFERROR(INDEX(tblMoveTypes[Item?],MATCH($E613,tblMoveTypes[Movement],0)),"?")="Yes",$D613=""),"Item needed",IF(AND(IFERROR(INDEX(tblMoveTypes[Item?],MATCH($E613,tblMoveTypes[Movement],0)),"?")="No",$D613&lt;&gt;""),"Leave Item blank",IF(AND(IFERROR(INDEX(tblMoveTypes[Courier?],MATCH($E613,tblMoveTypes[Movement],0)),"?")="Yes",$H613=""),"Courier needed",IF(AND(IFERROR(INDEX(tblMoveTypes[Courier?],MATCH($E613,tblMoveTypes[Movement],0)),"?")="No",$H613&lt;&gt;""),"Leave Courier blank",IF(AND(IFERROR(INDEX(tblMoveTypes[Orders?],MATCH($E613,tblMoveTypes[Movement],0)),"?")="Yes",$G613=""),"Orders needed",IF(AND(IFERROR(INDEX(tblMoveTypes[Orders?],MATCH($E613,tblMoveTypes[Movement],0)),"?")="No",$G613&lt;&gt;""),"Leave Orders blank",IF(AND(IFERROR(INDEX(tblMoveTypes[Reason?],MATCH($E613,tblMoveTypes[Movement],0)),"?")="Yes",$I613=""),"Reason needed",IF(AND(IFERROR(INDEX(tblMoveTypes[Qty?],MATCH($E613,tblMoveTypes[Movement],0)),"?")="Yes",N($F613)&lt;=0),"Qty needed",IF($A613&lt;_xlfn.MINIFS(tblShipment[Arrival Date],tblShipment[Shipment ID],$C613),"Date before arrival",IF(AND($D613&lt;&gt;"",COUNTIFS(tblShipment[Shipment ID],$C613,tblShipment[Item Code],$D613)=0),"Item not in this shipment",IF(AND($H613&lt;&gt;"",COUNTIFS(tblCouriers[Courier],$H613,tblCouriers[Market],$B613)=0),"Courier not in this market","OK")))))))))))))))</f>
        <v>OK</v>
      </c>
    </row>
    <row r="614" customFormat="false" ht="15" hidden="false" customHeight="false" outlineLevel="0" collapsed="false">
      <c r="A614" s="27" t="n">
        <v>46240</v>
      </c>
      <c r="B614" s="26" t="s">
        <v>78</v>
      </c>
      <c r="C614" s="26" t="s">
        <v>135</v>
      </c>
      <c r="D614" s="26"/>
      <c r="E614" s="26" t="s">
        <v>108</v>
      </c>
      <c r="F614" s="28" t="n">
        <v>7</v>
      </c>
      <c r="G614" s="28" t="n">
        <v>1</v>
      </c>
      <c r="H614" s="26" t="s">
        <v>86</v>
      </c>
      <c r="I614" s="26" t="s">
        <v>105</v>
      </c>
      <c r="J614" s="26"/>
      <c r="K614" s="29" t="str">
        <f aca="false">IF($A614="","",IF(COUNTIFS(tblMoveTypes[Movement],$E614)=0,"Unknown movement type",IF(COUNTIF(tblShipment[Shipment ID],$C614)=0,"Unknown shipment",IF(COUNTIFS(tblShipment[Shipment ID],$C614,tblShipment[Market],$B614)=0,"Market does not match shipment",IF(AND(IFERROR(INDEX(tblMoveTypes[Item?],MATCH($E614,tblMoveTypes[Movement],0)),"?")="Yes",$D614=""),"Item needed",IF(AND(IFERROR(INDEX(tblMoveTypes[Item?],MATCH($E614,tblMoveTypes[Movement],0)),"?")="No",$D614&lt;&gt;""),"Leave Item blank",IF(AND(IFERROR(INDEX(tblMoveTypes[Courier?],MATCH($E614,tblMoveTypes[Movement],0)),"?")="Yes",$H614=""),"Courier needed",IF(AND(IFERROR(INDEX(tblMoveTypes[Courier?],MATCH($E614,tblMoveTypes[Movement],0)),"?")="No",$H614&lt;&gt;""),"Leave Courier blank",IF(AND(IFERROR(INDEX(tblMoveTypes[Orders?],MATCH($E614,tblMoveTypes[Movement],0)),"?")="Yes",$G614=""),"Orders needed",IF(AND(IFERROR(INDEX(tblMoveTypes[Orders?],MATCH($E614,tblMoveTypes[Movement],0)),"?")="No",$G614&lt;&gt;""),"Leave Orders blank",IF(AND(IFERROR(INDEX(tblMoveTypes[Reason?],MATCH($E614,tblMoveTypes[Movement],0)),"?")="Yes",$I614=""),"Reason needed",IF(AND(IFERROR(INDEX(tblMoveTypes[Qty?],MATCH($E614,tblMoveTypes[Movement],0)),"?")="Yes",N($F614)&lt;=0),"Qty needed",IF($A614&lt;_xlfn.MINIFS(tblShipment[Arrival Date],tblShipment[Shipment ID],$C614),"Date before arrival",IF(AND($D614&lt;&gt;"",COUNTIFS(tblShipment[Shipment ID],$C614,tblShipment[Item Code],$D614)=0),"Item not in this shipment",IF(AND($H614&lt;&gt;"",COUNTIFS(tblCouriers[Courier],$H614,tblCouriers[Market],$B614)=0),"Courier not in this market","OK")))))))))))))))</f>
        <v>OK</v>
      </c>
    </row>
    <row r="615" customFormat="false" ht="15" hidden="false" customHeight="false" outlineLevel="0" collapsed="false">
      <c r="A615" s="27" t="n">
        <v>46240</v>
      </c>
      <c r="B615" s="26" t="s">
        <v>78</v>
      </c>
      <c r="C615" s="26" t="s">
        <v>135</v>
      </c>
      <c r="D615" s="26" t="s">
        <v>67</v>
      </c>
      <c r="E615" s="26" t="s">
        <v>110</v>
      </c>
      <c r="F615" s="28" t="n">
        <v>5</v>
      </c>
      <c r="G615" s="28"/>
      <c r="H615" s="26"/>
      <c r="I615" s="26"/>
      <c r="J615" s="26"/>
      <c r="K615" s="29" t="str">
        <f aca="false">IF($A615="","",IF(COUNTIFS(tblMoveTypes[Movement],$E615)=0,"Unknown movement type",IF(COUNTIF(tblShipment[Shipment ID],$C615)=0,"Unknown shipment",IF(COUNTIFS(tblShipment[Shipment ID],$C615,tblShipment[Market],$B615)=0,"Market does not match shipment",IF(AND(IFERROR(INDEX(tblMoveTypes[Item?],MATCH($E615,tblMoveTypes[Movement],0)),"?")="Yes",$D615=""),"Item needed",IF(AND(IFERROR(INDEX(tblMoveTypes[Item?],MATCH($E615,tblMoveTypes[Movement],0)),"?")="No",$D615&lt;&gt;""),"Leave Item blank",IF(AND(IFERROR(INDEX(tblMoveTypes[Courier?],MATCH($E615,tblMoveTypes[Movement],0)),"?")="Yes",$H615=""),"Courier needed",IF(AND(IFERROR(INDEX(tblMoveTypes[Courier?],MATCH($E615,tblMoveTypes[Movement],0)),"?")="No",$H615&lt;&gt;""),"Leave Courier blank",IF(AND(IFERROR(INDEX(tblMoveTypes[Orders?],MATCH($E615,tblMoveTypes[Movement],0)),"?")="Yes",$G615=""),"Orders needed",IF(AND(IFERROR(INDEX(tblMoveTypes[Orders?],MATCH($E615,tblMoveTypes[Movement],0)),"?")="No",$G615&lt;&gt;""),"Leave Orders blank",IF(AND(IFERROR(INDEX(tblMoveTypes[Reason?],MATCH($E615,tblMoveTypes[Movement],0)),"?")="Yes",$I615=""),"Reason needed",IF(AND(IFERROR(INDEX(tblMoveTypes[Qty?],MATCH($E615,tblMoveTypes[Movement],0)),"?")="Yes",N($F615)&lt;=0),"Qty needed",IF($A615&lt;_xlfn.MINIFS(tblShipment[Arrival Date],tblShipment[Shipment ID],$C615),"Date before arrival",IF(AND($D615&lt;&gt;"",COUNTIFS(tblShipment[Shipment ID],$C615,tblShipment[Item Code],$D615)=0),"Item not in this shipment",IF(AND($H615&lt;&gt;"",COUNTIFS(tblCouriers[Courier],$H615,tblCouriers[Market],$B615)=0),"Courier not in this market","OK")))))))))))))))</f>
        <v>OK</v>
      </c>
    </row>
    <row r="616" customFormat="false" ht="15" hidden="false" customHeight="false" outlineLevel="0" collapsed="false">
      <c r="A616" s="27" t="n">
        <v>46240</v>
      </c>
      <c r="B616" s="26" t="s">
        <v>78</v>
      </c>
      <c r="C616" s="26" t="s">
        <v>135</v>
      </c>
      <c r="D616" s="26" t="s">
        <v>67</v>
      </c>
      <c r="E616" s="26" t="s">
        <v>112</v>
      </c>
      <c r="F616" s="28" t="n">
        <v>2</v>
      </c>
      <c r="G616" s="28"/>
      <c r="H616" s="26"/>
      <c r="I616" s="26" t="s">
        <v>72</v>
      </c>
      <c r="J616" s="26"/>
      <c r="K616" s="29" t="str">
        <f aca="false">IF($A616="","",IF(COUNTIFS(tblMoveTypes[Movement],$E616)=0,"Unknown movement type",IF(COUNTIF(tblShipment[Shipment ID],$C616)=0,"Unknown shipment",IF(COUNTIFS(tblShipment[Shipment ID],$C616,tblShipment[Market],$B616)=0,"Market does not match shipment",IF(AND(IFERROR(INDEX(tblMoveTypes[Item?],MATCH($E616,tblMoveTypes[Movement],0)),"?")="Yes",$D616=""),"Item needed",IF(AND(IFERROR(INDEX(tblMoveTypes[Item?],MATCH($E616,tblMoveTypes[Movement],0)),"?")="No",$D616&lt;&gt;""),"Leave Item blank",IF(AND(IFERROR(INDEX(tblMoveTypes[Courier?],MATCH($E616,tblMoveTypes[Movement],0)),"?")="Yes",$H616=""),"Courier needed",IF(AND(IFERROR(INDEX(tblMoveTypes[Courier?],MATCH($E616,tblMoveTypes[Movement],0)),"?")="No",$H616&lt;&gt;""),"Leave Courier blank",IF(AND(IFERROR(INDEX(tblMoveTypes[Orders?],MATCH($E616,tblMoveTypes[Movement],0)),"?")="Yes",$G616=""),"Orders needed",IF(AND(IFERROR(INDEX(tblMoveTypes[Orders?],MATCH($E616,tblMoveTypes[Movement],0)),"?")="No",$G616&lt;&gt;""),"Leave Orders blank",IF(AND(IFERROR(INDEX(tblMoveTypes[Reason?],MATCH($E616,tblMoveTypes[Movement],0)),"?")="Yes",$I616=""),"Reason needed",IF(AND(IFERROR(INDEX(tblMoveTypes[Qty?],MATCH($E616,tblMoveTypes[Movement],0)),"?")="Yes",N($F616)&lt;=0),"Qty needed",IF($A616&lt;_xlfn.MINIFS(tblShipment[Arrival Date],tblShipment[Shipment ID],$C616),"Date before arrival",IF(AND($D616&lt;&gt;"",COUNTIFS(tblShipment[Shipment ID],$C616,tblShipment[Item Code],$D616)=0),"Item not in this shipment",IF(AND($H616&lt;&gt;"",COUNTIFS(tblCouriers[Courier],$H616,tblCouriers[Market],$B616)=0),"Courier not in this market","OK")))))))))))))))</f>
        <v>OK</v>
      </c>
    </row>
    <row r="617" customFormat="false" ht="15" hidden="false" customHeight="false" outlineLevel="0" collapsed="false">
      <c r="A617" s="27" t="n">
        <v>46240</v>
      </c>
      <c r="B617" s="26" t="s">
        <v>78</v>
      </c>
      <c r="C617" s="26" t="s">
        <v>135</v>
      </c>
      <c r="D617" s="26" t="s">
        <v>67</v>
      </c>
      <c r="E617" s="26" t="s">
        <v>93</v>
      </c>
      <c r="F617" s="28" t="n">
        <v>2</v>
      </c>
      <c r="G617" s="28"/>
      <c r="H617" s="26" t="s">
        <v>79</v>
      </c>
      <c r="I617" s="26"/>
      <c r="J617" s="26"/>
      <c r="K617" s="29" t="str">
        <f aca="false">IF($A617="","",IF(COUNTIFS(tblMoveTypes[Movement],$E617)=0,"Unknown movement type",IF(COUNTIF(tblShipment[Shipment ID],$C617)=0,"Unknown shipment",IF(COUNTIFS(tblShipment[Shipment ID],$C617,tblShipment[Market],$B617)=0,"Market does not match shipment",IF(AND(IFERROR(INDEX(tblMoveTypes[Item?],MATCH($E617,tblMoveTypes[Movement],0)),"?")="Yes",$D617=""),"Item needed",IF(AND(IFERROR(INDEX(tblMoveTypes[Item?],MATCH($E617,tblMoveTypes[Movement],0)),"?")="No",$D617&lt;&gt;""),"Leave Item blank",IF(AND(IFERROR(INDEX(tblMoveTypes[Courier?],MATCH($E617,tblMoveTypes[Movement],0)),"?")="Yes",$H617=""),"Courier needed",IF(AND(IFERROR(INDEX(tblMoveTypes[Courier?],MATCH($E617,tblMoveTypes[Movement],0)),"?")="No",$H617&lt;&gt;""),"Leave Courier blank",IF(AND(IFERROR(INDEX(tblMoveTypes[Orders?],MATCH($E617,tblMoveTypes[Movement],0)),"?")="Yes",$G617=""),"Orders needed",IF(AND(IFERROR(INDEX(tblMoveTypes[Orders?],MATCH($E617,tblMoveTypes[Movement],0)),"?")="No",$G617&lt;&gt;""),"Leave Orders blank",IF(AND(IFERROR(INDEX(tblMoveTypes[Reason?],MATCH($E617,tblMoveTypes[Movement],0)),"?")="Yes",$I617=""),"Reason needed",IF(AND(IFERROR(INDEX(tblMoveTypes[Qty?],MATCH($E617,tblMoveTypes[Movement],0)),"?")="Yes",N($F617)&lt;=0),"Qty needed",IF($A617&lt;_xlfn.MINIFS(tblShipment[Arrival Date],tblShipment[Shipment ID],$C617),"Date before arrival",IF(AND($D617&lt;&gt;"",COUNTIFS(tblShipment[Shipment ID],$C617,tblShipment[Item Code],$D617)=0),"Item not in this shipment",IF(AND($H617&lt;&gt;"",COUNTIFS(tblCouriers[Courier],$H617,tblCouriers[Market],$B617)=0),"Courier not in this market","OK")))))))))))))))</f>
        <v>OK</v>
      </c>
    </row>
    <row r="618" customFormat="false" ht="15" hidden="false" customHeight="false" outlineLevel="0" collapsed="false">
      <c r="A618" s="27" t="n">
        <v>46240</v>
      </c>
      <c r="B618" s="26" t="s">
        <v>78</v>
      </c>
      <c r="C618" s="26" t="s">
        <v>135</v>
      </c>
      <c r="D618" s="26"/>
      <c r="E618" s="26" t="s">
        <v>104</v>
      </c>
      <c r="F618" s="28"/>
      <c r="G618" s="28" t="n">
        <v>1</v>
      </c>
      <c r="H618" s="26" t="s">
        <v>79</v>
      </c>
      <c r="I618" s="26"/>
      <c r="J618" s="26"/>
      <c r="K618" s="29" t="str">
        <f aca="false">IF($A618="","",IF(COUNTIFS(tblMoveTypes[Movement],$E618)=0,"Unknown movement type",IF(COUNTIF(tblShipment[Shipment ID],$C618)=0,"Unknown shipment",IF(COUNTIFS(tblShipment[Shipment ID],$C618,tblShipment[Market],$B618)=0,"Market does not match shipment",IF(AND(IFERROR(INDEX(tblMoveTypes[Item?],MATCH($E618,tblMoveTypes[Movement],0)),"?")="Yes",$D618=""),"Item needed",IF(AND(IFERROR(INDEX(tblMoveTypes[Item?],MATCH($E618,tblMoveTypes[Movement],0)),"?")="No",$D618&lt;&gt;""),"Leave Item blank",IF(AND(IFERROR(INDEX(tblMoveTypes[Courier?],MATCH($E618,tblMoveTypes[Movement],0)),"?")="Yes",$H618=""),"Courier needed",IF(AND(IFERROR(INDEX(tblMoveTypes[Courier?],MATCH($E618,tblMoveTypes[Movement],0)),"?")="No",$H618&lt;&gt;""),"Leave Courier blank",IF(AND(IFERROR(INDEX(tblMoveTypes[Orders?],MATCH($E618,tblMoveTypes[Movement],0)),"?")="Yes",$G618=""),"Orders needed",IF(AND(IFERROR(INDEX(tblMoveTypes[Orders?],MATCH($E618,tblMoveTypes[Movement],0)),"?")="No",$G618&lt;&gt;""),"Leave Orders blank",IF(AND(IFERROR(INDEX(tblMoveTypes[Reason?],MATCH($E618,tblMoveTypes[Movement],0)),"?")="Yes",$I618=""),"Reason needed",IF(AND(IFERROR(INDEX(tblMoveTypes[Qty?],MATCH($E618,tblMoveTypes[Movement],0)),"?")="Yes",N($F618)&lt;=0),"Qty needed",IF($A618&lt;_xlfn.MINIFS(tblShipment[Arrival Date],tblShipment[Shipment ID],$C618),"Date before arrival",IF(AND($D618&lt;&gt;"",COUNTIFS(tblShipment[Shipment ID],$C618,tblShipment[Item Code],$D618)=0),"Item not in this shipment",IF(AND($H618&lt;&gt;"",COUNTIFS(tblCouriers[Courier],$H618,tblCouriers[Market],$B618)=0),"Courier not in this market","OK")))))))))))))))</f>
        <v>OK</v>
      </c>
    </row>
    <row r="619" customFormat="false" ht="15" hidden="false" customHeight="false" outlineLevel="0" collapsed="false">
      <c r="A619" s="27" t="n">
        <v>46240</v>
      </c>
      <c r="B619" s="26" t="s">
        <v>78</v>
      </c>
      <c r="C619" s="26" t="s">
        <v>135</v>
      </c>
      <c r="D619" s="26" t="s">
        <v>94</v>
      </c>
      <c r="E619" s="26" t="s">
        <v>93</v>
      </c>
      <c r="F619" s="28" t="n">
        <v>8</v>
      </c>
      <c r="G619" s="28"/>
      <c r="H619" s="26" t="s">
        <v>79</v>
      </c>
      <c r="I619" s="26"/>
      <c r="J619" s="26"/>
      <c r="K619" s="29" t="str">
        <f aca="false">IF($A619="","",IF(COUNTIFS(tblMoveTypes[Movement],$E619)=0,"Unknown movement type",IF(COUNTIF(tblShipment[Shipment ID],$C619)=0,"Unknown shipment",IF(COUNTIFS(tblShipment[Shipment ID],$C619,tblShipment[Market],$B619)=0,"Market does not match shipment",IF(AND(IFERROR(INDEX(tblMoveTypes[Item?],MATCH($E619,tblMoveTypes[Movement],0)),"?")="Yes",$D619=""),"Item needed",IF(AND(IFERROR(INDEX(tblMoveTypes[Item?],MATCH($E619,tblMoveTypes[Movement],0)),"?")="No",$D619&lt;&gt;""),"Leave Item blank",IF(AND(IFERROR(INDEX(tblMoveTypes[Courier?],MATCH($E619,tblMoveTypes[Movement],0)),"?")="Yes",$H619=""),"Courier needed",IF(AND(IFERROR(INDEX(tblMoveTypes[Courier?],MATCH($E619,tblMoveTypes[Movement],0)),"?")="No",$H619&lt;&gt;""),"Leave Courier blank",IF(AND(IFERROR(INDEX(tblMoveTypes[Orders?],MATCH($E619,tblMoveTypes[Movement],0)),"?")="Yes",$G619=""),"Orders needed",IF(AND(IFERROR(INDEX(tblMoveTypes[Orders?],MATCH($E619,tblMoveTypes[Movement],0)),"?")="No",$G619&lt;&gt;""),"Leave Orders blank",IF(AND(IFERROR(INDEX(tblMoveTypes[Reason?],MATCH($E619,tblMoveTypes[Movement],0)),"?")="Yes",$I619=""),"Reason needed",IF(AND(IFERROR(INDEX(tblMoveTypes[Qty?],MATCH($E619,tblMoveTypes[Movement],0)),"?")="Yes",N($F619)&lt;=0),"Qty needed",IF($A619&lt;_xlfn.MINIFS(tblShipment[Arrival Date],tblShipment[Shipment ID],$C619),"Date before arrival",IF(AND($D619&lt;&gt;"",COUNTIFS(tblShipment[Shipment ID],$C619,tblShipment[Item Code],$D619)=0),"Item not in this shipment",IF(AND($H619&lt;&gt;"",COUNTIFS(tblCouriers[Courier],$H619,tblCouriers[Market],$B619)=0),"Courier not in this market","OK")))))))))))))))</f>
        <v>OK</v>
      </c>
    </row>
    <row r="620" customFormat="false" ht="15" hidden="false" customHeight="false" outlineLevel="0" collapsed="false">
      <c r="A620" s="27" t="n">
        <v>46240</v>
      </c>
      <c r="B620" s="26" t="s">
        <v>78</v>
      </c>
      <c r="C620" s="26" t="s">
        <v>135</v>
      </c>
      <c r="D620" s="26"/>
      <c r="E620" s="26" t="s">
        <v>104</v>
      </c>
      <c r="F620" s="28"/>
      <c r="G620" s="28" t="n">
        <v>1</v>
      </c>
      <c r="H620" s="26" t="s">
        <v>79</v>
      </c>
      <c r="I620" s="26"/>
      <c r="J620" s="26"/>
      <c r="K620" s="29" t="str">
        <f aca="false">IF($A620="","",IF(COUNTIFS(tblMoveTypes[Movement],$E620)=0,"Unknown movement type",IF(COUNTIF(tblShipment[Shipment ID],$C620)=0,"Unknown shipment",IF(COUNTIFS(tblShipment[Shipment ID],$C620,tblShipment[Market],$B620)=0,"Market does not match shipment",IF(AND(IFERROR(INDEX(tblMoveTypes[Item?],MATCH($E620,tblMoveTypes[Movement],0)),"?")="Yes",$D620=""),"Item needed",IF(AND(IFERROR(INDEX(tblMoveTypes[Item?],MATCH($E620,tblMoveTypes[Movement],0)),"?")="No",$D620&lt;&gt;""),"Leave Item blank",IF(AND(IFERROR(INDEX(tblMoveTypes[Courier?],MATCH($E620,tblMoveTypes[Movement],0)),"?")="Yes",$H620=""),"Courier needed",IF(AND(IFERROR(INDEX(tblMoveTypes[Courier?],MATCH($E620,tblMoveTypes[Movement],0)),"?")="No",$H620&lt;&gt;""),"Leave Courier blank",IF(AND(IFERROR(INDEX(tblMoveTypes[Orders?],MATCH($E620,tblMoveTypes[Movement],0)),"?")="Yes",$G620=""),"Orders needed",IF(AND(IFERROR(INDEX(tblMoveTypes[Orders?],MATCH($E620,tblMoveTypes[Movement],0)),"?")="No",$G620&lt;&gt;""),"Leave Orders blank",IF(AND(IFERROR(INDEX(tblMoveTypes[Reason?],MATCH($E620,tblMoveTypes[Movement],0)),"?")="Yes",$I620=""),"Reason needed",IF(AND(IFERROR(INDEX(tblMoveTypes[Qty?],MATCH($E620,tblMoveTypes[Movement],0)),"?")="Yes",N($F620)&lt;=0),"Qty needed",IF($A620&lt;_xlfn.MINIFS(tblShipment[Arrival Date],tblShipment[Shipment ID],$C620),"Date before arrival",IF(AND($D620&lt;&gt;"",COUNTIFS(tblShipment[Shipment ID],$C620,tblShipment[Item Code],$D620)=0),"Item not in this shipment",IF(AND($H620&lt;&gt;"",COUNTIFS(tblCouriers[Courier],$H620,tblCouriers[Market],$B620)=0),"Courier not in this market","OK")))))))))))))))</f>
        <v>OK</v>
      </c>
    </row>
    <row r="621" customFormat="false" ht="15" hidden="false" customHeight="false" outlineLevel="0" collapsed="false">
      <c r="A621" s="27" t="n">
        <v>46241</v>
      </c>
      <c r="B621" s="26" t="s">
        <v>70</v>
      </c>
      <c r="C621" s="26" t="s">
        <v>127</v>
      </c>
      <c r="D621" s="26"/>
      <c r="E621" s="26" t="s">
        <v>106</v>
      </c>
      <c r="F621" s="28" t="n">
        <v>61</v>
      </c>
      <c r="G621" s="28" t="n">
        <v>9</v>
      </c>
      <c r="H621" s="26" t="s">
        <v>71</v>
      </c>
      <c r="I621" s="26"/>
      <c r="J621" s="26"/>
      <c r="K621" s="29" t="str">
        <f aca="false">IF($A621="","",IF(COUNTIFS(tblMoveTypes[Movement],$E621)=0,"Unknown movement type",IF(COUNTIF(tblShipment[Shipment ID],$C621)=0,"Unknown shipment",IF(COUNTIFS(tblShipment[Shipment ID],$C621,tblShipment[Market],$B621)=0,"Market does not match shipment",IF(AND(IFERROR(INDEX(tblMoveTypes[Item?],MATCH($E621,tblMoveTypes[Movement],0)),"?")="Yes",$D621=""),"Item needed",IF(AND(IFERROR(INDEX(tblMoveTypes[Item?],MATCH($E621,tblMoveTypes[Movement],0)),"?")="No",$D621&lt;&gt;""),"Leave Item blank",IF(AND(IFERROR(INDEX(tblMoveTypes[Courier?],MATCH($E621,tblMoveTypes[Movement],0)),"?")="Yes",$H621=""),"Courier needed",IF(AND(IFERROR(INDEX(tblMoveTypes[Courier?],MATCH($E621,tblMoveTypes[Movement],0)),"?")="No",$H621&lt;&gt;""),"Leave Courier blank",IF(AND(IFERROR(INDEX(tblMoveTypes[Orders?],MATCH($E621,tblMoveTypes[Movement],0)),"?")="Yes",$G621=""),"Orders needed",IF(AND(IFERROR(INDEX(tblMoveTypes[Orders?],MATCH($E621,tblMoveTypes[Movement],0)),"?")="No",$G621&lt;&gt;""),"Leave Orders blank",IF(AND(IFERROR(INDEX(tblMoveTypes[Reason?],MATCH($E621,tblMoveTypes[Movement],0)),"?")="Yes",$I621=""),"Reason needed",IF(AND(IFERROR(INDEX(tblMoveTypes[Qty?],MATCH($E621,tblMoveTypes[Movement],0)),"?")="Yes",N($F621)&lt;=0),"Qty needed",IF($A621&lt;_xlfn.MINIFS(tblShipment[Arrival Date],tblShipment[Shipment ID],$C621),"Date before arrival",IF(AND($D621&lt;&gt;"",COUNTIFS(tblShipment[Shipment ID],$C621,tblShipment[Item Code],$D621)=0),"Item not in this shipment",IF(AND($H621&lt;&gt;"",COUNTIFS(tblCouriers[Courier],$H621,tblCouriers[Market],$B621)=0),"Courier not in this market","OK")))))))))))))))</f>
        <v>OK</v>
      </c>
    </row>
    <row r="622" customFormat="false" ht="15" hidden="false" customHeight="false" outlineLevel="0" collapsed="false">
      <c r="A622" s="27" t="n">
        <v>46241</v>
      </c>
      <c r="B622" s="26" t="s">
        <v>85</v>
      </c>
      <c r="C622" s="26" t="s">
        <v>143</v>
      </c>
      <c r="D622" s="26"/>
      <c r="E622" s="26" t="s">
        <v>106</v>
      </c>
      <c r="F622" s="28" t="n">
        <v>30</v>
      </c>
      <c r="G622" s="28" t="n">
        <v>4</v>
      </c>
      <c r="H622" s="26" t="s">
        <v>91</v>
      </c>
      <c r="I622" s="26"/>
      <c r="J622" s="26"/>
      <c r="K622" s="29" t="str">
        <f aca="false">IF($A622="","",IF(COUNTIFS(tblMoveTypes[Movement],$E622)=0,"Unknown movement type",IF(COUNTIF(tblShipment[Shipment ID],$C622)=0,"Unknown shipment",IF(COUNTIFS(tblShipment[Shipment ID],$C622,tblShipment[Market],$B622)=0,"Market does not match shipment",IF(AND(IFERROR(INDEX(tblMoveTypes[Item?],MATCH($E622,tblMoveTypes[Movement],0)),"?")="Yes",$D622=""),"Item needed",IF(AND(IFERROR(INDEX(tblMoveTypes[Item?],MATCH($E622,tblMoveTypes[Movement],0)),"?")="No",$D622&lt;&gt;""),"Leave Item blank",IF(AND(IFERROR(INDEX(tblMoveTypes[Courier?],MATCH($E622,tblMoveTypes[Movement],0)),"?")="Yes",$H622=""),"Courier needed",IF(AND(IFERROR(INDEX(tblMoveTypes[Courier?],MATCH($E622,tblMoveTypes[Movement],0)),"?")="No",$H622&lt;&gt;""),"Leave Courier blank",IF(AND(IFERROR(INDEX(tblMoveTypes[Orders?],MATCH($E622,tblMoveTypes[Movement],0)),"?")="Yes",$G622=""),"Orders needed",IF(AND(IFERROR(INDEX(tblMoveTypes[Orders?],MATCH($E622,tblMoveTypes[Movement],0)),"?")="No",$G622&lt;&gt;""),"Leave Orders blank",IF(AND(IFERROR(INDEX(tblMoveTypes[Reason?],MATCH($E622,tblMoveTypes[Movement],0)),"?")="Yes",$I622=""),"Reason needed",IF(AND(IFERROR(INDEX(tblMoveTypes[Qty?],MATCH($E622,tblMoveTypes[Movement],0)),"?")="Yes",N($F622)&lt;=0),"Qty needed",IF($A622&lt;_xlfn.MINIFS(tblShipment[Arrival Date],tblShipment[Shipment ID],$C622),"Date before arrival",IF(AND($D622&lt;&gt;"",COUNTIFS(tblShipment[Shipment ID],$C622,tblShipment[Item Code],$D622)=0),"Item not in this shipment",IF(AND($H622&lt;&gt;"",COUNTIFS(tblCouriers[Courier],$H622,tblCouriers[Market],$B622)=0),"Courier not in this market","OK")))))))))))))))</f>
        <v>OK</v>
      </c>
    </row>
    <row r="623" customFormat="false" ht="15" hidden="false" customHeight="false" outlineLevel="0" collapsed="false">
      <c r="A623" s="27" t="n">
        <v>46241</v>
      </c>
      <c r="B623" s="26" t="s">
        <v>85</v>
      </c>
      <c r="C623" s="26" t="s">
        <v>143</v>
      </c>
      <c r="D623" s="26" t="s">
        <v>76</v>
      </c>
      <c r="E623" s="26" t="s">
        <v>93</v>
      </c>
      <c r="F623" s="28" t="n">
        <v>5</v>
      </c>
      <c r="G623" s="28"/>
      <c r="H623" s="26" t="s">
        <v>91</v>
      </c>
      <c r="I623" s="26"/>
      <c r="J623" s="26"/>
      <c r="K623" s="29" t="str">
        <f aca="false">IF($A623="","",IF(COUNTIFS(tblMoveTypes[Movement],$E623)=0,"Unknown movement type",IF(COUNTIF(tblShipment[Shipment ID],$C623)=0,"Unknown shipment",IF(COUNTIFS(tblShipment[Shipment ID],$C623,tblShipment[Market],$B623)=0,"Market does not match shipment",IF(AND(IFERROR(INDEX(tblMoveTypes[Item?],MATCH($E623,tblMoveTypes[Movement],0)),"?")="Yes",$D623=""),"Item needed",IF(AND(IFERROR(INDEX(tblMoveTypes[Item?],MATCH($E623,tblMoveTypes[Movement],0)),"?")="No",$D623&lt;&gt;""),"Leave Item blank",IF(AND(IFERROR(INDEX(tblMoveTypes[Courier?],MATCH($E623,tblMoveTypes[Movement],0)),"?")="Yes",$H623=""),"Courier needed",IF(AND(IFERROR(INDEX(tblMoveTypes[Courier?],MATCH($E623,tblMoveTypes[Movement],0)),"?")="No",$H623&lt;&gt;""),"Leave Courier blank",IF(AND(IFERROR(INDEX(tblMoveTypes[Orders?],MATCH($E623,tblMoveTypes[Movement],0)),"?")="Yes",$G623=""),"Orders needed",IF(AND(IFERROR(INDEX(tblMoveTypes[Orders?],MATCH($E623,tblMoveTypes[Movement],0)),"?")="No",$G623&lt;&gt;""),"Leave Orders blank",IF(AND(IFERROR(INDEX(tblMoveTypes[Reason?],MATCH($E623,tblMoveTypes[Movement],0)),"?")="Yes",$I623=""),"Reason needed",IF(AND(IFERROR(INDEX(tblMoveTypes[Qty?],MATCH($E623,tblMoveTypes[Movement],0)),"?")="Yes",N($F623)&lt;=0),"Qty needed",IF($A623&lt;_xlfn.MINIFS(tblShipment[Arrival Date],tblShipment[Shipment ID],$C623),"Date before arrival",IF(AND($D623&lt;&gt;"",COUNTIFS(tblShipment[Shipment ID],$C623,tblShipment[Item Code],$D623)=0),"Item not in this shipment",IF(AND($H623&lt;&gt;"",COUNTIFS(tblCouriers[Courier],$H623,tblCouriers[Market],$B623)=0),"Courier not in this market","OK")))))))))))))))</f>
        <v>OK</v>
      </c>
    </row>
    <row r="624" customFormat="false" ht="15" hidden="false" customHeight="false" outlineLevel="0" collapsed="false">
      <c r="A624" s="27" t="n">
        <v>46241</v>
      </c>
      <c r="B624" s="26" t="s">
        <v>85</v>
      </c>
      <c r="C624" s="26" t="s">
        <v>143</v>
      </c>
      <c r="D624" s="26"/>
      <c r="E624" s="26" t="s">
        <v>104</v>
      </c>
      <c r="F624" s="28"/>
      <c r="G624" s="28" t="n">
        <v>1</v>
      </c>
      <c r="H624" s="26" t="s">
        <v>91</v>
      </c>
      <c r="I624" s="26"/>
      <c r="J624" s="26"/>
      <c r="K624" s="29" t="str">
        <f aca="false">IF($A624="","",IF(COUNTIFS(tblMoveTypes[Movement],$E624)=0,"Unknown movement type",IF(COUNTIF(tblShipment[Shipment ID],$C624)=0,"Unknown shipment",IF(COUNTIFS(tblShipment[Shipment ID],$C624,tblShipment[Market],$B624)=0,"Market does not match shipment",IF(AND(IFERROR(INDEX(tblMoveTypes[Item?],MATCH($E624,tblMoveTypes[Movement],0)),"?")="Yes",$D624=""),"Item needed",IF(AND(IFERROR(INDEX(tblMoveTypes[Item?],MATCH($E624,tblMoveTypes[Movement],0)),"?")="No",$D624&lt;&gt;""),"Leave Item blank",IF(AND(IFERROR(INDEX(tblMoveTypes[Courier?],MATCH($E624,tblMoveTypes[Movement],0)),"?")="Yes",$H624=""),"Courier needed",IF(AND(IFERROR(INDEX(tblMoveTypes[Courier?],MATCH($E624,tblMoveTypes[Movement],0)),"?")="No",$H624&lt;&gt;""),"Leave Courier blank",IF(AND(IFERROR(INDEX(tblMoveTypes[Orders?],MATCH($E624,tblMoveTypes[Movement],0)),"?")="Yes",$G624=""),"Orders needed",IF(AND(IFERROR(INDEX(tblMoveTypes[Orders?],MATCH($E624,tblMoveTypes[Movement],0)),"?")="No",$G624&lt;&gt;""),"Leave Orders blank",IF(AND(IFERROR(INDEX(tblMoveTypes[Reason?],MATCH($E624,tblMoveTypes[Movement],0)),"?")="Yes",$I624=""),"Reason needed",IF(AND(IFERROR(INDEX(tblMoveTypes[Qty?],MATCH($E624,tblMoveTypes[Movement],0)),"?")="Yes",N($F624)&lt;=0),"Qty needed",IF($A624&lt;_xlfn.MINIFS(tblShipment[Arrival Date],tblShipment[Shipment ID],$C624),"Date before arrival",IF(AND($D624&lt;&gt;"",COUNTIFS(tblShipment[Shipment ID],$C624,tblShipment[Item Code],$D624)=0),"Item not in this shipment",IF(AND($H624&lt;&gt;"",COUNTIFS(tblCouriers[Courier],$H624,tblCouriers[Market],$B624)=0),"Courier not in this market","OK")))))))))))))))</f>
        <v>OK</v>
      </c>
    </row>
    <row r="625" customFormat="false" ht="15" hidden="false" customHeight="false" outlineLevel="0" collapsed="false">
      <c r="A625" s="27" t="n">
        <v>46241</v>
      </c>
      <c r="B625" s="26" t="s">
        <v>85</v>
      </c>
      <c r="C625" s="26" t="s">
        <v>143</v>
      </c>
      <c r="D625" s="26"/>
      <c r="E625" s="26" t="s">
        <v>106</v>
      </c>
      <c r="F625" s="28" t="n">
        <v>3</v>
      </c>
      <c r="G625" s="28" t="n">
        <v>1</v>
      </c>
      <c r="H625" s="26" t="s">
        <v>91</v>
      </c>
      <c r="I625" s="26"/>
      <c r="J625" s="26"/>
      <c r="K625" s="29" t="str">
        <f aca="false">IF($A625="","",IF(COUNTIFS(tblMoveTypes[Movement],$E625)=0,"Unknown movement type",IF(COUNTIF(tblShipment[Shipment ID],$C625)=0,"Unknown shipment",IF(COUNTIFS(tblShipment[Shipment ID],$C625,tblShipment[Market],$B625)=0,"Market does not match shipment",IF(AND(IFERROR(INDEX(tblMoveTypes[Item?],MATCH($E625,tblMoveTypes[Movement],0)),"?")="Yes",$D625=""),"Item needed",IF(AND(IFERROR(INDEX(tblMoveTypes[Item?],MATCH($E625,tblMoveTypes[Movement],0)),"?")="No",$D625&lt;&gt;""),"Leave Item blank",IF(AND(IFERROR(INDEX(tblMoveTypes[Courier?],MATCH($E625,tblMoveTypes[Movement],0)),"?")="Yes",$H625=""),"Courier needed",IF(AND(IFERROR(INDEX(tblMoveTypes[Courier?],MATCH($E625,tblMoveTypes[Movement],0)),"?")="No",$H625&lt;&gt;""),"Leave Courier blank",IF(AND(IFERROR(INDEX(tblMoveTypes[Orders?],MATCH($E625,tblMoveTypes[Movement],0)),"?")="Yes",$G625=""),"Orders needed",IF(AND(IFERROR(INDEX(tblMoveTypes[Orders?],MATCH($E625,tblMoveTypes[Movement],0)),"?")="No",$G625&lt;&gt;""),"Leave Orders blank",IF(AND(IFERROR(INDEX(tblMoveTypes[Reason?],MATCH($E625,tblMoveTypes[Movement],0)),"?")="Yes",$I625=""),"Reason needed",IF(AND(IFERROR(INDEX(tblMoveTypes[Qty?],MATCH($E625,tblMoveTypes[Movement],0)),"?")="Yes",N($F625)&lt;=0),"Qty needed",IF($A625&lt;_xlfn.MINIFS(tblShipment[Arrival Date],tblShipment[Shipment ID],$C625),"Date before arrival",IF(AND($D625&lt;&gt;"",COUNTIFS(tblShipment[Shipment ID],$C625,tblShipment[Item Code],$D625)=0),"Item not in this shipment",IF(AND($H625&lt;&gt;"",COUNTIFS(tblCouriers[Courier],$H625,tblCouriers[Market],$B625)=0),"Courier not in this market","OK")))))))))))))))</f>
        <v>OK</v>
      </c>
    </row>
    <row r="626" customFormat="false" ht="15" hidden="false" customHeight="false" outlineLevel="0" collapsed="false">
      <c r="A626" s="27" t="n">
        <v>46241</v>
      </c>
      <c r="B626" s="26" t="s">
        <v>85</v>
      </c>
      <c r="C626" s="26" t="s">
        <v>144</v>
      </c>
      <c r="D626" s="26"/>
      <c r="E626" s="26" t="s">
        <v>106</v>
      </c>
      <c r="F626" s="28" t="n">
        <v>41</v>
      </c>
      <c r="G626" s="28" t="n">
        <v>6</v>
      </c>
      <c r="H626" s="26" t="s">
        <v>96</v>
      </c>
      <c r="I626" s="26"/>
      <c r="J626" s="26"/>
      <c r="K626" s="29" t="str">
        <f aca="false">IF($A626="","",IF(COUNTIFS(tblMoveTypes[Movement],$E626)=0,"Unknown movement type",IF(COUNTIF(tblShipment[Shipment ID],$C626)=0,"Unknown shipment",IF(COUNTIFS(tblShipment[Shipment ID],$C626,tblShipment[Market],$B626)=0,"Market does not match shipment",IF(AND(IFERROR(INDEX(tblMoveTypes[Item?],MATCH($E626,tblMoveTypes[Movement],0)),"?")="Yes",$D626=""),"Item needed",IF(AND(IFERROR(INDEX(tblMoveTypes[Item?],MATCH($E626,tblMoveTypes[Movement],0)),"?")="No",$D626&lt;&gt;""),"Leave Item blank",IF(AND(IFERROR(INDEX(tblMoveTypes[Courier?],MATCH($E626,tblMoveTypes[Movement],0)),"?")="Yes",$H626=""),"Courier needed",IF(AND(IFERROR(INDEX(tblMoveTypes[Courier?],MATCH($E626,tblMoveTypes[Movement],0)),"?")="No",$H626&lt;&gt;""),"Leave Courier blank",IF(AND(IFERROR(INDEX(tblMoveTypes[Orders?],MATCH($E626,tblMoveTypes[Movement],0)),"?")="Yes",$G626=""),"Orders needed",IF(AND(IFERROR(INDEX(tblMoveTypes[Orders?],MATCH($E626,tblMoveTypes[Movement],0)),"?")="No",$G626&lt;&gt;""),"Leave Orders blank",IF(AND(IFERROR(INDEX(tblMoveTypes[Reason?],MATCH($E626,tblMoveTypes[Movement],0)),"?")="Yes",$I626=""),"Reason needed",IF(AND(IFERROR(INDEX(tblMoveTypes[Qty?],MATCH($E626,tblMoveTypes[Movement],0)),"?")="Yes",N($F626)&lt;=0),"Qty needed",IF($A626&lt;_xlfn.MINIFS(tblShipment[Arrival Date],tblShipment[Shipment ID],$C626),"Date before arrival",IF(AND($D626&lt;&gt;"",COUNTIFS(tblShipment[Shipment ID],$C626,tblShipment[Item Code],$D626)=0),"Item not in this shipment",IF(AND($H626&lt;&gt;"",COUNTIFS(tblCouriers[Courier],$H626,tblCouriers[Market],$B626)=0),"Courier not in this market","OK")))))))))))))))</f>
        <v>OK</v>
      </c>
    </row>
    <row r="627" customFormat="false" ht="15" hidden="false" customHeight="false" outlineLevel="0" collapsed="false">
      <c r="A627" s="27" t="n">
        <v>46241</v>
      </c>
      <c r="B627" s="26" t="s">
        <v>90</v>
      </c>
      <c r="C627" s="26" t="s">
        <v>150</v>
      </c>
      <c r="D627" s="26"/>
      <c r="E627" s="26" t="s">
        <v>106</v>
      </c>
      <c r="F627" s="28" t="n">
        <v>15</v>
      </c>
      <c r="G627" s="28" t="n">
        <v>2</v>
      </c>
      <c r="H627" s="26" t="s">
        <v>101</v>
      </c>
      <c r="I627" s="26"/>
      <c r="J627" s="26"/>
      <c r="K627" s="29" t="str">
        <f aca="false">IF($A627="","",IF(COUNTIFS(tblMoveTypes[Movement],$E627)=0,"Unknown movement type",IF(COUNTIF(tblShipment[Shipment ID],$C627)=0,"Unknown shipment",IF(COUNTIFS(tblShipment[Shipment ID],$C627,tblShipment[Market],$B627)=0,"Market does not match shipment",IF(AND(IFERROR(INDEX(tblMoveTypes[Item?],MATCH($E627,tblMoveTypes[Movement],0)),"?")="Yes",$D627=""),"Item needed",IF(AND(IFERROR(INDEX(tblMoveTypes[Item?],MATCH($E627,tblMoveTypes[Movement],0)),"?")="No",$D627&lt;&gt;""),"Leave Item blank",IF(AND(IFERROR(INDEX(tblMoveTypes[Courier?],MATCH($E627,tblMoveTypes[Movement],0)),"?")="Yes",$H627=""),"Courier needed",IF(AND(IFERROR(INDEX(tblMoveTypes[Courier?],MATCH($E627,tblMoveTypes[Movement],0)),"?")="No",$H627&lt;&gt;""),"Leave Courier blank",IF(AND(IFERROR(INDEX(tblMoveTypes[Orders?],MATCH($E627,tblMoveTypes[Movement],0)),"?")="Yes",$G627=""),"Orders needed",IF(AND(IFERROR(INDEX(tblMoveTypes[Orders?],MATCH($E627,tblMoveTypes[Movement],0)),"?")="No",$G627&lt;&gt;""),"Leave Orders blank",IF(AND(IFERROR(INDEX(tblMoveTypes[Reason?],MATCH($E627,tblMoveTypes[Movement],0)),"?")="Yes",$I627=""),"Reason needed",IF(AND(IFERROR(INDEX(tblMoveTypes[Qty?],MATCH($E627,tblMoveTypes[Movement],0)),"?")="Yes",N($F627)&lt;=0),"Qty needed",IF($A627&lt;_xlfn.MINIFS(tblShipment[Arrival Date],tblShipment[Shipment ID],$C627),"Date before arrival",IF(AND($D627&lt;&gt;"",COUNTIFS(tblShipment[Shipment ID],$C627,tblShipment[Item Code],$D627)=0),"Item not in this shipment",IF(AND($H627&lt;&gt;"",COUNTIFS(tblCouriers[Courier],$H627,tblCouriers[Market],$B627)=0),"Courier not in this market","OK")))))))))))))))</f>
        <v>OK</v>
      </c>
    </row>
    <row r="628" customFormat="false" ht="15" hidden="false" customHeight="false" outlineLevel="0" collapsed="false">
      <c r="A628" s="27" t="n">
        <v>46241</v>
      </c>
      <c r="B628" s="26" t="s">
        <v>78</v>
      </c>
      <c r="C628" s="26" t="s">
        <v>135</v>
      </c>
      <c r="D628" s="26"/>
      <c r="E628" s="26" t="s">
        <v>106</v>
      </c>
      <c r="F628" s="28" t="n">
        <v>30</v>
      </c>
      <c r="G628" s="28" t="n">
        <v>5</v>
      </c>
      <c r="H628" s="26" t="s">
        <v>79</v>
      </c>
      <c r="I628" s="26"/>
      <c r="J628" s="26"/>
      <c r="K628" s="29" t="str">
        <f aca="false">IF($A628="","",IF(COUNTIFS(tblMoveTypes[Movement],$E628)=0,"Unknown movement type",IF(COUNTIF(tblShipment[Shipment ID],$C628)=0,"Unknown shipment",IF(COUNTIFS(tblShipment[Shipment ID],$C628,tblShipment[Market],$B628)=0,"Market does not match shipment",IF(AND(IFERROR(INDEX(tblMoveTypes[Item?],MATCH($E628,tblMoveTypes[Movement],0)),"?")="Yes",$D628=""),"Item needed",IF(AND(IFERROR(INDEX(tblMoveTypes[Item?],MATCH($E628,tblMoveTypes[Movement],0)),"?")="No",$D628&lt;&gt;""),"Leave Item blank",IF(AND(IFERROR(INDEX(tblMoveTypes[Courier?],MATCH($E628,tblMoveTypes[Movement],0)),"?")="Yes",$H628=""),"Courier needed",IF(AND(IFERROR(INDEX(tblMoveTypes[Courier?],MATCH($E628,tblMoveTypes[Movement],0)),"?")="No",$H628&lt;&gt;""),"Leave Courier blank",IF(AND(IFERROR(INDEX(tblMoveTypes[Orders?],MATCH($E628,tblMoveTypes[Movement],0)),"?")="Yes",$G628=""),"Orders needed",IF(AND(IFERROR(INDEX(tblMoveTypes[Orders?],MATCH($E628,tblMoveTypes[Movement],0)),"?")="No",$G628&lt;&gt;""),"Leave Orders blank",IF(AND(IFERROR(INDEX(tblMoveTypes[Reason?],MATCH($E628,tblMoveTypes[Movement],0)),"?")="Yes",$I628=""),"Reason needed",IF(AND(IFERROR(INDEX(tblMoveTypes[Qty?],MATCH($E628,tblMoveTypes[Movement],0)),"?")="Yes",N($F628)&lt;=0),"Qty needed",IF($A628&lt;_xlfn.MINIFS(tblShipment[Arrival Date],tblShipment[Shipment ID],$C628),"Date before arrival",IF(AND($D628&lt;&gt;"",COUNTIFS(tblShipment[Shipment ID],$C628,tblShipment[Item Code],$D628)=0),"Item not in this shipment",IF(AND($H628&lt;&gt;"",COUNTIFS(tblCouriers[Courier],$H628,tblCouriers[Market],$B628)=0),"Courier not in this market","OK")))))))))))))))</f>
        <v>OK</v>
      </c>
    </row>
    <row r="629" customFormat="false" ht="15" hidden="false" customHeight="false" outlineLevel="0" collapsed="false">
      <c r="A629" s="27" t="n">
        <v>46241</v>
      </c>
      <c r="B629" s="26" t="s">
        <v>78</v>
      </c>
      <c r="C629" s="26" t="s">
        <v>135</v>
      </c>
      <c r="D629" s="26"/>
      <c r="E629" s="26" t="s">
        <v>106</v>
      </c>
      <c r="F629" s="28" t="n">
        <v>2</v>
      </c>
      <c r="G629" s="28" t="n">
        <v>1</v>
      </c>
      <c r="H629" s="26" t="s">
        <v>79</v>
      </c>
      <c r="I629" s="26"/>
      <c r="J629" s="26"/>
      <c r="K629" s="29" t="str">
        <f aca="false">IF($A629="","",IF(COUNTIFS(tblMoveTypes[Movement],$E629)=0,"Unknown movement type",IF(COUNTIF(tblShipment[Shipment ID],$C629)=0,"Unknown shipment",IF(COUNTIFS(tblShipment[Shipment ID],$C629,tblShipment[Market],$B629)=0,"Market does not match shipment",IF(AND(IFERROR(INDEX(tblMoveTypes[Item?],MATCH($E629,tblMoveTypes[Movement],0)),"?")="Yes",$D629=""),"Item needed",IF(AND(IFERROR(INDEX(tblMoveTypes[Item?],MATCH($E629,tblMoveTypes[Movement],0)),"?")="No",$D629&lt;&gt;""),"Leave Item blank",IF(AND(IFERROR(INDEX(tblMoveTypes[Courier?],MATCH($E629,tblMoveTypes[Movement],0)),"?")="Yes",$H629=""),"Courier needed",IF(AND(IFERROR(INDEX(tblMoveTypes[Courier?],MATCH($E629,tblMoveTypes[Movement],0)),"?")="No",$H629&lt;&gt;""),"Leave Courier blank",IF(AND(IFERROR(INDEX(tblMoveTypes[Orders?],MATCH($E629,tblMoveTypes[Movement],0)),"?")="Yes",$G629=""),"Orders needed",IF(AND(IFERROR(INDEX(tblMoveTypes[Orders?],MATCH($E629,tblMoveTypes[Movement],0)),"?")="No",$G629&lt;&gt;""),"Leave Orders blank",IF(AND(IFERROR(INDEX(tblMoveTypes[Reason?],MATCH($E629,tblMoveTypes[Movement],0)),"?")="Yes",$I629=""),"Reason needed",IF(AND(IFERROR(INDEX(tblMoveTypes[Qty?],MATCH($E629,tblMoveTypes[Movement],0)),"?")="Yes",N($F629)&lt;=0),"Qty needed",IF($A629&lt;_xlfn.MINIFS(tblShipment[Arrival Date],tblShipment[Shipment ID],$C629),"Date before arrival",IF(AND($D629&lt;&gt;"",COUNTIFS(tblShipment[Shipment ID],$C629,tblShipment[Item Code],$D629)=0),"Item not in this shipment",IF(AND($H629&lt;&gt;"",COUNTIFS(tblCouriers[Courier],$H629,tblCouriers[Market],$B629)=0),"Courier not in this market","OK")))))))))))))))</f>
        <v>OK</v>
      </c>
    </row>
    <row r="630" customFormat="false" ht="15" hidden="false" customHeight="false" outlineLevel="0" collapsed="false">
      <c r="A630" s="27" t="n">
        <v>46241</v>
      </c>
      <c r="B630" s="26" t="s">
        <v>78</v>
      </c>
      <c r="C630" s="26" t="s">
        <v>135</v>
      </c>
      <c r="D630" s="26"/>
      <c r="E630" s="26" t="s">
        <v>106</v>
      </c>
      <c r="F630" s="28" t="n">
        <v>8</v>
      </c>
      <c r="G630" s="28" t="n">
        <v>1</v>
      </c>
      <c r="H630" s="26" t="s">
        <v>79</v>
      </c>
      <c r="I630" s="26"/>
      <c r="J630" s="26"/>
      <c r="K630" s="29" t="str">
        <f aca="false">IF($A630="","",IF(COUNTIFS(tblMoveTypes[Movement],$E630)=0,"Unknown movement type",IF(COUNTIF(tblShipment[Shipment ID],$C630)=0,"Unknown shipment",IF(COUNTIFS(tblShipment[Shipment ID],$C630,tblShipment[Market],$B630)=0,"Market does not match shipment",IF(AND(IFERROR(INDEX(tblMoveTypes[Item?],MATCH($E630,tblMoveTypes[Movement],0)),"?")="Yes",$D630=""),"Item needed",IF(AND(IFERROR(INDEX(tblMoveTypes[Item?],MATCH($E630,tblMoveTypes[Movement],0)),"?")="No",$D630&lt;&gt;""),"Leave Item blank",IF(AND(IFERROR(INDEX(tblMoveTypes[Courier?],MATCH($E630,tblMoveTypes[Movement],0)),"?")="Yes",$H630=""),"Courier needed",IF(AND(IFERROR(INDEX(tblMoveTypes[Courier?],MATCH($E630,tblMoveTypes[Movement],0)),"?")="No",$H630&lt;&gt;""),"Leave Courier blank",IF(AND(IFERROR(INDEX(tblMoveTypes[Orders?],MATCH($E630,tblMoveTypes[Movement],0)),"?")="Yes",$G630=""),"Orders needed",IF(AND(IFERROR(INDEX(tblMoveTypes[Orders?],MATCH($E630,tblMoveTypes[Movement],0)),"?")="No",$G630&lt;&gt;""),"Leave Orders blank",IF(AND(IFERROR(INDEX(tblMoveTypes[Reason?],MATCH($E630,tblMoveTypes[Movement],0)),"?")="Yes",$I630=""),"Reason needed",IF(AND(IFERROR(INDEX(tblMoveTypes[Qty?],MATCH($E630,tblMoveTypes[Movement],0)),"?")="Yes",N($F630)&lt;=0),"Qty needed",IF($A630&lt;_xlfn.MINIFS(tblShipment[Arrival Date],tblShipment[Shipment ID],$C630),"Date before arrival",IF(AND($D630&lt;&gt;"",COUNTIFS(tblShipment[Shipment ID],$C630,tblShipment[Item Code],$D630)=0),"Item not in this shipment",IF(AND($H630&lt;&gt;"",COUNTIFS(tblCouriers[Courier],$H630,tblCouriers[Market],$B630)=0),"Courier not in this market","OK")))))))))))))))</f>
        <v>OK</v>
      </c>
    </row>
    <row r="631" customFormat="false" ht="15" hidden="false" customHeight="false" outlineLevel="0" collapsed="false">
      <c r="A631" s="27" t="n">
        <v>46241</v>
      </c>
      <c r="B631" s="26" t="s">
        <v>78</v>
      </c>
      <c r="C631" s="26" t="s">
        <v>136</v>
      </c>
      <c r="D631" s="26"/>
      <c r="E631" s="26" t="s">
        <v>106</v>
      </c>
      <c r="F631" s="28" t="n">
        <v>44</v>
      </c>
      <c r="G631" s="28" t="n">
        <v>6</v>
      </c>
      <c r="H631" s="26" t="s">
        <v>79</v>
      </c>
      <c r="I631" s="26"/>
      <c r="J631" s="26"/>
      <c r="K631" s="29" t="str">
        <f aca="false">IF($A631="","",IF(COUNTIFS(tblMoveTypes[Movement],$E631)=0,"Unknown movement type",IF(COUNTIF(tblShipment[Shipment ID],$C631)=0,"Unknown shipment",IF(COUNTIFS(tblShipment[Shipment ID],$C631,tblShipment[Market],$B631)=0,"Market does not match shipment",IF(AND(IFERROR(INDEX(tblMoveTypes[Item?],MATCH($E631,tblMoveTypes[Movement],0)),"?")="Yes",$D631=""),"Item needed",IF(AND(IFERROR(INDEX(tblMoveTypes[Item?],MATCH($E631,tblMoveTypes[Movement],0)),"?")="No",$D631&lt;&gt;""),"Leave Item blank",IF(AND(IFERROR(INDEX(tblMoveTypes[Courier?],MATCH($E631,tblMoveTypes[Movement],0)),"?")="Yes",$H631=""),"Courier needed",IF(AND(IFERROR(INDEX(tblMoveTypes[Courier?],MATCH($E631,tblMoveTypes[Movement],0)),"?")="No",$H631&lt;&gt;""),"Leave Courier blank",IF(AND(IFERROR(INDEX(tblMoveTypes[Orders?],MATCH($E631,tblMoveTypes[Movement],0)),"?")="Yes",$G631=""),"Orders needed",IF(AND(IFERROR(INDEX(tblMoveTypes[Orders?],MATCH($E631,tblMoveTypes[Movement],0)),"?")="No",$G631&lt;&gt;""),"Leave Orders blank",IF(AND(IFERROR(INDEX(tblMoveTypes[Reason?],MATCH($E631,tblMoveTypes[Movement],0)),"?")="Yes",$I631=""),"Reason needed",IF(AND(IFERROR(INDEX(tblMoveTypes[Qty?],MATCH($E631,tblMoveTypes[Movement],0)),"?")="Yes",N($F631)&lt;=0),"Qty needed",IF($A631&lt;_xlfn.MINIFS(tblShipment[Arrival Date],tblShipment[Shipment ID],$C631),"Date before arrival",IF(AND($D631&lt;&gt;"",COUNTIFS(tblShipment[Shipment ID],$C631,tblShipment[Item Code],$D631)=0),"Item not in this shipment",IF(AND($H631&lt;&gt;"",COUNTIFS(tblCouriers[Courier],$H631,tblCouriers[Market],$B631)=0),"Courier not in this market","OK")))))))))))))))</f>
        <v>OK</v>
      </c>
    </row>
    <row r="632" customFormat="false" ht="15" hidden="false" customHeight="false" outlineLevel="0" collapsed="false">
      <c r="A632" s="27" t="n">
        <v>46242</v>
      </c>
      <c r="B632" s="26" t="s">
        <v>70</v>
      </c>
      <c r="C632" s="26" t="s">
        <v>127</v>
      </c>
      <c r="D632" s="26"/>
      <c r="E632" s="26" t="s">
        <v>106</v>
      </c>
      <c r="F632" s="28" t="n">
        <v>31</v>
      </c>
      <c r="G632" s="28" t="n">
        <v>5</v>
      </c>
      <c r="H632" s="26" t="s">
        <v>71</v>
      </c>
      <c r="I632" s="26"/>
      <c r="J632" s="26"/>
      <c r="K632" s="29" t="str">
        <f aca="false">IF($A632="","",IF(COUNTIFS(tblMoveTypes[Movement],$E632)=0,"Unknown movement type",IF(COUNTIF(tblShipment[Shipment ID],$C632)=0,"Unknown shipment",IF(COUNTIFS(tblShipment[Shipment ID],$C632,tblShipment[Market],$B632)=0,"Market does not match shipment",IF(AND(IFERROR(INDEX(tblMoveTypes[Item?],MATCH($E632,tblMoveTypes[Movement],0)),"?")="Yes",$D632=""),"Item needed",IF(AND(IFERROR(INDEX(tblMoveTypes[Item?],MATCH($E632,tblMoveTypes[Movement],0)),"?")="No",$D632&lt;&gt;""),"Leave Item blank",IF(AND(IFERROR(INDEX(tblMoveTypes[Courier?],MATCH($E632,tblMoveTypes[Movement],0)),"?")="Yes",$H632=""),"Courier needed",IF(AND(IFERROR(INDEX(tblMoveTypes[Courier?],MATCH($E632,tblMoveTypes[Movement],0)),"?")="No",$H632&lt;&gt;""),"Leave Courier blank",IF(AND(IFERROR(INDEX(tblMoveTypes[Orders?],MATCH($E632,tblMoveTypes[Movement],0)),"?")="Yes",$G632=""),"Orders needed",IF(AND(IFERROR(INDEX(tblMoveTypes[Orders?],MATCH($E632,tblMoveTypes[Movement],0)),"?")="No",$G632&lt;&gt;""),"Leave Orders blank",IF(AND(IFERROR(INDEX(tblMoveTypes[Reason?],MATCH($E632,tblMoveTypes[Movement],0)),"?")="Yes",$I632=""),"Reason needed",IF(AND(IFERROR(INDEX(tblMoveTypes[Qty?],MATCH($E632,tblMoveTypes[Movement],0)),"?")="Yes",N($F632)&lt;=0),"Qty needed",IF($A632&lt;_xlfn.MINIFS(tblShipment[Arrival Date],tblShipment[Shipment ID],$C632),"Date before arrival",IF(AND($D632&lt;&gt;"",COUNTIFS(tblShipment[Shipment ID],$C632,tblShipment[Item Code],$D632)=0),"Item not in this shipment",IF(AND($H632&lt;&gt;"",COUNTIFS(tblCouriers[Courier],$H632,tblCouriers[Market],$B632)=0),"Courier not in this market","OK")))))))))))))))</f>
        <v>OK</v>
      </c>
    </row>
    <row r="633" customFormat="false" ht="15" hidden="false" customHeight="false" outlineLevel="0" collapsed="false">
      <c r="A633" s="27" t="n">
        <v>46242</v>
      </c>
      <c r="B633" s="26" t="s">
        <v>70</v>
      </c>
      <c r="C633" s="26" t="s">
        <v>127</v>
      </c>
      <c r="D633" s="26"/>
      <c r="E633" s="26" t="s">
        <v>108</v>
      </c>
      <c r="F633" s="28" t="n">
        <v>12</v>
      </c>
      <c r="G633" s="28" t="n">
        <v>1</v>
      </c>
      <c r="H633" s="26" t="s">
        <v>71</v>
      </c>
      <c r="I633" s="26" t="s">
        <v>111</v>
      </c>
      <c r="J633" s="26"/>
      <c r="K633" s="29" t="str">
        <f aca="false">IF($A633="","",IF(COUNTIFS(tblMoveTypes[Movement],$E633)=0,"Unknown movement type",IF(COUNTIF(tblShipment[Shipment ID],$C633)=0,"Unknown shipment",IF(COUNTIFS(tblShipment[Shipment ID],$C633,tblShipment[Market],$B633)=0,"Market does not match shipment",IF(AND(IFERROR(INDEX(tblMoveTypes[Item?],MATCH($E633,tblMoveTypes[Movement],0)),"?")="Yes",$D633=""),"Item needed",IF(AND(IFERROR(INDEX(tblMoveTypes[Item?],MATCH($E633,tblMoveTypes[Movement],0)),"?")="No",$D633&lt;&gt;""),"Leave Item blank",IF(AND(IFERROR(INDEX(tblMoveTypes[Courier?],MATCH($E633,tblMoveTypes[Movement],0)),"?")="Yes",$H633=""),"Courier needed",IF(AND(IFERROR(INDEX(tblMoveTypes[Courier?],MATCH($E633,tblMoveTypes[Movement],0)),"?")="No",$H633&lt;&gt;""),"Leave Courier blank",IF(AND(IFERROR(INDEX(tblMoveTypes[Orders?],MATCH($E633,tblMoveTypes[Movement],0)),"?")="Yes",$G633=""),"Orders needed",IF(AND(IFERROR(INDEX(tblMoveTypes[Orders?],MATCH($E633,tblMoveTypes[Movement],0)),"?")="No",$G633&lt;&gt;""),"Leave Orders blank",IF(AND(IFERROR(INDEX(tblMoveTypes[Reason?],MATCH($E633,tblMoveTypes[Movement],0)),"?")="Yes",$I633=""),"Reason needed",IF(AND(IFERROR(INDEX(tblMoveTypes[Qty?],MATCH($E633,tblMoveTypes[Movement],0)),"?")="Yes",N($F633)&lt;=0),"Qty needed",IF($A633&lt;_xlfn.MINIFS(tblShipment[Arrival Date],tblShipment[Shipment ID],$C633),"Date before arrival",IF(AND($D633&lt;&gt;"",COUNTIFS(tblShipment[Shipment ID],$C633,tblShipment[Item Code],$D633)=0),"Item not in this shipment",IF(AND($H633&lt;&gt;"",COUNTIFS(tblCouriers[Courier],$H633,tblCouriers[Market],$B633)=0),"Courier not in this market","OK")))))))))))))))</f>
        <v>OK</v>
      </c>
    </row>
    <row r="634" customFormat="false" ht="15" hidden="false" customHeight="false" outlineLevel="0" collapsed="false">
      <c r="A634" s="27" t="n">
        <v>46242</v>
      </c>
      <c r="B634" s="26" t="s">
        <v>70</v>
      </c>
      <c r="C634" s="26" t="s">
        <v>127</v>
      </c>
      <c r="D634" s="26" t="s">
        <v>94</v>
      </c>
      <c r="E634" s="26" t="s">
        <v>110</v>
      </c>
      <c r="F634" s="28" t="n">
        <v>8</v>
      </c>
      <c r="G634" s="28"/>
      <c r="H634" s="26"/>
      <c r="I634" s="26"/>
      <c r="J634" s="26"/>
      <c r="K634" s="29" t="str">
        <f aca="false">IF($A634="","",IF(COUNTIFS(tblMoveTypes[Movement],$E634)=0,"Unknown movement type",IF(COUNTIF(tblShipment[Shipment ID],$C634)=0,"Unknown shipment",IF(COUNTIFS(tblShipment[Shipment ID],$C634,tblShipment[Market],$B634)=0,"Market does not match shipment",IF(AND(IFERROR(INDEX(tblMoveTypes[Item?],MATCH($E634,tblMoveTypes[Movement],0)),"?")="Yes",$D634=""),"Item needed",IF(AND(IFERROR(INDEX(tblMoveTypes[Item?],MATCH($E634,tblMoveTypes[Movement],0)),"?")="No",$D634&lt;&gt;""),"Leave Item blank",IF(AND(IFERROR(INDEX(tblMoveTypes[Courier?],MATCH($E634,tblMoveTypes[Movement],0)),"?")="Yes",$H634=""),"Courier needed",IF(AND(IFERROR(INDEX(tblMoveTypes[Courier?],MATCH($E634,tblMoveTypes[Movement],0)),"?")="No",$H634&lt;&gt;""),"Leave Courier blank",IF(AND(IFERROR(INDEX(tblMoveTypes[Orders?],MATCH($E634,tblMoveTypes[Movement],0)),"?")="Yes",$G634=""),"Orders needed",IF(AND(IFERROR(INDEX(tblMoveTypes[Orders?],MATCH($E634,tblMoveTypes[Movement],0)),"?")="No",$G634&lt;&gt;""),"Leave Orders blank",IF(AND(IFERROR(INDEX(tblMoveTypes[Reason?],MATCH($E634,tblMoveTypes[Movement],0)),"?")="Yes",$I634=""),"Reason needed",IF(AND(IFERROR(INDEX(tblMoveTypes[Qty?],MATCH($E634,tblMoveTypes[Movement],0)),"?")="Yes",N($F634)&lt;=0),"Qty needed",IF($A634&lt;_xlfn.MINIFS(tblShipment[Arrival Date],tblShipment[Shipment ID],$C634),"Date before arrival",IF(AND($D634&lt;&gt;"",COUNTIFS(tblShipment[Shipment ID],$C634,tblShipment[Item Code],$D634)=0),"Item not in this shipment",IF(AND($H634&lt;&gt;"",COUNTIFS(tblCouriers[Courier],$H634,tblCouriers[Market],$B634)=0),"Courier not in this market","OK")))))))))))))))</f>
        <v>OK</v>
      </c>
    </row>
    <row r="635" customFormat="false" ht="15" hidden="false" customHeight="false" outlineLevel="0" collapsed="false">
      <c r="A635" s="27" t="n">
        <v>46242</v>
      </c>
      <c r="B635" s="26" t="s">
        <v>70</v>
      </c>
      <c r="C635" s="26" t="s">
        <v>127</v>
      </c>
      <c r="D635" s="26" t="s">
        <v>94</v>
      </c>
      <c r="E635" s="26" t="s">
        <v>112</v>
      </c>
      <c r="F635" s="28" t="n">
        <v>4</v>
      </c>
      <c r="G635" s="28"/>
      <c r="H635" s="26"/>
      <c r="I635" s="26" t="s">
        <v>72</v>
      </c>
      <c r="J635" s="26"/>
      <c r="K635" s="29" t="str">
        <f aca="false">IF($A635="","",IF(COUNTIFS(tblMoveTypes[Movement],$E635)=0,"Unknown movement type",IF(COUNTIF(tblShipment[Shipment ID],$C635)=0,"Unknown shipment",IF(COUNTIFS(tblShipment[Shipment ID],$C635,tblShipment[Market],$B635)=0,"Market does not match shipment",IF(AND(IFERROR(INDEX(tblMoveTypes[Item?],MATCH($E635,tblMoveTypes[Movement],0)),"?")="Yes",$D635=""),"Item needed",IF(AND(IFERROR(INDEX(tblMoveTypes[Item?],MATCH($E635,tblMoveTypes[Movement],0)),"?")="No",$D635&lt;&gt;""),"Leave Item blank",IF(AND(IFERROR(INDEX(tblMoveTypes[Courier?],MATCH($E635,tblMoveTypes[Movement],0)),"?")="Yes",$H635=""),"Courier needed",IF(AND(IFERROR(INDEX(tblMoveTypes[Courier?],MATCH($E635,tblMoveTypes[Movement],0)),"?")="No",$H635&lt;&gt;""),"Leave Courier blank",IF(AND(IFERROR(INDEX(tblMoveTypes[Orders?],MATCH($E635,tblMoveTypes[Movement],0)),"?")="Yes",$G635=""),"Orders needed",IF(AND(IFERROR(INDEX(tblMoveTypes[Orders?],MATCH($E635,tblMoveTypes[Movement],0)),"?")="No",$G635&lt;&gt;""),"Leave Orders blank",IF(AND(IFERROR(INDEX(tblMoveTypes[Reason?],MATCH($E635,tblMoveTypes[Movement],0)),"?")="Yes",$I635=""),"Reason needed",IF(AND(IFERROR(INDEX(tblMoveTypes[Qty?],MATCH($E635,tblMoveTypes[Movement],0)),"?")="Yes",N($F635)&lt;=0),"Qty needed",IF($A635&lt;_xlfn.MINIFS(tblShipment[Arrival Date],tblShipment[Shipment ID],$C635),"Date before arrival",IF(AND($D635&lt;&gt;"",COUNTIFS(tblShipment[Shipment ID],$C635,tblShipment[Item Code],$D635)=0),"Item not in this shipment",IF(AND($H635&lt;&gt;"",COUNTIFS(tblCouriers[Courier],$H635,tblCouriers[Market],$B635)=0),"Courier not in this market","OK")))))))))))))))</f>
        <v>OK</v>
      </c>
    </row>
    <row r="636" customFormat="false" ht="15" hidden="false" customHeight="false" outlineLevel="0" collapsed="false">
      <c r="A636" s="27" t="n">
        <v>46242</v>
      </c>
      <c r="B636" s="26" t="s">
        <v>70</v>
      </c>
      <c r="C636" s="26" t="s">
        <v>127</v>
      </c>
      <c r="D636" s="26" t="s">
        <v>94</v>
      </c>
      <c r="E636" s="26" t="s">
        <v>93</v>
      </c>
      <c r="F636" s="28" t="n">
        <v>6</v>
      </c>
      <c r="G636" s="28"/>
      <c r="H636" s="26" t="s">
        <v>71</v>
      </c>
      <c r="I636" s="26"/>
      <c r="J636" s="26"/>
      <c r="K636" s="29" t="str">
        <f aca="false">IF($A636="","",IF(COUNTIFS(tblMoveTypes[Movement],$E636)=0,"Unknown movement type",IF(COUNTIF(tblShipment[Shipment ID],$C636)=0,"Unknown shipment",IF(COUNTIFS(tblShipment[Shipment ID],$C636,tblShipment[Market],$B636)=0,"Market does not match shipment",IF(AND(IFERROR(INDEX(tblMoveTypes[Item?],MATCH($E636,tblMoveTypes[Movement],0)),"?")="Yes",$D636=""),"Item needed",IF(AND(IFERROR(INDEX(tblMoveTypes[Item?],MATCH($E636,tblMoveTypes[Movement],0)),"?")="No",$D636&lt;&gt;""),"Leave Item blank",IF(AND(IFERROR(INDEX(tblMoveTypes[Courier?],MATCH($E636,tblMoveTypes[Movement],0)),"?")="Yes",$H636=""),"Courier needed",IF(AND(IFERROR(INDEX(tblMoveTypes[Courier?],MATCH($E636,tblMoveTypes[Movement],0)),"?")="No",$H636&lt;&gt;""),"Leave Courier blank",IF(AND(IFERROR(INDEX(tblMoveTypes[Orders?],MATCH($E636,tblMoveTypes[Movement],0)),"?")="Yes",$G636=""),"Orders needed",IF(AND(IFERROR(INDEX(tblMoveTypes[Orders?],MATCH($E636,tblMoveTypes[Movement],0)),"?")="No",$G636&lt;&gt;""),"Leave Orders blank",IF(AND(IFERROR(INDEX(tblMoveTypes[Reason?],MATCH($E636,tblMoveTypes[Movement],0)),"?")="Yes",$I636=""),"Reason needed",IF(AND(IFERROR(INDEX(tblMoveTypes[Qty?],MATCH($E636,tblMoveTypes[Movement],0)),"?")="Yes",N($F636)&lt;=0),"Qty needed",IF($A636&lt;_xlfn.MINIFS(tblShipment[Arrival Date],tblShipment[Shipment ID],$C636),"Date before arrival",IF(AND($D636&lt;&gt;"",COUNTIFS(tblShipment[Shipment ID],$C636,tblShipment[Item Code],$D636)=0),"Item not in this shipment",IF(AND($H636&lt;&gt;"",COUNTIFS(tblCouriers[Courier],$H636,tblCouriers[Market],$B636)=0),"Courier not in this market","OK")))))))))))))))</f>
        <v>OK</v>
      </c>
    </row>
    <row r="637" customFormat="false" ht="15" hidden="false" customHeight="false" outlineLevel="0" collapsed="false">
      <c r="A637" s="27" t="n">
        <v>46242</v>
      </c>
      <c r="B637" s="26" t="s">
        <v>70</v>
      </c>
      <c r="C637" s="26" t="s">
        <v>127</v>
      </c>
      <c r="D637" s="26"/>
      <c r="E637" s="26" t="s">
        <v>104</v>
      </c>
      <c r="F637" s="28"/>
      <c r="G637" s="28" t="n">
        <v>1</v>
      </c>
      <c r="H637" s="26" t="s">
        <v>71</v>
      </c>
      <c r="I637" s="26"/>
      <c r="J637" s="26"/>
      <c r="K637" s="29" t="str">
        <f aca="false">IF($A637="","",IF(COUNTIFS(tblMoveTypes[Movement],$E637)=0,"Unknown movement type",IF(COUNTIF(tblShipment[Shipment ID],$C637)=0,"Unknown shipment",IF(COUNTIFS(tblShipment[Shipment ID],$C637,tblShipment[Market],$B637)=0,"Market does not match shipment",IF(AND(IFERROR(INDEX(tblMoveTypes[Item?],MATCH($E637,tblMoveTypes[Movement],0)),"?")="Yes",$D637=""),"Item needed",IF(AND(IFERROR(INDEX(tblMoveTypes[Item?],MATCH($E637,tblMoveTypes[Movement],0)),"?")="No",$D637&lt;&gt;""),"Leave Item blank",IF(AND(IFERROR(INDEX(tblMoveTypes[Courier?],MATCH($E637,tblMoveTypes[Movement],0)),"?")="Yes",$H637=""),"Courier needed",IF(AND(IFERROR(INDEX(tblMoveTypes[Courier?],MATCH($E637,tblMoveTypes[Movement],0)),"?")="No",$H637&lt;&gt;""),"Leave Courier blank",IF(AND(IFERROR(INDEX(tblMoveTypes[Orders?],MATCH($E637,tblMoveTypes[Movement],0)),"?")="Yes",$G637=""),"Orders needed",IF(AND(IFERROR(INDEX(tblMoveTypes[Orders?],MATCH($E637,tblMoveTypes[Movement],0)),"?")="No",$G637&lt;&gt;""),"Leave Orders blank",IF(AND(IFERROR(INDEX(tblMoveTypes[Reason?],MATCH($E637,tblMoveTypes[Movement],0)),"?")="Yes",$I637=""),"Reason needed",IF(AND(IFERROR(INDEX(tblMoveTypes[Qty?],MATCH($E637,tblMoveTypes[Movement],0)),"?")="Yes",N($F637)&lt;=0),"Qty needed",IF($A637&lt;_xlfn.MINIFS(tblShipment[Arrival Date],tblShipment[Shipment ID],$C637),"Date before arrival",IF(AND($D637&lt;&gt;"",COUNTIFS(tblShipment[Shipment ID],$C637,tblShipment[Item Code],$D637)=0),"Item not in this shipment",IF(AND($H637&lt;&gt;"",COUNTIFS(tblCouriers[Courier],$H637,tblCouriers[Market],$B637)=0),"Courier not in this market","OK")))))))))))))))</f>
        <v>OK</v>
      </c>
    </row>
    <row r="638" customFormat="false" ht="15" hidden="false" customHeight="false" outlineLevel="0" collapsed="false">
      <c r="A638" s="27" t="n">
        <v>46242</v>
      </c>
      <c r="B638" s="26" t="s">
        <v>70</v>
      </c>
      <c r="C638" s="26" t="s">
        <v>128</v>
      </c>
      <c r="D638" s="26"/>
      <c r="E638" s="26" t="s">
        <v>106</v>
      </c>
      <c r="F638" s="28" t="n">
        <v>99</v>
      </c>
      <c r="G638" s="28" t="n">
        <v>15</v>
      </c>
      <c r="H638" s="26" t="s">
        <v>71</v>
      </c>
      <c r="I638" s="26"/>
      <c r="J638" s="26"/>
      <c r="K638" s="29" t="str">
        <f aca="false">IF($A638="","",IF(COUNTIFS(tblMoveTypes[Movement],$E638)=0,"Unknown movement type",IF(COUNTIF(tblShipment[Shipment ID],$C638)=0,"Unknown shipment",IF(COUNTIFS(tblShipment[Shipment ID],$C638,tblShipment[Market],$B638)=0,"Market does not match shipment",IF(AND(IFERROR(INDEX(tblMoveTypes[Item?],MATCH($E638,tblMoveTypes[Movement],0)),"?")="Yes",$D638=""),"Item needed",IF(AND(IFERROR(INDEX(tblMoveTypes[Item?],MATCH($E638,tblMoveTypes[Movement],0)),"?")="No",$D638&lt;&gt;""),"Leave Item blank",IF(AND(IFERROR(INDEX(tblMoveTypes[Courier?],MATCH($E638,tblMoveTypes[Movement],0)),"?")="Yes",$H638=""),"Courier needed",IF(AND(IFERROR(INDEX(tblMoveTypes[Courier?],MATCH($E638,tblMoveTypes[Movement],0)),"?")="No",$H638&lt;&gt;""),"Leave Courier blank",IF(AND(IFERROR(INDEX(tblMoveTypes[Orders?],MATCH($E638,tblMoveTypes[Movement],0)),"?")="Yes",$G638=""),"Orders needed",IF(AND(IFERROR(INDEX(tblMoveTypes[Orders?],MATCH($E638,tblMoveTypes[Movement],0)),"?")="No",$G638&lt;&gt;""),"Leave Orders blank",IF(AND(IFERROR(INDEX(tblMoveTypes[Reason?],MATCH($E638,tblMoveTypes[Movement],0)),"?")="Yes",$I638=""),"Reason needed",IF(AND(IFERROR(INDEX(tblMoveTypes[Qty?],MATCH($E638,tblMoveTypes[Movement],0)),"?")="Yes",N($F638)&lt;=0),"Qty needed",IF($A638&lt;_xlfn.MINIFS(tblShipment[Arrival Date],tblShipment[Shipment ID],$C638),"Date before arrival",IF(AND($D638&lt;&gt;"",COUNTIFS(tblShipment[Shipment ID],$C638,tblShipment[Item Code],$D638)=0),"Item not in this shipment",IF(AND($H638&lt;&gt;"",COUNTIFS(tblCouriers[Courier],$H638,tblCouriers[Market],$B638)=0),"Courier not in this market","OK")))))))))))))))</f>
        <v>OK</v>
      </c>
    </row>
    <row r="639" customFormat="false" ht="15" hidden="false" customHeight="false" outlineLevel="0" collapsed="false">
      <c r="A639" s="27" t="n">
        <v>46242</v>
      </c>
      <c r="B639" s="26" t="s">
        <v>85</v>
      </c>
      <c r="C639" s="26" t="s">
        <v>143</v>
      </c>
      <c r="D639" s="26"/>
      <c r="E639" s="26" t="s">
        <v>106</v>
      </c>
      <c r="F639" s="28" t="n">
        <v>5</v>
      </c>
      <c r="G639" s="28" t="n">
        <v>1</v>
      </c>
      <c r="H639" s="26" t="s">
        <v>91</v>
      </c>
      <c r="I639" s="26"/>
      <c r="J639" s="26"/>
      <c r="K639" s="29" t="str">
        <f aca="false">IF($A639="","",IF(COUNTIFS(tblMoveTypes[Movement],$E639)=0,"Unknown movement type",IF(COUNTIF(tblShipment[Shipment ID],$C639)=0,"Unknown shipment",IF(COUNTIFS(tblShipment[Shipment ID],$C639,tblShipment[Market],$B639)=0,"Market does not match shipment",IF(AND(IFERROR(INDEX(tblMoveTypes[Item?],MATCH($E639,tblMoveTypes[Movement],0)),"?")="Yes",$D639=""),"Item needed",IF(AND(IFERROR(INDEX(tblMoveTypes[Item?],MATCH($E639,tblMoveTypes[Movement],0)),"?")="No",$D639&lt;&gt;""),"Leave Item blank",IF(AND(IFERROR(INDEX(tblMoveTypes[Courier?],MATCH($E639,tblMoveTypes[Movement],0)),"?")="Yes",$H639=""),"Courier needed",IF(AND(IFERROR(INDEX(tblMoveTypes[Courier?],MATCH($E639,tblMoveTypes[Movement],0)),"?")="No",$H639&lt;&gt;""),"Leave Courier blank",IF(AND(IFERROR(INDEX(tblMoveTypes[Orders?],MATCH($E639,tblMoveTypes[Movement],0)),"?")="Yes",$G639=""),"Orders needed",IF(AND(IFERROR(INDEX(tblMoveTypes[Orders?],MATCH($E639,tblMoveTypes[Movement],0)),"?")="No",$G639&lt;&gt;""),"Leave Orders blank",IF(AND(IFERROR(INDEX(tblMoveTypes[Reason?],MATCH($E639,tblMoveTypes[Movement],0)),"?")="Yes",$I639=""),"Reason needed",IF(AND(IFERROR(INDEX(tblMoveTypes[Qty?],MATCH($E639,tblMoveTypes[Movement],0)),"?")="Yes",N($F639)&lt;=0),"Qty needed",IF($A639&lt;_xlfn.MINIFS(tblShipment[Arrival Date],tblShipment[Shipment ID],$C639),"Date before arrival",IF(AND($D639&lt;&gt;"",COUNTIFS(tblShipment[Shipment ID],$C639,tblShipment[Item Code],$D639)=0),"Item not in this shipment",IF(AND($H639&lt;&gt;"",COUNTIFS(tblCouriers[Courier],$H639,tblCouriers[Market],$B639)=0),"Courier not in this market","OK")))))))))))))))</f>
        <v>OK</v>
      </c>
    </row>
    <row r="640" customFormat="false" ht="15" hidden="false" customHeight="false" outlineLevel="0" collapsed="false">
      <c r="A640" s="27" t="n">
        <v>46242</v>
      </c>
      <c r="B640" s="26" t="s">
        <v>85</v>
      </c>
      <c r="C640" s="26" t="s">
        <v>144</v>
      </c>
      <c r="D640" s="26"/>
      <c r="E640" s="26" t="s">
        <v>106</v>
      </c>
      <c r="F640" s="28" t="n">
        <v>78</v>
      </c>
      <c r="G640" s="28" t="n">
        <v>11</v>
      </c>
      <c r="H640" s="26" t="s">
        <v>91</v>
      </c>
      <c r="I640" s="26"/>
      <c r="J640" s="26"/>
      <c r="K640" s="29" t="str">
        <f aca="false">IF($A640="","",IF(COUNTIFS(tblMoveTypes[Movement],$E640)=0,"Unknown movement type",IF(COUNTIF(tblShipment[Shipment ID],$C640)=0,"Unknown shipment",IF(COUNTIFS(tblShipment[Shipment ID],$C640,tblShipment[Market],$B640)=0,"Market does not match shipment",IF(AND(IFERROR(INDEX(tblMoveTypes[Item?],MATCH($E640,tblMoveTypes[Movement],0)),"?")="Yes",$D640=""),"Item needed",IF(AND(IFERROR(INDEX(tblMoveTypes[Item?],MATCH($E640,tblMoveTypes[Movement],0)),"?")="No",$D640&lt;&gt;""),"Leave Item blank",IF(AND(IFERROR(INDEX(tblMoveTypes[Courier?],MATCH($E640,tblMoveTypes[Movement],0)),"?")="Yes",$H640=""),"Courier needed",IF(AND(IFERROR(INDEX(tblMoveTypes[Courier?],MATCH($E640,tblMoveTypes[Movement],0)),"?")="No",$H640&lt;&gt;""),"Leave Courier blank",IF(AND(IFERROR(INDEX(tblMoveTypes[Orders?],MATCH($E640,tblMoveTypes[Movement],0)),"?")="Yes",$G640=""),"Orders needed",IF(AND(IFERROR(INDEX(tblMoveTypes[Orders?],MATCH($E640,tblMoveTypes[Movement],0)),"?")="No",$G640&lt;&gt;""),"Leave Orders blank",IF(AND(IFERROR(INDEX(tblMoveTypes[Reason?],MATCH($E640,tblMoveTypes[Movement],0)),"?")="Yes",$I640=""),"Reason needed",IF(AND(IFERROR(INDEX(tblMoveTypes[Qty?],MATCH($E640,tblMoveTypes[Movement],0)),"?")="Yes",N($F640)&lt;=0),"Qty needed",IF($A640&lt;_xlfn.MINIFS(tblShipment[Arrival Date],tblShipment[Shipment ID],$C640),"Date before arrival",IF(AND($D640&lt;&gt;"",COUNTIFS(tblShipment[Shipment ID],$C640,tblShipment[Item Code],$D640)=0),"Item not in this shipment",IF(AND($H640&lt;&gt;"",COUNTIFS(tblCouriers[Courier],$H640,tblCouriers[Market],$B640)=0),"Courier not in this market","OK")))))))))))))))</f>
        <v>OK</v>
      </c>
    </row>
    <row r="641" customFormat="false" ht="15" hidden="false" customHeight="false" outlineLevel="0" collapsed="false">
      <c r="A641" s="27" t="n">
        <v>46242</v>
      </c>
      <c r="B641" s="26" t="s">
        <v>85</v>
      </c>
      <c r="C641" s="26" t="s">
        <v>144</v>
      </c>
      <c r="D641" s="26"/>
      <c r="E641" s="26" t="s">
        <v>106</v>
      </c>
      <c r="F641" s="28" t="n">
        <v>22</v>
      </c>
      <c r="G641" s="28" t="n">
        <v>3</v>
      </c>
      <c r="H641" s="26" t="s">
        <v>96</v>
      </c>
      <c r="I641" s="26"/>
      <c r="J641" s="26"/>
      <c r="K641" s="29" t="str">
        <f aca="false">IF($A641="","",IF(COUNTIFS(tblMoveTypes[Movement],$E641)=0,"Unknown movement type",IF(COUNTIF(tblShipment[Shipment ID],$C641)=0,"Unknown shipment",IF(COUNTIFS(tblShipment[Shipment ID],$C641,tblShipment[Market],$B641)=0,"Market does not match shipment",IF(AND(IFERROR(INDEX(tblMoveTypes[Item?],MATCH($E641,tblMoveTypes[Movement],0)),"?")="Yes",$D641=""),"Item needed",IF(AND(IFERROR(INDEX(tblMoveTypes[Item?],MATCH($E641,tblMoveTypes[Movement],0)),"?")="No",$D641&lt;&gt;""),"Leave Item blank",IF(AND(IFERROR(INDEX(tblMoveTypes[Courier?],MATCH($E641,tblMoveTypes[Movement],0)),"?")="Yes",$H641=""),"Courier needed",IF(AND(IFERROR(INDEX(tblMoveTypes[Courier?],MATCH($E641,tblMoveTypes[Movement],0)),"?")="No",$H641&lt;&gt;""),"Leave Courier blank",IF(AND(IFERROR(INDEX(tblMoveTypes[Orders?],MATCH($E641,tblMoveTypes[Movement],0)),"?")="Yes",$G641=""),"Orders needed",IF(AND(IFERROR(INDEX(tblMoveTypes[Orders?],MATCH($E641,tblMoveTypes[Movement],0)),"?")="No",$G641&lt;&gt;""),"Leave Orders blank",IF(AND(IFERROR(INDEX(tblMoveTypes[Reason?],MATCH($E641,tblMoveTypes[Movement],0)),"?")="Yes",$I641=""),"Reason needed",IF(AND(IFERROR(INDEX(tblMoveTypes[Qty?],MATCH($E641,tblMoveTypes[Movement],0)),"?")="Yes",N($F641)&lt;=0),"Qty needed",IF($A641&lt;_xlfn.MINIFS(tblShipment[Arrival Date],tblShipment[Shipment ID],$C641),"Date before arrival",IF(AND($D641&lt;&gt;"",COUNTIFS(tblShipment[Shipment ID],$C641,tblShipment[Item Code],$D641)=0),"Item not in this shipment",IF(AND($H641&lt;&gt;"",COUNTIFS(tblCouriers[Courier],$H641,tblCouriers[Market],$B641)=0),"Courier not in this market","OK")))))))))))))))</f>
        <v>OK</v>
      </c>
    </row>
    <row r="642" customFormat="false" ht="15" hidden="false" customHeight="false" outlineLevel="0" collapsed="false">
      <c r="A642" s="27" t="n">
        <v>46242</v>
      </c>
      <c r="B642" s="26" t="s">
        <v>90</v>
      </c>
      <c r="C642" s="26" t="s">
        <v>151</v>
      </c>
      <c r="D642" s="26"/>
      <c r="E642" s="26" t="s">
        <v>106</v>
      </c>
      <c r="F642" s="28" t="n">
        <v>78</v>
      </c>
      <c r="G642" s="28" t="n">
        <v>12</v>
      </c>
      <c r="H642" s="26" t="s">
        <v>101</v>
      </c>
      <c r="I642" s="26"/>
      <c r="J642" s="26"/>
      <c r="K642" s="29" t="str">
        <f aca="false">IF($A642="","",IF(COUNTIFS(tblMoveTypes[Movement],$E642)=0,"Unknown movement type",IF(COUNTIF(tblShipment[Shipment ID],$C642)=0,"Unknown shipment",IF(COUNTIFS(tblShipment[Shipment ID],$C642,tblShipment[Market],$B642)=0,"Market does not match shipment",IF(AND(IFERROR(INDEX(tblMoveTypes[Item?],MATCH($E642,tblMoveTypes[Movement],0)),"?")="Yes",$D642=""),"Item needed",IF(AND(IFERROR(INDEX(tblMoveTypes[Item?],MATCH($E642,tblMoveTypes[Movement],0)),"?")="No",$D642&lt;&gt;""),"Leave Item blank",IF(AND(IFERROR(INDEX(tblMoveTypes[Courier?],MATCH($E642,tblMoveTypes[Movement],0)),"?")="Yes",$H642=""),"Courier needed",IF(AND(IFERROR(INDEX(tblMoveTypes[Courier?],MATCH($E642,tblMoveTypes[Movement],0)),"?")="No",$H642&lt;&gt;""),"Leave Courier blank",IF(AND(IFERROR(INDEX(tblMoveTypes[Orders?],MATCH($E642,tblMoveTypes[Movement],0)),"?")="Yes",$G642=""),"Orders needed",IF(AND(IFERROR(INDEX(tblMoveTypes[Orders?],MATCH($E642,tblMoveTypes[Movement],0)),"?")="No",$G642&lt;&gt;""),"Leave Orders blank",IF(AND(IFERROR(INDEX(tblMoveTypes[Reason?],MATCH($E642,tblMoveTypes[Movement],0)),"?")="Yes",$I642=""),"Reason needed",IF(AND(IFERROR(INDEX(tblMoveTypes[Qty?],MATCH($E642,tblMoveTypes[Movement],0)),"?")="Yes",N($F642)&lt;=0),"Qty needed",IF($A642&lt;_xlfn.MINIFS(tblShipment[Arrival Date],tblShipment[Shipment ID],$C642),"Date before arrival",IF(AND($D642&lt;&gt;"",COUNTIFS(tblShipment[Shipment ID],$C642,tblShipment[Item Code],$D642)=0),"Item not in this shipment",IF(AND($H642&lt;&gt;"",COUNTIFS(tblCouriers[Courier],$H642,tblCouriers[Market],$B642)=0),"Courier not in this market","OK")))))))))))))))</f>
        <v>OK</v>
      </c>
    </row>
    <row r="643" customFormat="false" ht="15" hidden="false" customHeight="false" outlineLevel="0" collapsed="false">
      <c r="A643" s="27" t="n">
        <v>46242</v>
      </c>
      <c r="B643" s="26" t="s">
        <v>90</v>
      </c>
      <c r="C643" s="26" t="s">
        <v>151</v>
      </c>
      <c r="D643" s="26"/>
      <c r="E643" s="26" t="s">
        <v>108</v>
      </c>
      <c r="F643" s="28" t="n">
        <v>7</v>
      </c>
      <c r="G643" s="28" t="n">
        <v>1</v>
      </c>
      <c r="H643" s="26" t="s">
        <v>101</v>
      </c>
      <c r="I643" s="26" t="s">
        <v>107</v>
      </c>
      <c r="J643" s="26"/>
      <c r="K643" s="29" t="str">
        <f aca="false">IF($A643="","",IF(COUNTIFS(tblMoveTypes[Movement],$E643)=0,"Unknown movement type",IF(COUNTIF(tblShipment[Shipment ID],$C643)=0,"Unknown shipment",IF(COUNTIFS(tblShipment[Shipment ID],$C643,tblShipment[Market],$B643)=0,"Market does not match shipment",IF(AND(IFERROR(INDEX(tblMoveTypes[Item?],MATCH($E643,tblMoveTypes[Movement],0)),"?")="Yes",$D643=""),"Item needed",IF(AND(IFERROR(INDEX(tblMoveTypes[Item?],MATCH($E643,tblMoveTypes[Movement],0)),"?")="No",$D643&lt;&gt;""),"Leave Item blank",IF(AND(IFERROR(INDEX(tblMoveTypes[Courier?],MATCH($E643,tblMoveTypes[Movement],0)),"?")="Yes",$H643=""),"Courier needed",IF(AND(IFERROR(INDEX(tblMoveTypes[Courier?],MATCH($E643,tblMoveTypes[Movement],0)),"?")="No",$H643&lt;&gt;""),"Leave Courier blank",IF(AND(IFERROR(INDEX(tblMoveTypes[Orders?],MATCH($E643,tblMoveTypes[Movement],0)),"?")="Yes",$G643=""),"Orders needed",IF(AND(IFERROR(INDEX(tblMoveTypes[Orders?],MATCH($E643,tblMoveTypes[Movement],0)),"?")="No",$G643&lt;&gt;""),"Leave Orders blank",IF(AND(IFERROR(INDEX(tblMoveTypes[Reason?],MATCH($E643,tblMoveTypes[Movement],0)),"?")="Yes",$I643=""),"Reason needed",IF(AND(IFERROR(INDEX(tblMoveTypes[Qty?],MATCH($E643,tblMoveTypes[Movement],0)),"?")="Yes",N($F643)&lt;=0),"Qty needed",IF($A643&lt;_xlfn.MINIFS(tblShipment[Arrival Date],tblShipment[Shipment ID],$C643),"Date before arrival",IF(AND($D643&lt;&gt;"",COUNTIFS(tblShipment[Shipment ID],$C643,tblShipment[Item Code],$D643)=0),"Item not in this shipment",IF(AND($H643&lt;&gt;"",COUNTIFS(tblCouriers[Courier],$H643,tblCouriers[Market],$B643)=0),"Courier not in this market","OK")))))))))))))))</f>
        <v>OK</v>
      </c>
    </row>
    <row r="644" customFormat="false" ht="15" hidden="false" customHeight="false" outlineLevel="0" collapsed="false">
      <c r="A644" s="27" t="n">
        <v>46242</v>
      </c>
      <c r="B644" s="26" t="s">
        <v>90</v>
      </c>
      <c r="C644" s="26" t="s">
        <v>151</v>
      </c>
      <c r="D644" s="26" t="s">
        <v>88</v>
      </c>
      <c r="E644" s="26" t="s">
        <v>110</v>
      </c>
      <c r="F644" s="28" t="n">
        <v>5</v>
      </c>
      <c r="G644" s="28"/>
      <c r="H644" s="26"/>
      <c r="I644" s="26"/>
      <c r="J644" s="26"/>
      <c r="K644" s="29" t="str">
        <f aca="false">IF($A644="","",IF(COUNTIFS(tblMoveTypes[Movement],$E644)=0,"Unknown movement type",IF(COUNTIF(tblShipment[Shipment ID],$C644)=0,"Unknown shipment",IF(COUNTIFS(tblShipment[Shipment ID],$C644,tblShipment[Market],$B644)=0,"Market does not match shipment",IF(AND(IFERROR(INDEX(tblMoveTypes[Item?],MATCH($E644,tblMoveTypes[Movement],0)),"?")="Yes",$D644=""),"Item needed",IF(AND(IFERROR(INDEX(tblMoveTypes[Item?],MATCH($E644,tblMoveTypes[Movement],0)),"?")="No",$D644&lt;&gt;""),"Leave Item blank",IF(AND(IFERROR(INDEX(tblMoveTypes[Courier?],MATCH($E644,tblMoveTypes[Movement],0)),"?")="Yes",$H644=""),"Courier needed",IF(AND(IFERROR(INDEX(tblMoveTypes[Courier?],MATCH($E644,tblMoveTypes[Movement],0)),"?")="No",$H644&lt;&gt;""),"Leave Courier blank",IF(AND(IFERROR(INDEX(tblMoveTypes[Orders?],MATCH($E644,tblMoveTypes[Movement],0)),"?")="Yes",$G644=""),"Orders needed",IF(AND(IFERROR(INDEX(tblMoveTypes[Orders?],MATCH($E644,tblMoveTypes[Movement],0)),"?")="No",$G644&lt;&gt;""),"Leave Orders blank",IF(AND(IFERROR(INDEX(tblMoveTypes[Reason?],MATCH($E644,tblMoveTypes[Movement],0)),"?")="Yes",$I644=""),"Reason needed",IF(AND(IFERROR(INDEX(tblMoveTypes[Qty?],MATCH($E644,tblMoveTypes[Movement],0)),"?")="Yes",N($F644)&lt;=0),"Qty needed",IF($A644&lt;_xlfn.MINIFS(tblShipment[Arrival Date],tblShipment[Shipment ID],$C644),"Date before arrival",IF(AND($D644&lt;&gt;"",COUNTIFS(tblShipment[Shipment ID],$C644,tblShipment[Item Code],$D644)=0),"Item not in this shipment",IF(AND($H644&lt;&gt;"",COUNTIFS(tblCouriers[Courier],$H644,tblCouriers[Market],$B644)=0),"Courier not in this market","OK")))))))))))))))</f>
        <v>OK</v>
      </c>
    </row>
    <row r="645" customFormat="false" ht="15" hidden="false" customHeight="false" outlineLevel="0" collapsed="false">
      <c r="A645" s="27" t="n">
        <v>46242</v>
      </c>
      <c r="B645" s="26" t="s">
        <v>90</v>
      </c>
      <c r="C645" s="26" t="s">
        <v>151</v>
      </c>
      <c r="D645" s="26" t="s">
        <v>88</v>
      </c>
      <c r="E645" s="26" t="s">
        <v>112</v>
      </c>
      <c r="F645" s="28" t="n">
        <v>2</v>
      </c>
      <c r="G645" s="28"/>
      <c r="H645" s="26"/>
      <c r="I645" s="26" t="s">
        <v>80</v>
      </c>
      <c r="J645" s="26"/>
      <c r="K645" s="29" t="str">
        <f aca="false">IF($A645="","",IF(COUNTIFS(tblMoveTypes[Movement],$E645)=0,"Unknown movement type",IF(COUNTIF(tblShipment[Shipment ID],$C645)=0,"Unknown shipment",IF(COUNTIFS(tblShipment[Shipment ID],$C645,tblShipment[Market],$B645)=0,"Market does not match shipment",IF(AND(IFERROR(INDEX(tblMoveTypes[Item?],MATCH($E645,tblMoveTypes[Movement],0)),"?")="Yes",$D645=""),"Item needed",IF(AND(IFERROR(INDEX(tblMoveTypes[Item?],MATCH($E645,tblMoveTypes[Movement],0)),"?")="No",$D645&lt;&gt;""),"Leave Item blank",IF(AND(IFERROR(INDEX(tblMoveTypes[Courier?],MATCH($E645,tblMoveTypes[Movement],0)),"?")="Yes",$H645=""),"Courier needed",IF(AND(IFERROR(INDEX(tblMoveTypes[Courier?],MATCH($E645,tblMoveTypes[Movement],0)),"?")="No",$H645&lt;&gt;""),"Leave Courier blank",IF(AND(IFERROR(INDEX(tblMoveTypes[Orders?],MATCH($E645,tblMoveTypes[Movement],0)),"?")="Yes",$G645=""),"Orders needed",IF(AND(IFERROR(INDEX(tblMoveTypes[Orders?],MATCH($E645,tblMoveTypes[Movement],0)),"?")="No",$G645&lt;&gt;""),"Leave Orders blank",IF(AND(IFERROR(INDEX(tblMoveTypes[Reason?],MATCH($E645,tblMoveTypes[Movement],0)),"?")="Yes",$I645=""),"Reason needed",IF(AND(IFERROR(INDEX(tblMoveTypes[Qty?],MATCH($E645,tblMoveTypes[Movement],0)),"?")="Yes",N($F645)&lt;=0),"Qty needed",IF($A645&lt;_xlfn.MINIFS(tblShipment[Arrival Date],tblShipment[Shipment ID],$C645),"Date before arrival",IF(AND($D645&lt;&gt;"",COUNTIFS(tblShipment[Shipment ID],$C645,tblShipment[Item Code],$D645)=0),"Item not in this shipment",IF(AND($H645&lt;&gt;"",COUNTIFS(tblCouriers[Courier],$H645,tblCouriers[Market],$B645)=0),"Courier not in this market","OK")))))))))))))))</f>
        <v>OK</v>
      </c>
    </row>
    <row r="646" customFormat="false" ht="15" hidden="false" customHeight="false" outlineLevel="0" collapsed="false">
      <c r="A646" s="27" t="n">
        <v>46242</v>
      </c>
      <c r="B646" s="26" t="s">
        <v>90</v>
      </c>
      <c r="C646" s="26" t="s">
        <v>151</v>
      </c>
      <c r="D646" s="26" t="s">
        <v>88</v>
      </c>
      <c r="E646" s="26" t="s">
        <v>93</v>
      </c>
      <c r="F646" s="28" t="n">
        <v>5</v>
      </c>
      <c r="G646" s="28"/>
      <c r="H646" s="26" t="s">
        <v>101</v>
      </c>
      <c r="I646" s="26"/>
      <c r="J646" s="26"/>
      <c r="K646" s="29" t="str">
        <f aca="false">IF($A646="","",IF(COUNTIFS(tblMoveTypes[Movement],$E646)=0,"Unknown movement type",IF(COUNTIF(tblShipment[Shipment ID],$C646)=0,"Unknown shipment",IF(COUNTIFS(tblShipment[Shipment ID],$C646,tblShipment[Market],$B646)=0,"Market does not match shipment",IF(AND(IFERROR(INDEX(tblMoveTypes[Item?],MATCH($E646,tblMoveTypes[Movement],0)),"?")="Yes",$D646=""),"Item needed",IF(AND(IFERROR(INDEX(tblMoveTypes[Item?],MATCH($E646,tblMoveTypes[Movement],0)),"?")="No",$D646&lt;&gt;""),"Leave Item blank",IF(AND(IFERROR(INDEX(tblMoveTypes[Courier?],MATCH($E646,tblMoveTypes[Movement],0)),"?")="Yes",$H646=""),"Courier needed",IF(AND(IFERROR(INDEX(tblMoveTypes[Courier?],MATCH($E646,tblMoveTypes[Movement],0)),"?")="No",$H646&lt;&gt;""),"Leave Courier blank",IF(AND(IFERROR(INDEX(tblMoveTypes[Orders?],MATCH($E646,tblMoveTypes[Movement],0)),"?")="Yes",$G646=""),"Orders needed",IF(AND(IFERROR(INDEX(tblMoveTypes[Orders?],MATCH($E646,tblMoveTypes[Movement],0)),"?")="No",$G646&lt;&gt;""),"Leave Orders blank",IF(AND(IFERROR(INDEX(tblMoveTypes[Reason?],MATCH($E646,tblMoveTypes[Movement],0)),"?")="Yes",$I646=""),"Reason needed",IF(AND(IFERROR(INDEX(tblMoveTypes[Qty?],MATCH($E646,tblMoveTypes[Movement],0)),"?")="Yes",N($F646)&lt;=0),"Qty needed",IF($A646&lt;_xlfn.MINIFS(tblShipment[Arrival Date],tblShipment[Shipment ID],$C646),"Date before arrival",IF(AND($D646&lt;&gt;"",COUNTIFS(tblShipment[Shipment ID],$C646,tblShipment[Item Code],$D646)=0),"Item not in this shipment",IF(AND($H646&lt;&gt;"",COUNTIFS(tblCouriers[Courier],$H646,tblCouriers[Market],$B646)=0),"Courier not in this market","OK")))))))))))))))</f>
        <v>OK</v>
      </c>
    </row>
    <row r="647" customFormat="false" ht="15" hidden="false" customHeight="false" outlineLevel="0" collapsed="false">
      <c r="A647" s="27" t="n">
        <v>46242</v>
      </c>
      <c r="B647" s="26" t="s">
        <v>90</v>
      </c>
      <c r="C647" s="26" t="s">
        <v>151</v>
      </c>
      <c r="D647" s="26"/>
      <c r="E647" s="26" t="s">
        <v>104</v>
      </c>
      <c r="F647" s="28"/>
      <c r="G647" s="28" t="n">
        <v>1</v>
      </c>
      <c r="H647" s="26" t="s">
        <v>101</v>
      </c>
      <c r="I647" s="26"/>
      <c r="J647" s="26"/>
      <c r="K647" s="29" t="str">
        <f aca="false">IF($A647="","",IF(COUNTIFS(tblMoveTypes[Movement],$E647)=0,"Unknown movement type",IF(COUNTIF(tblShipment[Shipment ID],$C647)=0,"Unknown shipment",IF(COUNTIFS(tblShipment[Shipment ID],$C647,tblShipment[Market],$B647)=0,"Market does not match shipment",IF(AND(IFERROR(INDEX(tblMoveTypes[Item?],MATCH($E647,tblMoveTypes[Movement],0)),"?")="Yes",$D647=""),"Item needed",IF(AND(IFERROR(INDEX(tblMoveTypes[Item?],MATCH($E647,tblMoveTypes[Movement],0)),"?")="No",$D647&lt;&gt;""),"Leave Item blank",IF(AND(IFERROR(INDEX(tblMoveTypes[Courier?],MATCH($E647,tblMoveTypes[Movement],0)),"?")="Yes",$H647=""),"Courier needed",IF(AND(IFERROR(INDEX(tblMoveTypes[Courier?],MATCH($E647,tblMoveTypes[Movement],0)),"?")="No",$H647&lt;&gt;""),"Leave Courier blank",IF(AND(IFERROR(INDEX(tblMoveTypes[Orders?],MATCH($E647,tblMoveTypes[Movement],0)),"?")="Yes",$G647=""),"Orders needed",IF(AND(IFERROR(INDEX(tblMoveTypes[Orders?],MATCH($E647,tblMoveTypes[Movement],0)),"?")="No",$G647&lt;&gt;""),"Leave Orders blank",IF(AND(IFERROR(INDEX(tblMoveTypes[Reason?],MATCH($E647,tblMoveTypes[Movement],0)),"?")="Yes",$I647=""),"Reason needed",IF(AND(IFERROR(INDEX(tblMoveTypes[Qty?],MATCH($E647,tblMoveTypes[Movement],0)),"?")="Yes",N($F647)&lt;=0),"Qty needed",IF($A647&lt;_xlfn.MINIFS(tblShipment[Arrival Date],tblShipment[Shipment ID],$C647),"Date before arrival",IF(AND($D647&lt;&gt;"",COUNTIFS(tblShipment[Shipment ID],$C647,tblShipment[Item Code],$D647)=0),"Item not in this shipment",IF(AND($H647&lt;&gt;"",COUNTIFS(tblCouriers[Courier],$H647,tblCouriers[Market],$B647)=0),"Courier not in this market","OK")))))))))))))))</f>
        <v>OK</v>
      </c>
    </row>
    <row r="648" customFormat="false" ht="15" hidden="false" customHeight="false" outlineLevel="0" collapsed="false">
      <c r="A648" s="27" t="n">
        <v>46242</v>
      </c>
      <c r="B648" s="26" t="s">
        <v>78</v>
      </c>
      <c r="C648" s="26" t="s">
        <v>136</v>
      </c>
      <c r="D648" s="26"/>
      <c r="E648" s="26" t="s">
        <v>106</v>
      </c>
      <c r="F648" s="28" t="n">
        <v>19</v>
      </c>
      <c r="G648" s="28" t="n">
        <v>3</v>
      </c>
      <c r="H648" s="26" t="s">
        <v>86</v>
      </c>
      <c r="I648" s="26"/>
      <c r="J648" s="26"/>
      <c r="K648" s="29" t="str">
        <f aca="false">IF($A648="","",IF(COUNTIFS(tblMoveTypes[Movement],$E648)=0,"Unknown movement type",IF(COUNTIF(tblShipment[Shipment ID],$C648)=0,"Unknown shipment",IF(COUNTIFS(tblShipment[Shipment ID],$C648,tblShipment[Market],$B648)=0,"Market does not match shipment",IF(AND(IFERROR(INDEX(tblMoveTypes[Item?],MATCH($E648,tblMoveTypes[Movement],0)),"?")="Yes",$D648=""),"Item needed",IF(AND(IFERROR(INDEX(tblMoveTypes[Item?],MATCH($E648,tblMoveTypes[Movement],0)),"?")="No",$D648&lt;&gt;""),"Leave Item blank",IF(AND(IFERROR(INDEX(tblMoveTypes[Courier?],MATCH($E648,tblMoveTypes[Movement],0)),"?")="Yes",$H648=""),"Courier needed",IF(AND(IFERROR(INDEX(tblMoveTypes[Courier?],MATCH($E648,tblMoveTypes[Movement],0)),"?")="No",$H648&lt;&gt;""),"Leave Courier blank",IF(AND(IFERROR(INDEX(tblMoveTypes[Orders?],MATCH($E648,tblMoveTypes[Movement],0)),"?")="Yes",$G648=""),"Orders needed",IF(AND(IFERROR(INDEX(tblMoveTypes[Orders?],MATCH($E648,tblMoveTypes[Movement],0)),"?")="No",$G648&lt;&gt;""),"Leave Orders blank",IF(AND(IFERROR(INDEX(tblMoveTypes[Reason?],MATCH($E648,tblMoveTypes[Movement],0)),"?")="Yes",$I648=""),"Reason needed",IF(AND(IFERROR(INDEX(tblMoveTypes[Qty?],MATCH($E648,tblMoveTypes[Movement],0)),"?")="Yes",N($F648)&lt;=0),"Qty needed",IF($A648&lt;_xlfn.MINIFS(tblShipment[Arrival Date],tblShipment[Shipment ID],$C648),"Date before arrival",IF(AND($D648&lt;&gt;"",COUNTIFS(tblShipment[Shipment ID],$C648,tblShipment[Item Code],$D648)=0),"Item not in this shipment",IF(AND($H648&lt;&gt;"",COUNTIFS(tblCouriers[Courier],$H648,tblCouriers[Market],$B648)=0),"Courier not in this market","OK")))))))))))))))</f>
        <v>OK</v>
      </c>
    </row>
    <row r="649" customFormat="false" ht="15" hidden="false" customHeight="false" outlineLevel="0" collapsed="false">
      <c r="A649" s="27" t="n">
        <v>46242</v>
      </c>
      <c r="B649" s="26" t="s">
        <v>78</v>
      </c>
      <c r="C649" s="26" t="s">
        <v>136</v>
      </c>
      <c r="D649" s="26"/>
      <c r="E649" s="26" t="s">
        <v>108</v>
      </c>
      <c r="F649" s="28" t="n">
        <v>1</v>
      </c>
      <c r="G649" s="28" t="n">
        <v>1</v>
      </c>
      <c r="H649" s="26" t="s">
        <v>86</v>
      </c>
      <c r="I649" s="26" t="s">
        <v>102</v>
      </c>
      <c r="J649" s="26"/>
      <c r="K649" s="29" t="str">
        <f aca="false">IF($A649="","",IF(COUNTIFS(tblMoveTypes[Movement],$E649)=0,"Unknown movement type",IF(COUNTIF(tblShipment[Shipment ID],$C649)=0,"Unknown shipment",IF(COUNTIFS(tblShipment[Shipment ID],$C649,tblShipment[Market],$B649)=0,"Market does not match shipment",IF(AND(IFERROR(INDEX(tblMoveTypes[Item?],MATCH($E649,tblMoveTypes[Movement],0)),"?")="Yes",$D649=""),"Item needed",IF(AND(IFERROR(INDEX(tblMoveTypes[Item?],MATCH($E649,tblMoveTypes[Movement],0)),"?")="No",$D649&lt;&gt;""),"Leave Item blank",IF(AND(IFERROR(INDEX(tblMoveTypes[Courier?],MATCH($E649,tblMoveTypes[Movement],0)),"?")="Yes",$H649=""),"Courier needed",IF(AND(IFERROR(INDEX(tblMoveTypes[Courier?],MATCH($E649,tblMoveTypes[Movement],0)),"?")="No",$H649&lt;&gt;""),"Leave Courier blank",IF(AND(IFERROR(INDEX(tblMoveTypes[Orders?],MATCH($E649,tblMoveTypes[Movement],0)),"?")="Yes",$G649=""),"Orders needed",IF(AND(IFERROR(INDEX(tblMoveTypes[Orders?],MATCH($E649,tblMoveTypes[Movement],0)),"?")="No",$G649&lt;&gt;""),"Leave Orders blank",IF(AND(IFERROR(INDEX(tblMoveTypes[Reason?],MATCH($E649,tblMoveTypes[Movement],0)),"?")="Yes",$I649=""),"Reason needed",IF(AND(IFERROR(INDEX(tblMoveTypes[Qty?],MATCH($E649,tblMoveTypes[Movement],0)),"?")="Yes",N($F649)&lt;=0),"Qty needed",IF($A649&lt;_xlfn.MINIFS(tblShipment[Arrival Date],tblShipment[Shipment ID],$C649),"Date before arrival",IF(AND($D649&lt;&gt;"",COUNTIFS(tblShipment[Shipment ID],$C649,tblShipment[Item Code],$D649)=0),"Item not in this shipment",IF(AND($H649&lt;&gt;"",COUNTIFS(tblCouriers[Courier],$H649,tblCouriers[Market],$B649)=0),"Courier not in this market","OK")))))))))))))))</f>
        <v>OK</v>
      </c>
    </row>
    <row r="650" customFormat="false" ht="15" hidden="false" customHeight="false" outlineLevel="0" collapsed="false">
      <c r="A650" s="27" t="n">
        <v>46242</v>
      </c>
      <c r="B650" s="26" t="s">
        <v>78</v>
      </c>
      <c r="C650" s="26" t="s">
        <v>136</v>
      </c>
      <c r="D650" s="26" t="s">
        <v>67</v>
      </c>
      <c r="E650" s="26" t="s">
        <v>110</v>
      </c>
      <c r="F650" s="28" t="n">
        <v>1</v>
      </c>
      <c r="G650" s="28"/>
      <c r="H650" s="26"/>
      <c r="I650" s="26"/>
      <c r="J650" s="26"/>
      <c r="K650" s="29" t="str">
        <f aca="false">IF($A650="","",IF(COUNTIFS(tblMoveTypes[Movement],$E650)=0,"Unknown movement type",IF(COUNTIF(tblShipment[Shipment ID],$C650)=0,"Unknown shipment",IF(COUNTIFS(tblShipment[Shipment ID],$C650,tblShipment[Market],$B650)=0,"Market does not match shipment",IF(AND(IFERROR(INDEX(tblMoveTypes[Item?],MATCH($E650,tblMoveTypes[Movement],0)),"?")="Yes",$D650=""),"Item needed",IF(AND(IFERROR(INDEX(tblMoveTypes[Item?],MATCH($E650,tblMoveTypes[Movement],0)),"?")="No",$D650&lt;&gt;""),"Leave Item blank",IF(AND(IFERROR(INDEX(tblMoveTypes[Courier?],MATCH($E650,tblMoveTypes[Movement],0)),"?")="Yes",$H650=""),"Courier needed",IF(AND(IFERROR(INDEX(tblMoveTypes[Courier?],MATCH($E650,tblMoveTypes[Movement],0)),"?")="No",$H650&lt;&gt;""),"Leave Courier blank",IF(AND(IFERROR(INDEX(tblMoveTypes[Orders?],MATCH($E650,tblMoveTypes[Movement],0)),"?")="Yes",$G650=""),"Orders needed",IF(AND(IFERROR(INDEX(tblMoveTypes[Orders?],MATCH($E650,tblMoveTypes[Movement],0)),"?")="No",$G650&lt;&gt;""),"Leave Orders blank",IF(AND(IFERROR(INDEX(tblMoveTypes[Reason?],MATCH($E650,tblMoveTypes[Movement],0)),"?")="Yes",$I650=""),"Reason needed",IF(AND(IFERROR(INDEX(tblMoveTypes[Qty?],MATCH($E650,tblMoveTypes[Movement],0)),"?")="Yes",N($F650)&lt;=0),"Qty needed",IF($A650&lt;_xlfn.MINIFS(tblShipment[Arrival Date],tblShipment[Shipment ID],$C650),"Date before arrival",IF(AND($D650&lt;&gt;"",COUNTIFS(tblShipment[Shipment ID],$C650,tblShipment[Item Code],$D650)=0),"Item not in this shipment",IF(AND($H650&lt;&gt;"",COUNTIFS(tblCouriers[Courier],$H650,tblCouriers[Market],$B650)=0),"Courier not in this market","OK")))))))))))))))</f>
        <v>OK</v>
      </c>
    </row>
    <row r="651" customFormat="false" ht="15" hidden="false" customHeight="false" outlineLevel="0" collapsed="false">
      <c r="A651" s="27" t="n">
        <v>46242</v>
      </c>
      <c r="B651" s="26" t="s">
        <v>78</v>
      </c>
      <c r="C651" s="26" t="s">
        <v>136</v>
      </c>
      <c r="D651" s="26" t="s">
        <v>67</v>
      </c>
      <c r="E651" s="26" t="s">
        <v>93</v>
      </c>
      <c r="F651" s="28" t="n">
        <v>1</v>
      </c>
      <c r="G651" s="28"/>
      <c r="H651" s="26" t="s">
        <v>79</v>
      </c>
      <c r="I651" s="26"/>
      <c r="J651" s="26"/>
      <c r="K651" s="29" t="str">
        <f aca="false">IF($A651="","",IF(COUNTIFS(tblMoveTypes[Movement],$E651)=0,"Unknown movement type",IF(COUNTIF(tblShipment[Shipment ID],$C651)=0,"Unknown shipment",IF(COUNTIFS(tblShipment[Shipment ID],$C651,tblShipment[Market],$B651)=0,"Market does not match shipment",IF(AND(IFERROR(INDEX(tblMoveTypes[Item?],MATCH($E651,tblMoveTypes[Movement],0)),"?")="Yes",$D651=""),"Item needed",IF(AND(IFERROR(INDEX(tblMoveTypes[Item?],MATCH($E651,tblMoveTypes[Movement],0)),"?")="No",$D651&lt;&gt;""),"Leave Item blank",IF(AND(IFERROR(INDEX(tblMoveTypes[Courier?],MATCH($E651,tblMoveTypes[Movement],0)),"?")="Yes",$H651=""),"Courier needed",IF(AND(IFERROR(INDEX(tblMoveTypes[Courier?],MATCH($E651,tblMoveTypes[Movement],0)),"?")="No",$H651&lt;&gt;""),"Leave Courier blank",IF(AND(IFERROR(INDEX(tblMoveTypes[Orders?],MATCH($E651,tblMoveTypes[Movement],0)),"?")="Yes",$G651=""),"Orders needed",IF(AND(IFERROR(INDEX(tblMoveTypes[Orders?],MATCH($E651,tblMoveTypes[Movement],0)),"?")="No",$G651&lt;&gt;""),"Leave Orders blank",IF(AND(IFERROR(INDEX(tblMoveTypes[Reason?],MATCH($E651,tblMoveTypes[Movement],0)),"?")="Yes",$I651=""),"Reason needed",IF(AND(IFERROR(INDEX(tblMoveTypes[Qty?],MATCH($E651,tblMoveTypes[Movement],0)),"?")="Yes",N($F651)&lt;=0),"Qty needed",IF($A651&lt;_xlfn.MINIFS(tblShipment[Arrival Date],tblShipment[Shipment ID],$C651),"Date before arrival",IF(AND($D651&lt;&gt;"",COUNTIFS(tblShipment[Shipment ID],$C651,tblShipment[Item Code],$D651)=0),"Item not in this shipment",IF(AND($H651&lt;&gt;"",COUNTIFS(tblCouriers[Courier],$H651,tblCouriers[Market],$B651)=0),"Courier not in this market","OK")))))))))))))))</f>
        <v>OK</v>
      </c>
    </row>
    <row r="652" customFormat="false" ht="15" hidden="false" customHeight="false" outlineLevel="0" collapsed="false">
      <c r="A652" s="27" t="n">
        <v>46242</v>
      </c>
      <c r="B652" s="26" t="s">
        <v>78</v>
      </c>
      <c r="C652" s="26" t="s">
        <v>136</v>
      </c>
      <c r="D652" s="26"/>
      <c r="E652" s="26" t="s">
        <v>104</v>
      </c>
      <c r="F652" s="28"/>
      <c r="G652" s="28" t="n">
        <v>1</v>
      </c>
      <c r="H652" s="26" t="s">
        <v>79</v>
      </c>
      <c r="I652" s="26"/>
      <c r="J652" s="26"/>
      <c r="K652" s="29" t="str">
        <f aca="false">IF($A652="","",IF(COUNTIFS(tblMoveTypes[Movement],$E652)=0,"Unknown movement type",IF(COUNTIF(tblShipment[Shipment ID],$C652)=0,"Unknown shipment",IF(COUNTIFS(tblShipment[Shipment ID],$C652,tblShipment[Market],$B652)=0,"Market does not match shipment",IF(AND(IFERROR(INDEX(tblMoveTypes[Item?],MATCH($E652,tblMoveTypes[Movement],0)),"?")="Yes",$D652=""),"Item needed",IF(AND(IFERROR(INDEX(tblMoveTypes[Item?],MATCH($E652,tblMoveTypes[Movement],0)),"?")="No",$D652&lt;&gt;""),"Leave Item blank",IF(AND(IFERROR(INDEX(tblMoveTypes[Courier?],MATCH($E652,tblMoveTypes[Movement],0)),"?")="Yes",$H652=""),"Courier needed",IF(AND(IFERROR(INDEX(tblMoveTypes[Courier?],MATCH($E652,tblMoveTypes[Movement],0)),"?")="No",$H652&lt;&gt;""),"Leave Courier blank",IF(AND(IFERROR(INDEX(tblMoveTypes[Orders?],MATCH($E652,tblMoveTypes[Movement],0)),"?")="Yes",$G652=""),"Orders needed",IF(AND(IFERROR(INDEX(tblMoveTypes[Orders?],MATCH($E652,tblMoveTypes[Movement],0)),"?")="No",$G652&lt;&gt;""),"Leave Orders blank",IF(AND(IFERROR(INDEX(tblMoveTypes[Reason?],MATCH($E652,tblMoveTypes[Movement],0)),"?")="Yes",$I652=""),"Reason needed",IF(AND(IFERROR(INDEX(tblMoveTypes[Qty?],MATCH($E652,tblMoveTypes[Movement],0)),"?")="Yes",N($F652)&lt;=0),"Qty needed",IF($A652&lt;_xlfn.MINIFS(tblShipment[Arrival Date],tblShipment[Shipment ID],$C652),"Date before arrival",IF(AND($D652&lt;&gt;"",COUNTIFS(tblShipment[Shipment ID],$C652,tblShipment[Item Code],$D652)=0),"Item not in this shipment",IF(AND($H652&lt;&gt;"",COUNTIFS(tblCouriers[Courier],$H652,tblCouriers[Market],$B652)=0),"Courier not in this market","OK")))))))))))))))</f>
        <v>OK</v>
      </c>
    </row>
    <row r="653" customFormat="false" ht="15" hidden="false" customHeight="false" outlineLevel="0" collapsed="false">
      <c r="A653" s="27" t="n">
        <v>46242</v>
      </c>
      <c r="B653" s="26" t="s">
        <v>78</v>
      </c>
      <c r="C653" s="26" t="s">
        <v>137</v>
      </c>
      <c r="D653" s="26" t="s">
        <v>67</v>
      </c>
      <c r="E653" s="26" t="s">
        <v>74</v>
      </c>
      <c r="F653" s="28" t="n">
        <v>40</v>
      </c>
      <c r="G653" s="28"/>
      <c r="H653" s="26"/>
      <c r="I653" s="26"/>
      <c r="J653" s="26"/>
      <c r="K653" s="29" t="str">
        <f aca="false">IF($A653="","",IF(COUNTIFS(tblMoveTypes[Movement],$E653)=0,"Unknown movement type",IF(COUNTIF(tblShipment[Shipment ID],$C653)=0,"Unknown shipment",IF(COUNTIFS(tblShipment[Shipment ID],$C653,tblShipment[Market],$B653)=0,"Market does not match shipment",IF(AND(IFERROR(INDEX(tblMoveTypes[Item?],MATCH($E653,tblMoveTypes[Movement],0)),"?")="Yes",$D653=""),"Item needed",IF(AND(IFERROR(INDEX(tblMoveTypes[Item?],MATCH($E653,tblMoveTypes[Movement],0)),"?")="No",$D653&lt;&gt;""),"Leave Item blank",IF(AND(IFERROR(INDEX(tblMoveTypes[Courier?],MATCH($E653,tblMoveTypes[Movement],0)),"?")="Yes",$H653=""),"Courier needed",IF(AND(IFERROR(INDEX(tblMoveTypes[Courier?],MATCH($E653,tblMoveTypes[Movement],0)),"?")="No",$H653&lt;&gt;""),"Leave Courier blank",IF(AND(IFERROR(INDEX(tblMoveTypes[Orders?],MATCH($E653,tblMoveTypes[Movement],0)),"?")="Yes",$G653=""),"Orders needed",IF(AND(IFERROR(INDEX(tblMoveTypes[Orders?],MATCH($E653,tblMoveTypes[Movement],0)),"?")="No",$G653&lt;&gt;""),"Leave Orders blank",IF(AND(IFERROR(INDEX(tblMoveTypes[Reason?],MATCH($E653,tblMoveTypes[Movement],0)),"?")="Yes",$I653=""),"Reason needed",IF(AND(IFERROR(INDEX(tblMoveTypes[Qty?],MATCH($E653,tblMoveTypes[Movement],0)),"?")="Yes",N($F653)&lt;=0),"Qty needed",IF($A653&lt;_xlfn.MINIFS(tblShipment[Arrival Date],tblShipment[Shipment ID],$C653),"Date before arrival",IF(AND($D653&lt;&gt;"",COUNTIFS(tblShipment[Shipment ID],$C653,tblShipment[Item Code],$D653)=0),"Item not in this shipment",IF(AND($H653&lt;&gt;"",COUNTIFS(tblCouriers[Courier],$H653,tblCouriers[Market],$B653)=0),"Courier not in this market","OK")))))))))))))))</f>
        <v>OK</v>
      </c>
    </row>
    <row r="654" customFormat="false" ht="15" hidden="false" customHeight="false" outlineLevel="0" collapsed="false">
      <c r="A654" s="27" t="n">
        <v>46242</v>
      </c>
      <c r="B654" s="26" t="s">
        <v>78</v>
      </c>
      <c r="C654" s="26" t="s">
        <v>137</v>
      </c>
      <c r="D654" s="26" t="s">
        <v>76</v>
      </c>
      <c r="E654" s="26" t="s">
        <v>74</v>
      </c>
      <c r="F654" s="28" t="n">
        <v>80</v>
      </c>
      <c r="G654" s="28"/>
      <c r="H654" s="26"/>
      <c r="I654" s="26"/>
      <c r="J654" s="26"/>
      <c r="K654" s="29" t="str">
        <f aca="false">IF($A654="","",IF(COUNTIFS(tblMoveTypes[Movement],$E654)=0,"Unknown movement type",IF(COUNTIF(tblShipment[Shipment ID],$C654)=0,"Unknown shipment",IF(COUNTIFS(tblShipment[Shipment ID],$C654,tblShipment[Market],$B654)=0,"Market does not match shipment",IF(AND(IFERROR(INDEX(tblMoveTypes[Item?],MATCH($E654,tblMoveTypes[Movement],0)),"?")="Yes",$D654=""),"Item needed",IF(AND(IFERROR(INDEX(tblMoveTypes[Item?],MATCH($E654,tblMoveTypes[Movement],0)),"?")="No",$D654&lt;&gt;""),"Leave Item blank",IF(AND(IFERROR(INDEX(tblMoveTypes[Courier?],MATCH($E654,tblMoveTypes[Movement],0)),"?")="Yes",$H654=""),"Courier needed",IF(AND(IFERROR(INDEX(tblMoveTypes[Courier?],MATCH($E654,tblMoveTypes[Movement],0)),"?")="No",$H654&lt;&gt;""),"Leave Courier blank",IF(AND(IFERROR(INDEX(tblMoveTypes[Orders?],MATCH($E654,tblMoveTypes[Movement],0)),"?")="Yes",$G654=""),"Orders needed",IF(AND(IFERROR(INDEX(tblMoveTypes[Orders?],MATCH($E654,tblMoveTypes[Movement],0)),"?")="No",$G654&lt;&gt;""),"Leave Orders blank",IF(AND(IFERROR(INDEX(tblMoveTypes[Reason?],MATCH($E654,tblMoveTypes[Movement],0)),"?")="Yes",$I654=""),"Reason needed",IF(AND(IFERROR(INDEX(tblMoveTypes[Qty?],MATCH($E654,tblMoveTypes[Movement],0)),"?")="Yes",N($F654)&lt;=0),"Qty needed",IF($A654&lt;_xlfn.MINIFS(tblShipment[Arrival Date],tblShipment[Shipment ID],$C654),"Date before arrival",IF(AND($D654&lt;&gt;"",COUNTIFS(tblShipment[Shipment ID],$C654,tblShipment[Item Code],$D654)=0),"Item not in this shipment",IF(AND($H654&lt;&gt;"",COUNTIFS(tblCouriers[Courier],$H654,tblCouriers[Market],$B654)=0),"Courier not in this market","OK")))))))))))))))</f>
        <v>OK</v>
      </c>
    </row>
    <row r="655" customFormat="false" ht="15" hidden="false" customHeight="false" outlineLevel="0" collapsed="false">
      <c r="A655" s="27" t="n">
        <v>46242</v>
      </c>
      <c r="B655" s="26" t="s">
        <v>78</v>
      </c>
      <c r="C655" s="26" t="s">
        <v>137</v>
      </c>
      <c r="D655" s="26" t="s">
        <v>88</v>
      </c>
      <c r="E655" s="26" t="s">
        <v>74</v>
      </c>
      <c r="F655" s="28" t="n">
        <v>40</v>
      </c>
      <c r="G655" s="28"/>
      <c r="H655" s="26"/>
      <c r="I655" s="26"/>
      <c r="J655" s="26"/>
      <c r="K655" s="29" t="str">
        <f aca="false">IF($A655="","",IF(COUNTIFS(tblMoveTypes[Movement],$E655)=0,"Unknown movement type",IF(COUNTIF(tblShipment[Shipment ID],$C655)=0,"Unknown shipment",IF(COUNTIFS(tblShipment[Shipment ID],$C655,tblShipment[Market],$B655)=0,"Market does not match shipment",IF(AND(IFERROR(INDEX(tblMoveTypes[Item?],MATCH($E655,tblMoveTypes[Movement],0)),"?")="Yes",$D655=""),"Item needed",IF(AND(IFERROR(INDEX(tblMoveTypes[Item?],MATCH($E655,tblMoveTypes[Movement],0)),"?")="No",$D655&lt;&gt;""),"Leave Item blank",IF(AND(IFERROR(INDEX(tblMoveTypes[Courier?],MATCH($E655,tblMoveTypes[Movement],0)),"?")="Yes",$H655=""),"Courier needed",IF(AND(IFERROR(INDEX(tblMoveTypes[Courier?],MATCH($E655,tblMoveTypes[Movement],0)),"?")="No",$H655&lt;&gt;""),"Leave Courier blank",IF(AND(IFERROR(INDEX(tblMoveTypes[Orders?],MATCH($E655,tblMoveTypes[Movement],0)),"?")="Yes",$G655=""),"Orders needed",IF(AND(IFERROR(INDEX(tblMoveTypes[Orders?],MATCH($E655,tblMoveTypes[Movement],0)),"?")="No",$G655&lt;&gt;""),"Leave Orders blank",IF(AND(IFERROR(INDEX(tblMoveTypes[Reason?],MATCH($E655,tblMoveTypes[Movement],0)),"?")="Yes",$I655=""),"Reason needed",IF(AND(IFERROR(INDEX(tblMoveTypes[Qty?],MATCH($E655,tblMoveTypes[Movement],0)),"?")="Yes",N($F655)&lt;=0),"Qty needed",IF($A655&lt;_xlfn.MINIFS(tblShipment[Arrival Date],tblShipment[Shipment ID],$C655),"Date before arrival",IF(AND($D655&lt;&gt;"",COUNTIFS(tblShipment[Shipment ID],$C655,tblShipment[Item Code],$D655)=0),"Item not in this shipment",IF(AND($H655&lt;&gt;"",COUNTIFS(tblCouriers[Courier],$H655,tblCouriers[Market],$B655)=0),"Courier not in this market","OK")))))))))))))))</f>
        <v>OK</v>
      </c>
    </row>
    <row r="656" customFormat="false" ht="15" hidden="false" customHeight="false" outlineLevel="0" collapsed="false">
      <c r="A656" s="27" t="n">
        <v>46242</v>
      </c>
      <c r="B656" s="26" t="s">
        <v>78</v>
      </c>
      <c r="C656" s="26" t="s">
        <v>137</v>
      </c>
      <c r="D656" s="26" t="s">
        <v>83</v>
      </c>
      <c r="E656" s="26" t="s">
        <v>74</v>
      </c>
      <c r="F656" s="28" t="n">
        <v>60</v>
      </c>
      <c r="G656" s="28"/>
      <c r="H656" s="26"/>
      <c r="I656" s="26"/>
      <c r="J656" s="26"/>
      <c r="K656" s="29" t="str">
        <f aca="false">IF($A656="","",IF(COUNTIFS(tblMoveTypes[Movement],$E656)=0,"Unknown movement type",IF(COUNTIF(tblShipment[Shipment ID],$C656)=0,"Unknown shipment",IF(COUNTIFS(tblShipment[Shipment ID],$C656,tblShipment[Market],$B656)=0,"Market does not match shipment",IF(AND(IFERROR(INDEX(tblMoveTypes[Item?],MATCH($E656,tblMoveTypes[Movement],0)),"?")="Yes",$D656=""),"Item needed",IF(AND(IFERROR(INDEX(tblMoveTypes[Item?],MATCH($E656,tblMoveTypes[Movement],0)),"?")="No",$D656&lt;&gt;""),"Leave Item blank",IF(AND(IFERROR(INDEX(tblMoveTypes[Courier?],MATCH($E656,tblMoveTypes[Movement],0)),"?")="Yes",$H656=""),"Courier needed",IF(AND(IFERROR(INDEX(tblMoveTypes[Courier?],MATCH($E656,tblMoveTypes[Movement],0)),"?")="No",$H656&lt;&gt;""),"Leave Courier blank",IF(AND(IFERROR(INDEX(tblMoveTypes[Orders?],MATCH($E656,tblMoveTypes[Movement],0)),"?")="Yes",$G656=""),"Orders needed",IF(AND(IFERROR(INDEX(tblMoveTypes[Orders?],MATCH($E656,tblMoveTypes[Movement],0)),"?")="No",$G656&lt;&gt;""),"Leave Orders blank",IF(AND(IFERROR(INDEX(tblMoveTypes[Reason?],MATCH($E656,tblMoveTypes[Movement],0)),"?")="Yes",$I656=""),"Reason needed",IF(AND(IFERROR(INDEX(tblMoveTypes[Qty?],MATCH($E656,tblMoveTypes[Movement],0)),"?")="Yes",N($F656)&lt;=0),"Qty needed",IF($A656&lt;_xlfn.MINIFS(tblShipment[Arrival Date],tblShipment[Shipment ID],$C656),"Date before arrival",IF(AND($D656&lt;&gt;"",COUNTIFS(tblShipment[Shipment ID],$C656,tblShipment[Item Code],$D656)=0),"Item not in this shipment",IF(AND($H656&lt;&gt;"",COUNTIFS(tblCouriers[Courier],$H656,tblCouriers[Market],$B656)=0),"Courier not in this market","OK")))))))))))))))</f>
        <v>OK</v>
      </c>
    </row>
    <row r="657" customFormat="false" ht="15" hidden="false" customHeight="false" outlineLevel="0" collapsed="false">
      <c r="A657" s="27" t="n">
        <v>46242</v>
      </c>
      <c r="B657" s="26" t="s">
        <v>78</v>
      </c>
      <c r="C657" s="26" t="s">
        <v>137</v>
      </c>
      <c r="D657" s="26"/>
      <c r="E657" s="26" t="s">
        <v>98</v>
      </c>
      <c r="F657" s="28"/>
      <c r="G657" s="28" t="n">
        <v>31</v>
      </c>
      <c r="H657" s="26"/>
      <c r="I657" s="26"/>
      <c r="J657" s="26"/>
      <c r="K657" s="29" t="str">
        <f aca="false">IF($A657="","",IF(COUNTIFS(tblMoveTypes[Movement],$E657)=0,"Unknown movement type",IF(COUNTIF(tblShipment[Shipment ID],$C657)=0,"Unknown shipment",IF(COUNTIFS(tblShipment[Shipment ID],$C657,tblShipment[Market],$B657)=0,"Market does not match shipment",IF(AND(IFERROR(INDEX(tblMoveTypes[Item?],MATCH($E657,tblMoveTypes[Movement],0)),"?")="Yes",$D657=""),"Item needed",IF(AND(IFERROR(INDEX(tblMoveTypes[Item?],MATCH($E657,tblMoveTypes[Movement],0)),"?")="No",$D657&lt;&gt;""),"Leave Item blank",IF(AND(IFERROR(INDEX(tblMoveTypes[Courier?],MATCH($E657,tblMoveTypes[Movement],0)),"?")="Yes",$H657=""),"Courier needed",IF(AND(IFERROR(INDEX(tblMoveTypes[Courier?],MATCH($E657,tblMoveTypes[Movement],0)),"?")="No",$H657&lt;&gt;""),"Leave Courier blank",IF(AND(IFERROR(INDEX(tblMoveTypes[Orders?],MATCH($E657,tblMoveTypes[Movement],0)),"?")="Yes",$G657=""),"Orders needed",IF(AND(IFERROR(INDEX(tblMoveTypes[Orders?],MATCH($E657,tblMoveTypes[Movement],0)),"?")="No",$G657&lt;&gt;""),"Leave Orders blank",IF(AND(IFERROR(INDEX(tblMoveTypes[Reason?],MATCH($E657,tblMoveTypes[Movement],0)),"?")="Yes",$I657=""),"Reason needed",IF(AND(IFERROR(INDEX(tblMoveTypes[Qty?],MATCH($E657,tblMoveTypes[Movement],0)),"?")="Yes",N($F657)&lt;=0),"Qty needed",IF($A657&lt;_xlfn.MINIFS(tblShipment[Arrival Date],tblShipment[Shipment ID],$C657),"Date before arrival",IF(AND($D657&lt;&gt;"",COUNTIFS(tblShipment[Shipment ID],$C657,tblShipment[Item Code],$D657)=0),"Item not in this shipment",IF(AND($H657&lt;&gt;"",COUNTIFS(tblCouriers[Courier],$H657,tblCouriers[Market],$B657)=0),"Courier not in this market","OK")))))))))))))))</f>
        <v>OK</v>
      </c>
    </row>
    <row r="658" customFormat="false" ht="15" hidden="false" customHeight="false" outlineLevel="0" collapsed="false">
      <c r="A658" s="27" t="n">
        <v>46242</v>
      </c>
      <c r="B658" s="26" t="s">
        <v>78</v>
      </c>
      <c r="C658" s="26" t="s">
        <v>137</v>
      </c>
      <c r="D658" s="26" t="s">
        <v>67</v>
      </c>
      <c r="E658" s="26" t="s">
        <v>73</v>
      </c>
      <c r="F658" s="28" t="n">
        <v>2</v>
      </c>
      <c r="G658" s="28"/>
      <c r="H658" s="26"/>
      <c r="I658" s="26" t="s">
        <v>80</v>
      </c>
      <c r="J658" s="26"/>
      <c r="K658" s="29" t="str">
        <f aca="false">IF($A658="","",IF(COUNTIFS(tblMoveTypes[Movement],$E658)=0,"Unknown movement type",IF(COUNTIF(tblShipment[Shipment ID],$C658)=0,"Unknown shipment",IF(COUNTIFS(tblShipment[Shipment ID],$C658,tblShipment[Market],$B658)=0,"Market does not match shipment",IF(AND(IFERROR(INDEX(tblMoveTypes[Item?],MATCH($E658,tblMoveTypes[Movement],0)),"?")="Yes",$D658=""),"Item needed",IF(AND(IFERROR(INDEX(tblMoveTypes[Item?],MATCH($E658,tblMoveTypes[Movement],0)),"?")="No",$D658&lt;&gt;""),"Leave Item blank",IF(AND(IFERROR(INDEX(tblMoveTypes[Courier?],MATCH($E658,tblMoveTypes[Movement],0)),"?")="Yes",$H658=""),"Courier needed",IF(AND(IFERROR(INDEX(tblMoveTypes[Courier?],MATCH($E658,tblMoveTypes[Movement],0)),"?")="No",$H658&lt;&gt;""),"Leave Courier blank",IF(AND(IFERROR(INDEX(tblMoveTypes[Orders?],MATCH($E658,tblMoveTypes[Movement],0)),"?")="Yes",$G658=""),"Orders needed",IF(AND(IFERROR(INDEX(tblMoveTypes[Orders?],MATCH($E658,tblMoveTypes[Movement],0)),"?")="No",$G658&lt;&gt;""),"Leave Orders blank",IF(AND(IFERROR(INDEX(tblMoveTypes[Reason?],MATCH($E658,tblMoveTypes[Movement],0)),"?")="Yes",$I658=""),"Reason needed",IF(AND(IFERROR(INDEX(tblMoveTypes[Qty?],MATCH($E658,tblMoveTypes[Movement],0)),"?")="Yes",N($F658)&lt;=0),"Qty needed",IF($A658&lt;_xlfn.MINIFS(tblShipment[Arrival Date],tblShipment[Shipment ID],$C658),"Date before arrival",IF(AND($D658&lt;&gt;"",COUNTIFS(tblShipment[Shipment ID],$C658,tblShipment[Item Code],$D658)=0),"Item not in this shipment",IF(AND($H658&lt;&gt;"",COUNTIFS(tblCouriers[Courier],$H658,tblCouriers[Market],$B658)=0),"Courier not in this market","OK")))))))))))))))</f>
        <v>OK</v>
      </c>
    </row>
    <row r="659" customFormat="false" ht="15" hidden="false" customHeight="false" outlineLevel="0" collapsed="false">
      <c r="A659" s="27" t="n">
        <v>46242</v>
      </c>
      <c r="B659" s="26" t="s">
        <v>78</v>
      </c>
      <c r="C659" s="26" t="s">
        <v>137</v>
      </c>
      <c r="D659" s="26" t="s">
        <v>76</v>
      </c>
      <c r="E659" s="26" t="s">
        <v>73</v>
      </c>
      <c r="F659" s="28" t="n">
        <v>4</v>
      </c>
      <c r="G659" s="28"/>
      <c r="H659" s="26"/>
      <c r="I659" s="26" t="s">
        <v>80</v>
      </c>
      <c r="J659" s="26"/>
      <c r="K659" s="29" t="str">
        <f aca="false">IF($A659="","",IF(COUNTIFS(tblMoveTypes[Movement],$E659)=0,"Unknown movement type",IF(COUNTIF(tblShipment[Shipment ID],$C659)=0,"Unknown shipment",IF(COUNTIFS(tblShipment[Shipment ID],$C659,tblShipment[Market],$B659)=0,"Market does not match shipment",IF(AND(IFERROR(INDEX(tblMoveTypes[Item?],MATCH($E659,tblMoveTypes[Movement],0)),"?")="Yes",$D659=""),"Item needed",IF(AND(IFERROR(INDEX(tblMoveTypes[Item?],MATCH($E659,tblMoveTypes[Movement],0)),"?")="No",$D659&lt;&gt;""),"Leave Item blank",IF(AND(IFERROR(INDEX(tblMoveTypes[Courier?],MATCH($E659,tblMoveTypes[Movement],0)),"?")="Yes",$H659=""),"Courier needed",IF(AND(IFERROR(INDEX(tblMoveTypes[Courier?],MATCH($E659,tblMoveTypes[Movement],0)),"?")="No",$H659&lt;&gt;""),"Leave Courier blank",IF(AND(IFERROR(INDEX(tblMoveTypes[Orders?],MATCH($E659,tblMoveTypes[Movement],0)),"?")="Yes",$G659=""),"Orders needed",IF(AND(IFERROR(INDEX(tblMoveTypes[Orders?],MATCH($E659,tblMoveTypes[Movement],0)),"?")="No",$G659&lt;&gt;""),"Leave Orders blank",IF(AND(IFERROR(INDEX(tblMoveTypes[Reason?],MATCH($E659,tblMoveTypes[Movement],0)),"?")="Yes",$I659=""),"Reason needed",IF(AND(IFERROR(INDEX(tblMoveTypes[Qty?],MATCH($E659,tblMoveTypes[Movement],0)),"?")="Yes",N($F659)&lt;=0),"Qty needed",IF($A659&lt;_xlfn.MINIFS(tblShipment[Arrival Date],tblShipment[Shipment ID],$C659),"Date before arrival",IF(AND($D659&lt;&gt;"",COUNTIFS(tblShipment[Shipment ID],$C659,tblShipment[Item Code],$D659)=0),"Item not in this shipment",IF(AND($H659&lt;&gt;"",COUNTIFS(tblCouriers[Courier],$H659,tblCouriers[Market],$B659)=0),"Courier not in this market","OK")))))))))))))))</f>
        <v>OK</v>
      </c>
    </row>
    <row r="660" customFormat="false" ht="15" hidden="false" customHeight="false" outlineLevel="0" collapsed="false">
      <c r="A660" s="27" t="n">
        <v>46242</v>
      </c>
      <c r="B660" s="26" t="s">
        <v>78</v>
      </c>
      <c r="C660" s="26" t="s">
        <v>137</v>
      </c>
      <c r="D660" s="26" t="s">
        <v>88</v>
      </c>
      <c r="E660" s="26" t="s">
        <v>73</v>
      </c>
      <c r="F660" s="28" t="n">
        <v>2</v>
      </c>
      <c r="G660" s="28"/>
      <c r="H660" s="26"/>
      <c r="I660" s="26" t="s">
        <v>72</v>
      </c>
      <c r="J660" s="26"/>
      <c r="K660" s="29" t="str">
        <f aca="false">IF($A660="","",IF(COUNTIFS(tblMoveTypes[Movement],$E660)=0,"Unknown movement type",IF(COUNTIF(tblShipment[Shipment ID],$C660)=0,"Unknown shipment",IF(COUNTIFS(tblShipment[Shipment ID],$C660,tblShipment[Market],$B660)=0,"Market does not match shipment",IF(AND(IFERROR(INDEX(tblMoveTypes[Item?],MATCH($E660,tblMoveTypes[Movement],0)),"?")="Yes",$D660=""),"Item needed",IF(AND(IFERROR(INDEX(tblMoveTypes[Item?],MATCH($E660,tblMoveTypes[Movement],0)),"?")="No",$D660&lt;&gt;""),"Leave Item blank",IF(AND(IFERROR(INDEX(tblMoveTypes[Courier?],MATCH($E660,tblMoveTypes[Movement],0)),"?")="Yes",$H660=""),"Courier needed",IF(AND(IFERROR(INDEX(tblMoveTypes[Courier?],MATCH($E660,tblMoveTypes[Movement],0)),"?")="No",$H660&lt;&gt;""),"Leave Courier blank",IF(AND(IFERROR(INDEX(tblMoveTypes[Orders?],MATCH($E660,tblMoveTypes[Movement],0)),"?")="Yes",$G660=""),"Orders needed",IF(AND(IFERROR(INDEX(tblMoveTypes[Orders?],MATCH($E660,tblMoveTypes[Movement],0)),"?")="No",$G660&lt;&gt;""),"Leave Orders blank",IF(AND(IFERROR(INDEX(tblMoveTypes[Reason?],MATCH($E660,tblMoveTypes[Movement],0)),"?")="Yes",$I660=""),"Reason needed",IF(AND(IFERROR(INDEX(tblMoveTypes[Qty?],MATCH($E660,tblMoveTypes[Movement],0)),"?")="Yes",N($F660)&lt;=0),"Qty needed",IF($A660&lt;_xlfn.MINIFS(tblShipment[Arrival Date],tblShipment[Shipment ID],$C660),"Date before arrival",IF(AND($D660&lt;&gt;"",COUNTIFS(tblShipment[Shipment ID],$C660,tblShipment[Item Code],$D660)=0),"Item not in this shipment",IF(AND($H660&lt;&gt;"",COUNTIFS(tblCouriers[Courier],$H660,tblCouriers[Market],$B660)=0),"Courier not in this market","OK")))))))))))))))</f>
        <v>OK</v>
      </c>
    </row>
    <row r="661" customFormat="false" ht="15" hidden="false" customHeight="false" outlineLevel="0" collapsed="false">
      <c r="A661" s="27" t="n">
        <v>46242</v>
      </c>
      <c r="B661" s="26" t="s">
        <v>78</v>
      </c>
      <c r="C661" s="26" t="s">
        <v>137</v>
      </c>
      <c r="D661" s="26" t="s">
        <v>83</v>
      </c>
      <c r="E661" s="26" t="s">
        <v>73</v>
      </c>
      <c r="F661" s="28" t="n">
        <v>3</v>
      </c>
      <c r="G661" s="28"/>
      <c r="H661" s="26"/>
      <c r="I661" s="26" t="s">
        <v>87</v>
      </c>
      <c r="J661" s="26"/>
      <c r="K661" s="29" t="str">
        <f aca="false">IF($A661="","",IF(COUNTIFS(tblMoveTypes[Movement],$E661)=0,"Unknown movement type",IF(COUNTIF(tblShipment[Shipment ID],$C661)=0,"Unknown shipment",IF(COUNTIFS(tblShipment[Shipment ID],$C661,tblShipment[Market],$B661)=0,"Market does not match shipment",IF(AND(IFERROR(INDEX(tblMoveTypes[Item?],MATCH($E661,tblMoveTypes[Movement],0)),"?")="Yes",$D661=""),"Item needed",IF(AND(IFERROR(INDEX(tblMoveTypes[Item?],MATCH($E661,tblMoveTypes[Movement],0)),"?")="No",$D661&lt;&gt;""),"Leave Item blank",IF(AND(IFERROR(INDEX(tblMoveTypes[Courier?],MATCH($E661,tblMoveTypes[Movement],0)),"?")="Yes",$H661=""),"Courier needed",IF(AND(IFERROR(INDEX(tblMoveTypes[Courier?],MATCH($E661,tblMoveTypes[Movement],0)),"?")="No",$H661&lt;&gt;""),"Leave Courier blank",IF(AND(IFERROR(INDEX(tblMoveTypes[Orders?],MATCH($E661,tblMoveTypes[Movement],0)),"?")="Yes",$G661=""),"Orders needed",IF(AND(IFERROR(INDEX(tblMoveTypes[Orders?],MATCH($E661,tblMoveTypes[Movement],0)),"?")="No",$G661&lt;&gt;""),"Leave Orders blank",IF(AND(IFERROR(INDEX(tblMoveTypes[Reason?],MATCH($E661,tblMoveTypes[Movement],0)),"?")="Yes",$I661=""),"Reason needed",IF(AND(IFERROR(INDEX(tblMoveTypes[Qty?],MATCH($E661,tblMoveTypes[Movement],0)),"?")="Yes",N($F661)&lt;=0),"Qty needed",IF($A661&lt;_xlfn.MINIFS(tblShipment[Arrival Date],tblShipment[Shipment ID],$C661),"Date before arrival",IF(AND($D661&lt;&gt;"",COUNTIFS(tblShipment[Shipment ID],$C661,tblShipment[Item Code],$D661)=0),"Item not in this shipment",IF(AND($H661&lt;&gt;"",COUNTIFS(tblCouriers[Courier],$H661,tblCouriers[Market],$B661)=0),"Courier not in this market","OK")))))))))))))))</f>
        <v>OK</v>
      </c>
    </row>
    <row r="662" customFormat="false" ht="15" hidden="false" customHeight="false" outlineLevel="0" collapsed="false">
      <c r="A662" s="27" t="n">
        <v>46242</v>
      </c>
      <c r="B662" s="26" t="s">
        <v>78</v>
      </c>
      <c r="C662" s="26" t="s">
        <v>137</v>
      </c>
      <c r="D662" s="26" t="s">
        <v>67</v>
      </c>
      <c r="E662" s="26" t="s">
        <v>93</v>
      </c>
      <c r="F662" s="28" t="n">
        <v>19</v>
      </c>
      <c r="G662" s="28"/>
      <c r="H662" s="26" t="s">
        <v>79</v>
      </c>
      <c r="I662" s="26"/>
      <c r="J662" s="26"/>
      <c r="K662" s="29" t="str">
        <f aca="false">IF($A662="","",IF(COUNTIFS(tblMoveTypes[Movement],$E662)=0,"Unknown movement type",IF(COUNTIF(tblShipment[Shipment ID],$C662)=0,"Unknown shipment",IF(COUNTIFS(tblShipment[Shipment ID],$C662,tblShipment[Market],$B662)=0,"Market does not match shipment",IF(AND(IFERROR(INDEX(tblMoveTypes[Item?],MATCH($E662,tblMoveTypes[Movement],0)),"?")="Yes",$D662=""),"Item needed",IF(AND(IFERROR(INDEX(tblMoveTypes[Item?],MATCH($E662,tblMoveTypes[Movement],0)),"?")="No",$D662&lt;&gt;""),"Leave Item blank",IF(AND(IFERROR(INDEX(tblMoveTypes[Courier?],MATCH($E662,tblMoveTypes[Movement],0)),"?")="Yes",$H662=""),"Courier needed",IF(AND(IFERROR(INDEX(tblMoveTypes[Courier?],MATCH($E662,tblMoveTypes[Movement],0)),"?")="No",$H662&lt;&gt;""),"Leave Courier blank",IF(AND(IFERROR(INDEX(tblMoveTypes[Orders?],MATCH($E662,tblMoveTypes[Movement],0)),"?")="Yes",$G662=""),"Orders needed",IF(AND(IFERROR(INDEX(tblMoveTypes[Orders?],MATCH($E662,tblMoveTypes[Movement],0)),"?")="No",$G662&lt;&gt;""),"Leave Orders blank",IF(AND(IFERROR(INDEX(tblMoveTypes[Reason?],MATCH($E662,tblMoveTypes[Movement],0)),"?")="Yes",$I662=""),"Reason needed",IF(AND(IFERROR(INDEX(tblMoveTypes[Qty?],MATCH($E662,tblMoveTypes[Movement],0)),"?")="Yes",N($F662)&lt;=0),"Qty needed",IF($A662&lt;_xlfn.MINIFS(tblShipment[Arrival Date],tblShipment[Shipment ID],$C662),"Date before arrival",IF(AND($D662&lt;&gt;"",COUNTIFS(tblShipment[Shipment ID],$C662,tblShipment[Item Code],$D662)=0),"Item not in this shipment",IF(AND($H662&lt;&gt;"",COUNTIFS(tblCouriers[Courier],$H662,tblCouriers[Market],$B662)=0),"Courier not in this market","OK")))))))))))))))</f>
        <v>OK</v>
      </c>
    </row>
    <row r="663" customFormat="false" ht="15" hidden="false" customHeight="false" outlineLevel="0" collapsed="false">
      <c r="A663" s="27" t="n">
        <v>46242</v>
      </c>
      <c r="B663" s="26" t="s">
        <v>78</v>
      </c>
      <c r="C663" s="26" t="s">
        <v>137</v>
      </c>
      <c r="D663" s="26" t="s">
        <v>67</v>
      </c>
      <c r="E663" s="26" t="s">
        <v>93</v>
      </c>
      <c r="F663" s="28" t="n">
        <v>13</v>
      </c>
      <c r="G663" s="28"/>
      <c r="H663" s="26" t="s">
        <v>86</v>
      </c>
      <c r="I663" s="26"/>
      <c r="J663" s="26"/>
      <c r="K663" s="29" t="str">
        <f aca="false">IF($A663="","",IF(COUNTIFS(tblMoveTypes[Movement],$E663)=0,"Unknown movement type",IF(COUNTIF(tblShipment[Shipment ID],$C663)=0,"Unknown shipment",IF(COUNTIFS(tblShipment[Shipment ID],$C663,tblShipment[Market],$B663)=0,"Market does not match shipment",IF(AND(IFERROR(INDEX(tblMoveTypes[Item?],MATCH($E663,tblMoveTypes[Movement],0)),"?")="Yes",$D663=""),"Item needed",IF(AND(IFERROR(INDEX(tblMoveTypes[Item?],MATCH($E663,tblMoveTypes[Movement],0)),"?")="No",$D663&lt;&gt;""),"Leave Item blank",IF(AND(IFERROR(INDEX(tblMoveTypes[Courier?],MATCH($E663,tblMoveTypes[Movement],0)),"?")="Yes",$H663=""),"Courier needed",IF(AND(IFERROR(INDEX(tblMoveTypes[Courier?],MATCH($E663,tblMoveTypes[Movement],0)),"?")="No",$H663&lt;&gt;""),"Leave Courier blank",IF(AND(IFERROR(INDEX(tblMoveTypes[Orders?],MATCH($E663,tblMoveTypes[Movement],0)),"?")="Yes",$G663=""),"Orders needed",IF(AND(IFERROR(INDEX(tblMoveTypes[Orders?],MATCH($E663,tblMoveTypes[Movement],0)),"?")="No",$G663&lt;&gt;""),"Leave Orders blank",IF(AND(IFERROR(INDEX(tblMoveTypes[Reason?],MATCH($E663,tblMoveTypes[Movement],0)),"?")="Yes",$I663=""),"Reason needed",IF(AND(IFERROR(INDEX(tblMoveTypes[Qty?],MATCH($E663,tblMoveTypes[Movement],0)),"?")="Yes",N($F663)&lt;=0),"Qty needed",IF($A663&lt;_xlfn.MINIFS(tblShipment[Arrival Date],tblShipment[Shipment ID],$C663),"Date before arrival",IF(AND($D663&lt;&gt;"",COUNTIFS(tblShipment[Shipment ID],$C663,tblShipment[Item Code],$D663)=0),"Item not in this shipment",IF(AND($H663&lt;&gt;"",COUNTIFS(tblCouriers[Courier],$H663,tblCouriers[Market],$B663)=0),"Courier not in this market","OK")))))))))))))))</f>
        <v>OK</v>
      </c>
    </row>
    <row r="664" customFormat="false" ht="15" hidden="false" customHeight="false" outlineLevel="0" collapsed="false">
      <c r="A664" s="27" t="n">
        <v>46242</v>
      </c>
      <c r="B664" s="26" t="s">
        <v>78</v>
      </c>
      <c r="C664" s="26" t="s">
        <v>137</v>
      </c>
      <c r="D664" s="26" t="s">
        <v>76</v>
      </c>
      <c r="E664" s="26" t="s">
        <v>93</v>
      </c>
      <c r="F664" s="28" t="n">
        <v>38</v>
      </c>
      <c r="G664" s="28"/>
      <c r="H664" s="26" t="s">
        <v>79</v>
      </c>
      <c r="I664" s="26"/>
      <c r="J664" s="26"/>
      <c r="K664" s="29" t="str">
        <f aca="false">IF($A664="","",IF(COUNTIFS(tblMoveTypes[Movement],$E664)=0,"Unknown movement type",IF(COUNTIF(tblShipment[Shipment ID],$C664)=0,"Unknown shipment",IF(COUNTIFS(tblShipment[Shipment ID],$C664,tblShipment[Market],$B664)=0,"Market does not match shipment",IF(AND(IFERROR(INDEX(tblMoveTypes[Item?],MATCH($E664,tblMoveTypes[Movement],0)),"?")="Yes",$D664=""),"Item needed",IF(AND(IFERROR(INDEX(tblMoveTypes[Item?],MATCH($E664,tblMoveTypes[Movement],0)),"?")="No",$D664&lt;&gt;""),"Leave Item blank",IF(AND(IFERROR(INDEX(tblMoveTypes[Courier?],MATCH($E664,tblMoveTypes[Movement],0)),"?")="Yes",$H664=""),"Courier needed",IF(AND(IFERROR(INDEX(tblMoveTypes[Courier?],MATCH($E664,tblMoveTypes[Movement],0)),"?")="No",$H664&lt;&gt;""),"Leave Courier blank",IF(AND(IFERROR(INDEX(tblMoveTypes[Orders?],MATCH($E664,tblMoveTypes[Movement],0)),"?")="Yes",$G664=""),"Orders needed",IF(AND(IFERROR(INDEX(tblMoveTypes[Orders?],MATCH($E664,tblMoveTypes[Movement],0)),"?")="No",$G664&lt;&gt;""),"Leave Orders blank",IF(AND(IFERROR(INDEX(tblMoveTypes[Reason?],MATCH($E664,tblMoveTypes[Movement],0)),"?")="Yes",$I664=""),"Reason needed",IF(AND(IFERROR(INDEX(tblMoveTypes[Qty?],MATCH($E664,tblMoveTypes[Movement],0)),"?")="Yes",N($F664)&lt;=0),"Qty needed",IF($A664&lt;_xlfn.MINIFS(tblShipment[Arrival Date],tblShipment[Shipment ID],$C664),"Date before arrival",IF(AND($D664&lt;&gt;"",COUNTIFS(tblShipment[Shipment ID],$C664,tblShipment[Item Code],$D664)=0),"Item not in this shipment",IF(AND($H664&lt;&gt;"",COUNTIFS(tblCouriers[Courier],$H664,tblCouriers[Market],$B664)=0),"Courier not in this market","OK")))))))))))))))</f>
        <v>OK</v>
      </c>
    </row>
    <row r="665" customFormat="false" ht="15" hidden="false" customHeight="false" outlineLevel="0" collapsed="false">
      <c r="A665" s="27" t="n">
        <v>46242</v>
      </c>
      <c r="B665" s="26" t="s">
        <v>78</v>
      </c>
      <c r="C665" s="26" t="s">
        <v>137</v>
      </c>
      <c r="D665" s="26" t="s">
        <v>76</v>
      </c>
      <c r="E665" s="26" t="s">
        <v>93</v>
      </c>
      <c r="F665" s="28" t="n">
        <v>26</v>
      </c>
      <c r="G665" s="28"/>
      <c r="H665" s="26" t="s">
        <v>86</v>
      </c>
      <c r="I665" s="26"/>
      <c r="J665" s="26"/>
      <c r="K665" s="29" t="str">
        <f aca="false">IF($A665="","",IF(COUNTIFS(tblMoveTypes[Movement],$E665)=0,"Unknown movement type",IF(COUNTIF(tblShipment[Shipment ID],$C665)=0,"Unknown shipment",IF(COUNTIFS(tblShipment[Shipment ID],$C665,tblShipment[Market],$B665)=0,"Market does not match shipment",IF(AND(IFERROR(INDEX(tblMoveTypes[Item?],MATCH($E665,tblMoveTypes[Movement],0)),"?")="Yes",$D665=""),"Item needed",IF(AND(IFERROR(INDEX(tblMoveTypes[Item?],MATCH($E665,tblMoveTypes[Movement],0)),"?")="No",$D665&lt;&gt;""),"Leave Item blank",IF(AND(IFERROR(INDEX(tblMoveTypes[Courier?],MATCH($E665,tblMoveTypes[Movement],0)),"?")="Yes",$H665=""),"Courier needed",IF(AND(IFERROR(INDEX(tblMoveTypes[Courier?],MATCH($E665,tblMoveTypes[Movement],0)),"?")="No",$H665&lt;&gt;""),"Leave Courier blank",IF(AND(IFERROR(INDEX(tblMoveTypes[Orders?],MATCH($E665,tblMoveTypes[Movement],0)),"?")="Yes",$G665=""),"Orders needed",IF(AND(IFERROR(INDEX(tblMoveTypes[Orders?],MATCH($E665,tblMoveTypes[Movement],0)),"?")="No",$G665&lt;&gt;""),"Leave Orders blank",IF(AND(IFERROR(INDEX(tblMoveTypes[Reason?],MATCH($E665,tblMoveTypes[Movement],0)),"?")="Yes",$I665=""),"Reason needed",IF(AND(IFERROR(INDEX(tblMoveTypes[Qty?],MATCH($E665,tblMoveTypes[Movement],0)),"?")="Yes",N($F665)&lt;=0),"Qty needed",IF($A665&lt;_xlfn.MINIFS(tblShipment[Arrival Date],tblShipment[Shipment ID],$C665),"Date before arrival",IF(AND($D665&lt;&gt;"",COUNTIFS(tblShipment[Shipment ID],$C665,tblShipment[Item Code],$D665)=0),"Item not in this shipment",IF(AND($H665&lt;&gt;"",COUNTIFS(tblCouriers[Courier],$H665,tblCouriers[Market],$B665)=0),"Courier not in this market","OK")))))))))))))))</f>
        <v>OK</v>
      </c>
    </row>
    <row r="666" customFormat="false" ht="15" hidden="false" customHeight="false" outlineLevel="0" collapsed="false">
      <c r="A666" s="27" t="n">
        <v>46242</v>
      </c>
      <c r="B666" s="26" t="s">
        <v>78</v>
      </c>
      <c r="C666" s="26" t="s">
        <v>137</v>
      </c>
      <c r="D666" s="26" t="s">
        <v>88</v>
      </c>
      <c r="E666" s="26" t="s">
        <v>93</v>
      </c>
      <c r="F666" s="28" t="n">
        <v>19</v>
      </c>
      <c r="G666" s="28"/>
      <c r="H666" s="26" t="s">
        <v>79</v>
      </c>
      <c r="I666" s="26"/>
      <c r="J666" s="26"/>
      <c r="K666" s="29" t="str">
        <f aca="false">IF($A666="","",IF(COUNTIFS(tblMoveTypes[Movement],$E666)=0,"Unknown movement type",IF(COUNTIF(tblShipment[Shipment ID],$C666)=0,"Unknown shipment",IF(COUNTIFS(tblShipment[Shipment ID],$C666,tblShipment[Market],$B666)=0,"Market does not match shipment",IF(AND(IFERROR(INDEX(tblMoveTypes[Item?],MATCH($E666,tblMoveTypes[Movement],0)),"?")="Yes",$D666=""),"Item needed",IF(AND(IFERROR(INDEX(tblMoveTypes[Item?],MATCH($E666,tblMoveTypes[Movement],0)),"?")="No",$D666&lt;&gt;""),"Leave Item blank",IF(AND(IFERROR(INDEX(tblMoveTypes[Courier?],MATCH($E666,tblMoveTypes[Movement],0)),"?")="Yes",$H666=""),"Courier needed",IF(AND(IFERROR(INDEX(tblMoveTypes[Courier?],MATCH($E666,tblMoveTypes[Movement],0)),"?")="No",$H666&lt;&gt;""),"Leave Courier blank",IF(AND(IFERROR(INDEX(tblMoveTypes[Orders?],MATCH($E666,tblMoveTypes[Movement],0)),"?")="Yes",$G666=""),"Orders needed",IF(AND(IFERROR(INDEX(tblMoveTypes[Orders?],MATCH($E666,tblMoveTypes[Movement],0)),"?")="No",$G666&lt;&gt;""),"Leave Orders blank",IF(AND(IFERROR(INDEX(tblMoveTypes[Reason?],MATCH($E666,tblMoveTypes[Movement],0)),"?")="Yes",$I666=""),"Reason needed",IF(AND(IFERROR(INDEX(tblMoveTypes[Qty?],MATCH($E666,tblMoveTypes[Movement],0)),"?")="Yes",N($F666)&lt;=0),"Qty needed",IF($A666&lt;_xlfn.MINIFS(tblShipment[Arrival Date],tblShipment[Shipment ID],$C666),"Date before arrival",IF(AND($D666&lt;&gt;"",COUNTIFS(tblShipment[Shipment ID],$C666,tblShipment[Item Code],$D666)=0),"Item not in this shipment",IF(AND($H666&lt;&gt;"",COUNTIFS(tblCouriers[Courier],$H666,tblCouriers[Market],$B666)=0),"Courier not in this market","OK")))))))))))))))</f>
        <v>OK</v>
      </c>
    </row>
    <row r="667" customFormat="false" ht="15" hidden="false" customHeight="false" outlineLevel="0" collapsed="false">
      <c r="A667" s="27" t="n">
        <v>46242</v>
      </c>
      <c r="B667" s="26" t="s">
        <v>78</v>
      </c>
      <c r="C667" s="26" t="s">
        <v>137</v>
      </c>
      <c r="D667" s="26" t="s">
        <v>88</v>
      </c>
      <c r="E667" s="26" t="s">
        <v>93</v>
      </c>
      <c r="F667" s="28" t="n">
        <v>13</v>
      </c>
      <c r="G667" s="28"/>
      <c r="H667" s="26" t="s">
        <v>86</v>
      </c>
      <c r="I667" s="26"/>
      <c r="J667" s="26"/>
      <c r="K667" s="29" t="str">
        <f aca="false">IF($A667="","",IF(COUNTIFS(tblMoveTypes[Movement],$E667)=0,"Unknown movement type",IF(COUNTIF(tblShipment[Shipment ID],$C667)=0,"Unknown shipment",IF(COUNTIFS(tblShipment[Shipment ID],$C667,tblShipment[Market],$B667)=0,"Market does not match shipment",IF(AND(IFERROR(INDEX(tblMoveTypes[Item?],MATCH($E667,tblMoveTypes[Movement],0)),"?")="Yes",$D667=""),"Item needed",IF(AND(IFERROR(INDEX(tblMoveTypes[Item?],MATCH($E667,tblMoveTypes[Movement],0)),"?")="No",$D667&lt;&gt;""),"Leave Item blank",IF(AND(IFERROR(INDEX(tblMoveTypes[Courier?],MATCH($E667,tblMoveTypes[Movement],0)),"?")="Yes",$H667=""),"Courier needed",IF(AND(IFERROR(INDEX(tblMoveTypes[Courier?],MATCH($E667,tblMoveTypes[Movement],0)),"?")="No",$H667&lt;&gt;""),"Leave Courier blank",IF(AND(IFERROR(INDEX(tblMoveTypes[Orders?],MATCH($E667,tblMoveTypes[Movement],0)),"?")="Yes",$G667=""),"Orders needed",IF(AND(IFERROR(INDEX(tblMoveTypes[Orders?],MATCH($E667,tblMoveTypes[Movement],0)),"?")="No",$G667&lt;&gt;""),"Leave Orders blank",IF(AND(IFERROR(INDEX(tblMoveTypes[Reason?],MATCH($E667,tblMoveTypes[Movement],0)),"?")="Yes",$I667=""),"Reason needed",IF(AND(IFERROR(INDEX(tblMoveTypes[Qty?],MATCH($E667,tblMoveTypes[Movement],0)),"?")="Yes",N($F667)&lt;=0),"Qty needed",IF($A667&lt;_xlfn.MINIFS(tblShipment[Arrival Date],tblShipment[Shipment ID],$C667),"Date before arrival",IF(AND($D667&lt;&gt;"",COUNTIFS(tblShipment[Shipment ID],$C667,tblShipment[Item Code],$D667)=0),"Item not in this shipment",IF(AND($H667&lt;&gt;"",COUNTIFS(tblCouriers[Courier],$H667,tblCouriers[Market],$B667)=0),"Courier not in this market","OK")))))))))))))))</f>
        <v>OK</v>
      </c>
    </row>
    <row r="668" customFormat="false" ht="15" hidden="false" customHeight="false" outlineLevel="0" collapsed="false">
      <c r="A668" s="27" t="n">
        <v>46242</v>
      </c>
      <c r="B668" s="26" t="s">
        <v>78</v>
      </c>
      <c r="C668" s="26" t="s">
        <v>137</v>
      </c>
      <c r="D668" s="26" t="s">
        <v>83</v>
      </c>
      <c r="E668" s="26" t="s">
        <v>93</v>
      </c>
      <c r="F668" s="28" t="n">
        <v>29</v>
      </c>
      <c r="G668" s="28"/>
      <c r="H668" s="26" t="s">
        <v>79</v>
      </c>
      <c r="I668" s="26"/>
      <c r="J668" s="26"/>
      <c r="K668" s="29" t="str">
        <f aca="false">IF($A668="","",IF(COUNTIFS(tblMoveTypes[Movement],$E668)=0,"Unknown movement type",IF(COUNTIF(tblShipment[Shipment ID],$C668)=0,"Unknown shipment",IF(COUNTIFS(tblShipment[Shipment ID],$C668,tblShipment[Market],$B668)=0,"Market does not match shipment",IF(AND(IFERROR(INDEX(tblMoveTypes[Item?],MATCH($E668,tblMoveTypes[Movement],0)),"?")="Yes",$D668=""),"Item needed",IF(AND(IFERROR(INDEX(tblMoveTypes[Item?],MATCH($E668,tblMoveTypes[Movement],0)),"?")="No",$D668&lt;&gt;""),"Leave Item blank",IF(AND(IFERROR(INDEX(tblMoveTypes[Courier?],MATCH($E668,tblMoveTypes[Movement],0)),"?")="Yes",$H668=""),"Courier needed",IF(AND(IFERROR(INDEX(tblMoveTypes[Courier?],MATCH($E668,tblMoveTypes[Movement],0)),"?")="No",$H668&lt;&gt;""),"Leave Courier blank",IF(AND(IFERROR(INDEX(tblMoveTypes[Orders?],MATCH($E668,tblMoveTypes[Movement],0)),"?")="Yes",$G668=""),"Orders needed",IF(AND(IFERROR(INDEX(tblMoveTypes[Orders?],MATCH($E668,tblMoveTypes[Movement],0)),"?")="No",$G668&lt;&gt;""),"Leave Orders blank",IF(AND(IFERROR(INDEX(tblMoveTypes[Reason?],MATCH($E668,tblMoveTypes[Movement],0)),"?")="Yes",$I668=""),"Reason needed",IF(AND(IFERROR(INDEX(tblMoveTypes[Qty?],MATCH($E668,tblMoveTypes[Movement],0)),"?")="Yes",N($F668)&lt;=0),"Qty needed",IF($A668&lt;_xlfn.MINIFS(tblShipment[Arrival Date],tblShipment[Shipment ID],$C668),"Date before arrival",IF(AND($D668&lt;&gt;"",COUNTIFS(tblShipment[Shipment ID],$C668,tblShipment[Item Code],$D668)=0),"Item not in this shipment",IF(AND($H668&lt;&gt;"",COUNTIFS(tblCouriers[Courier],$H668,tblCouriers[Market],$B668)=0),"Courier not in this market","OK")))))))))))))))</f>
        <v>OK</v>
      </c>
    </row>
    <row r="669" customFormat="false" ht="15" hidden="false" customHeight="false" outlineLevel="0" collapsed="false">
      <c r="A669" s="27" t="n">
        <v>46242</v>
      </c>
      <c r="B669" s="26" t="s">
        <v>78</v>
      </c>
      <c r="C669" s="26" t="s">
        <v>137</v>
      </c>
      <c r="D669" s="26" t="s">
        <v>83</v>
      </c>
      <c r="E669" s="26" t="s">
        <v>93</v>
      </c>
      <c r="F669" s="28" t="n">
        <v>19</v>
      </c>
      <c r="G669" s="28"/>
      <c r="H669" s="26" t="s">
        <v>86</v>
      </c>
      <c r="I669" s="26"/>
      <c r="J669" s="26"/>
      <c r="K669" s="29" t="str">
        <f aca="false">IF($A669="","",IF(COUNTIFS(tblMoveTypes[Movement],$E669)=0,"Unknown movement type",IF(COUNTIF(tblShipment[Shipment ID],$C669)=0,"Unknown shipment",IF(COUNTIFS(tblShipment[Shipment ID],$C669,tblShipment[Market],$B669)=0,"Market does not match shipment",IF(AND(IFERROR(INDEX(tblMoveTypes[Item?],MATCH($E669,tblMoveTypes[Movement],0)),"?")="Yes",$D669=""),"Item needed",IF(AND(IFERROR(INDEX(tblMoveTypes[Item?],MATCH($E669,tblMoveTypes[Movement],0)),"?")="No",$D669&lt;&gt;""),"Leave Item blank",IF(AND(IFERROR(INDEX(tblMoveTypes[Courier?],MATCH($E669,tblMoveTypes[Movement],0)),"?")="Yes",$H669=""),"Courier needed",IF(AND(IFERROR(INDEX(tblMoveTypes[Courier?],MATCH($E669,tblMoveTypes[Movement],0)),"?")="No",$H669&lt;&gt;""),"Leave Courier blank",IF(AND(IFERROR(INDEX(tblMoveTypes[Orders?],MATCH($E669,tblMoveTypes[Movement],0)),"?")="Yes",$G669=""),"Orders needed",IF(AND(IFERROR(INDEX(tblMoveTypes[Orders?],MATCH($E669,tblMoveTypes[Movement],0)),"?")="No",$G669&lt;&gt;""),"Leave Orders blank",IF(AND(IFERROR(INDEX(tblMoveTypes[Reason?],MATCH($E669,tblMoveTypes[Movement],0)),"?")="Yes",$I669=""),"Reason needed",IF(AND(IFERROR(INDEX(tblMoveTypes[Qty?],MATCH($E669,tblMoveTypes[Movement],0)),"?")="Yes",N($F669)&lt;=0),"Qty needed",IF($A669&lt;_xlfn.MINIFS(tblShipment[Arrival Date],tblShipment[Shipment ID],$C669),"Date before arrival",IF(AND($D669&lt;&gt;"",COUNTIFS(tblShipment[Shipment ID],$C669,tblShipment[Item Code],$D669)=0),"Item not in this shipment",IF(AND($H669&lt;&gt;"",COUNTIFS(tblCouriers[Courier],$H669,tblCouriers[Market],$B669)=0),"Courier not in this market","OK")))))))))))))))</f>
        <v>OK</v>
      </c>
    </row>
    <row r="670" customFormat="false" ht="15" hidden="false" customHeight="false" outlineLevel="0" collapsed="false">
      <c r="A670" s="27" t="n">
        <v>46242</v>
      </c>
      <c r="B670" s="26" t="s">
        <v>78</v>
      </c>
      <c r="C670" s="26" t="s">
        <v>137</v>
      </c>
      <c r="D670" s="26"/>
      <c r="E670" s="26" t="s">
        <v>104</v>
      </c>
      <c r="F670" s="28"/>
      <c r="G670" s="28" t="n">
        <v>18</v>
      </c>
      <c r="H670" s="26" t="s">
        <v>79</v>
      </c>
      <c r="I670" s="26"/>
      <c r="J670" s="26"/>
      <c r="K670" s="29" t="str">
        <f aca="false">IF($A670="","",IF(COUNTIFS(tblMoveTypes[Movement],$E670)=0,"Unknown movement type",IF(COUNTIF(tblShipment[Shipment ID],$C670)=0,"Unknown shipment",IF(COUNTIFS(tblShipment[Shipment ID],$C670,tblShipment[Market],$B670)=0,"Market does not match shipment",IF(AND(IFERROR(INDEX(tblMoveTypes[Item?],MATCH($E670,tblMoveTypes[Movement],0)),"?")="Yes",$D670=""),"Item needed",IF(AND(IFERROR(INDEX(tblMoveTypes[Item?],MATCH($E670,tblMoveTypes[Movement],0)),"?")="No",$D670&lt;&gt;""),"Leave Item blank",IF(AND(IFERROR(INDEX(tblMoveTypes[Courier?],MATCH($E670,tblMoveTypes[Movement],0)),"?")="Yes",$H670=""),"Courier needed",IF(AND(IFERROR(INDEX(tblMoveTypes[Courier?],MATCH($E670,tblMoveTypes[Movement],0)),"?")="No",$H670&lt;&gt;""),"Leave Courier blank",IF(AND(IFERROR(INDEX(tblMoveTypes[Orders?],MATCH($E670,tblMoveTypes[Movement],0)),"?")="Yes",$G670=""),"Orders needed",IF(AND(IFERROR(INDEX(tblMoveTypes[Orders?],MATCH($E670,tblMoveTypes[Movement],0)),"?")="No",$G670&lt;&gt;""),"Leave Orders blank",IF(AND(IFERROR(INDEX(tblMoveTypes[Reason?],MATCH($E670,tblMoveTypes[Movement],0)),"?")="Yes",$I670=""),"Reason needed",IF(AND(IFERROR(INDEX(tblMoveTypes[Qty?],MATCH($E670,tblMoveTypes[Movement],0)),"?")="Yes",N($F670)&lt;=0),"Qty needed",IF($A670&lt;_xlfn.MINIFS(tblShipment[Arrival Date],tblShipment[Shipment ID],$C670),"Date before arrival",IF(AND($D670&lt;&gt;"",COUNTIFS(tblShipment[Shipment ID],$C670,tblShipment[Item Code],$D670)=0),"Item not in this shipment",IF(AND($H670&lt;&gt;"",COUNTIFS(tblCouriers[Courier],$H670,tblCouriers[Market],$B670)=0),"Courier not in this market","OK")))))))))))))))</f>
        <v>OK</v>
      </c>
    </row>
    <row r="671" customFormat="false" ht="15" hidden="false" customHeight="false" outlineLevel="0" collapsed="false">
      <c r="A671" s="27" t="n">
        <v>46242</v>
      </c>
      <c r="B671" s="26" t="s">
        <v>78</v>
      </c>
      <c r="C671" s="26" t="s">
        <v>137</v>
      </c>
      <c r="D671" s="26"/>
      <c r="E671" s="26" t="s">
        <v>104</v>
      </c>
      <c r="F671" s="28"/>
      <c r="G671" s="28" t="n">
        <v>13</v>
      </c>
      <c r="H671" s="26" t="s">
        <v>86</v>
      </c>
      <c r="I671" s="26"/>
      <c r="J671" s="26"/>
      <c r="K671" s="29" t="str">
        <f aca="false">IF($A671="","",IF(COUNTIFS(tblMoveTypes[Movement],$E671)=0,"Unknown movement type",IF(COUNTIF(tblShipment[Shipment ID],$C671)=0,"Unknown shipment",IF(COUNTIFS(tblShipment[Shipment ID],$C671,tblShipment[Market],$B671)=0,"Market does not match shipment",IF(AND(IFERROR(INDEX(tblMoveTypes[Item?],MATCH($E671,tblMoveTypes[Movement],0)),"?")="Yes",$D671=""),"Item needed",IF(AND(IFERROR(INDEX(tblMoveTypes[Item?],MATCH($E671,tblMoveTypes[Movement],0)),"?")="No",$D671&lt;&gt;""),"Leave Item blank",IF(AND(IFERROR(INDEX(tblMoveTypes[Courier?],MATCH($E671,tblMoveTypes[Movement],0)),"?")="Yes",$H671=""),"Courier needed",IF(AND(IFERROR(INDEX(tblMoveTypes[Courier?],MATCH($E671,tblMoveTypes[Movement],0)),"?")="No",$H671&lt;&gt;""),"Leave Courier blank",IF(AND(IFERROR(INDEX(tblMoveTypes[Orders?],MATCH($E671,tblMoveTypes[Movement],0)),"?")="Yes",$G671=""),"Orders needed",IF(AND(IFERROR(INDEX(tblMoveTypes[Orders?],MATCH($E671,tblMoveTypes[Movement],0)),"?")="No",$G671&lt;&gt;""),"Leave Orders blank",IF(AND(IFERROR(INDEX(tblMoveTypes[Reason?],MATCH($E671,tblMoveTypes[Movement],0)),"?")="Yes",$I671=""),"Reason needed",IF(AND(IFERROR(INDEX(tblMoveTypes[Qty?],MATCH($E671,tblMoveTypes[Movement],0)),"?")="Yes",N($F671)&lt;=0),"Qty needed",IF($A671&lt;_xlfn.MINIFS(tblShipment[Arrival Date],tblShipment[Shipment ID],$C671),"Date before arrival",IF(AND($D671&lt;&gt;"",COUNTIFS(tblShipment[Shipment ID],$C671,tblShipment[Item Code],$D671)=0),"Item not in this shipment",IF(AND($H671&lt;&gt;"",COUNTIFS(tblCouriers[Courier],$H671,tblCouriers[Market],$B671)=0),"Courier not in this market","OK")))))))))))))))</f>
        <v>OK</v>
      </c>
    </row>
    <row r="672" customFormat="false" ht="15" hidden="false" customHeight="false" outlineLevel="0" collapsed="false">
      <c r="A672" s="27" t="n">
        <v>46242</v>
      </c>
      <c r="B672" s="26" t="s">
        <v>78</v>
      </c>
      <c r="C672" s="26" t="s">
        <v>137</v>
      </c>
      <c r="D672" s="26"/>
      <c r="E672" s="26" t="s">
        <v>106</v>
      </c>
      <c r="F672" s="28" t="n">
        <v>27</v>
      </c>
      <c r="G672" s="28" t="n">
        <v>5</v>
      </c>
      <c r="H672" s="26" t="s">
        <v>86</v>
      </c>
      <c r="I672" s="26"/>
      <c r="J672" s="26"/>
      <c r="K672" s="29" t="str">
        <f aca="false">IF($A672="","",IF(COUNTIFS(tblMoveTypes[Movement],$E672)=0,"Unknown movement type",IF(COUNTIF(tblShipment[Shipment ID],$C672)=0,"Unknown shipment",IF(COUNTIFS(tblShipment[Shipment ID],$C672,tblShipment[Market],$B672)=0,"Market does not match shipment",IF(AND(IFERROR(INDEX(tblMoveTypes[Item?],MATCH($E672,tblMoveTypes[Movement],0)),"?")="Yes",$D672=""),"Item needed",IF(AND(IFERROR(INDEX(tblMoveTypes[Item?],MATCH($E672,tblMoveTypes[Movement],0)),"?")="No",$D672&lt;&gt;""),"Leave Item blank",IF(AND(IFERROR(INDEX(tblMoveTypes[Courier?],MATCH($E672,tblMoveTypes[Movement],0)),"?")="Yes",$H672=""),"Courier needed",IF(AND(IFERROR(INDEX(tblMoveTypes[Courier?],MATCH($E672,tblMoveTypes[Movement],0)),"?")="No",$H672&lt;&gt;""),"Leave Courier blank",IF(AND(IFERROR(INDEX(tblMoveTypes[Orders?],MATCH($E672,tblMoveTypes[Movement],0)),"?")="Yes",$G672=""),"Orders needed",IF(AND(IFERROR(INDEX(tblMoveTypes[Orders?],MATCH($E672,tblMoveTypes[Movement],0)),"?")="No",$G672&lt;&gt;""),"Leave Orders blank",IF(AND(IFERROR(INDEX(tblMoveTypes[Reason?],MATCH($E672,tblMoveTypes[Movement],0)),"?")="Yes",$I672=""),"Reason needed",IF(AND(IFERROR(INDEX(tblMoveTypes[Qty?],MATCH($E672,tblMoveTypes[Movement],0)),"?")="Yes",N($F672)&lt;=0),"Qty needed",IF($A672&lt;_xlfn.MINIFS(tblShipment[Arrival Date],tblShipment[Shipment ID],$C672),"Date before arrival",IF(AND($D672&lt;&gt;"",COUNTIFS(tblShipment[Shipment ID],$C672,tblShipment[Item Code],$D672)=0),"Item not in this shipment",IF(AND($H672&lt;&gt;"",COUNTIFS(tblCouriers[Courier],$H672,tblCouriers[Market],$B672)=0),"Courier not in this market","OK")))))))))))))))</f>
        <v>OK</v>
      </c>
    </row>
    <row r="673" customFormat="false" ht="15" hidden="false" customHeight="false" outlineLevel="0" collapsed="false">
      <c r="A673" s="27" t="n">
        <v>46243</v>
      </c>
      <c r="B673" s="26" t="s">
        <v>70</v>
      </c>
      <c r="C673" s="26" t="s">
        <v>127</v>
      </c>
      <c r="D673" s="26"/>
      <c r="E673" s="26" t="s">
        <v>106</v>
      </c>
      <c r="F673" s="28" t="n">
        <v>6</v>
      </c>
      <c r="G673" s="28" t="n">
        <v>1</v>
      </c>
      <c r="H673" s="26" t="s">
        <v>71</v>
      </c>
      <c r="I673" s="26"/>
      <c r="J673" s="26"/>
      <c r="K673" s="29" t="str">
        <f aca="false">IF($A673="","",IF(COUNTIFS(tblMoveTypes[Movement],$E673)=0,"Unknown movement type",IF(COUNTIF(tblShipment[Shipment ID],$C673)=0,"Unknown shipment",IF(COUNTIFS(tblShipment[Shipment ID],$C673,tblShipment[Market],$B673)=0,"Market does not match shipment",IF(AND(IFERROR(INDEX(tblMoveTypes[Item?],MATCH($E673,tblMoveTypes[Movement],0)),"?")="Yes",$D673=""),"Item needed",IF(AND(IFERROR(INDEX(tblMoveTypes[Item?],MATCH($E673,tblMoveTypes[Movement],0)),"?")="No",$D673&lt;&gt;""),"Leave Item blank",IF(AND(IFERROR(INDEX(tblMoveTypes[Courier?],MATCH($E673,tblMoveTypes[Movement],0)),"?")="Yes",$H673=""),"Courier needed",IF(AND(IFERROR(INDEX(tblMoveTypes[Courier?],MATCH($E673,tblMoveTypes[Movement],0)),"?")="No",$H673&lt;&gt;""),"Leave Courier blank",IF(AND(IFERROR(INDEX(tblMoveTypes[Orders?],MATCH($E673,tblMoveTypes[Movement],0)),"?")="Yes",$G673=""),"Orders needed",IF(AND(IFERROR(INDEX(tblMoveTypes[Orders?],MATCH($E673,tblMoveTypes[Movement],0)),"?")="No",$G673&lt;&gt;""),"Leave Orders blank",IF(AND(IFERROR(INDEX(tblMoveTypes[Reason?],MATCH($E673,tblMoveTypes[Movement],0)),"?")="Yes",$I673=""),"Reason needed",IF(AND(IFERROR(INDEX(tblMoveTypes[Qty?],MATCH($E673,tblMoveTypes[Movement],0)),"?")="Yes",N($F673)&lt;=0),"Qty needed",IF($A673&lt;_xlfn.MINIFS(tblShipment[Arrival Date],tblShipment[Shipment ID],$C673),"Date before arrival",IF(AND($D673&lt;&gt;"",COUNTIFS(tblShipment[Shipment ID],$C673,tblShipment[Item Code],$D673)=0),"Item not in this shipment",IF(AND($H673&lt;&gt;"",COUNTIFS(tblCouriers[Courier],$H673,tblCouriers[Market],$B673)=0),"Courier not in this market","OK")))))))))))))))</f>
        <v>OK</v>
      </c>
    </row>
    <row r="674" customFormat="false" ht="15" hidden="false" customHeight="false" outlineLevel="0" collapsed="false">
      <c r="A674" s="27" t="n">
        <v>46243</v>
      </c>
      <c r="B674" s="26" t="s">
        <v>85</v>
      </c>
      <c r="C674" s="26" t="s">
        <v>144</v>
      </c>
      <c r="D674" s="26"/>
      <c r="E674" s="26" t="s">
        <v>106</v>
      </c>
      <c r="F674" s="28" t="n">
        <v>23</v>
      </c>
      <c r="G674" s="28" t="n">
        <v>3</v>
      </c>
      <c r="H674" s="26" t="s">
        <v>91</v>
      </c>
      <c r="I674" s="26"/>
      <c r="J674" s="26"/>
      <c r="K674" s="29" t="str">
        <f aca="false">IF($A674="","",IF(COUNTIFS(tblMoveTypes[Movement],$E674)=0,"Unknown movement type",IF(COUNTIF(tblShipment[Shipment ID],$C674)=0,"Unknown shipment",IF(COUNTIFS(tblShipment[Shipment ID],$C674,tblShipment[Market],$B674)=0,"Market does not match shipment",IF(AND(IFERROR(INDEX(tblMoveTypes[Item?],MATCH($E674,tblMoveTypes[Movement],0)),"?")="Yes",$D674=""),"Item needed",IF(AND(IFERROR(INDEX(tblMoveTypes[Item?],MATCH($E674,tblMoveTypes[Movement],0)),"?")="No",$D674&lt;&gt;""),"Leave Item blank",IF(AND(IFERROR(INDEX(tblMoveTypes[Courier?],MATCH($E674,tblMoveTypes[Movement],0)),"?")="Yes",$H674=""),"Courier needed",IF(AND(IFERROR(INDEX(tblMoveTypes[Courier?],MATCH($E674,tblMoveTypes[Movement],0)),"?")="No",$H674&lt;&gt;""),"Leave Courier blank",IF(AND(IFERROR(INDEX(tblMoveTypes[Orders?],MATCH($E674,tblMoveTypes[Movement],0)),"?")="Yes",$G674=""),"Orders needed",IF(AND(IFERROR(INDEX(tblMoveTypes[Orders?],MATCH($E674,tblMoveTypes[Movement],0)),"?")="No",$G674&lt;&gt;""),"Leave Orders blank",IF(AND(IFERROR(INDEX(tblMoveTypes[Reason?],MATCH($E674,tblMoveTypes[Movement],0)),"?")="Yes",$I674=""),"Reason needed",IF(AND(IFERROR(INDEX(tblMoveTypes[Qty?],MATCH($E674,tblMoveTypes[Movement],0)),"?")="Yes",N($F674)&lt;=0),"Qty needed",IF($A674&lt;_xlfn.MINIFS(tblShipment[Arrival Date],tblShipment[Shipment ID],$C674),"Date before arrival",IF(AND($D674&lt;&gt;"",COUNTIFS(tblShipment[Shipment ID],$C674,tblShipment[Item Code],$D674)=0),"Item not in this shipment",IF(AND($H674&lt;&gt;"",COUNTIFS(tblCouriers[Courier],$H674,tblCouriers[Market],$B674)=0),"Courier not in this market","OK")))))))))))))))</f>
        <v>OK</v>
      </c>
    </row>
    <row r="675" customFormat="false" ht="15" hidden="false" customHeight="false" outlineLevel="0" collapsed="false">
      <c r="A675" s="27" t="n">
        <v>46243</v>
      </c>
      <c r="B675" s="26" t="s">
        <v>85</v>
      </c>
      <c r="C675" s="26" t="s">
        <v>144</v>
      </c>
      <c r="D675" s="26" t="s">
        <v>83</v>
      </c>
      <c r="E675" s="26" t="s">
        <v>93</v>
      </c>
      <c r="F675" s="28" t="n">
        <v>3</v>
      </c>
      <c r="G675" s="28"/>
      <c r="H675" s="26" t="s">
        <v>91</v>
      </c>
      <c r="I675" s="26"/>
      <c r="J675" s="26"/>
      <c r="K675" s="29" t="str">
        <f aca="false">IF($A675="","",IF(COUNTIFS(tblMoveTypes[Movement],$E675)=0,"Unknown movement type",IF(COUNTIF(tblShipment[Shipment ID],$C675)=0,"Unknown shipment",IF(COUNTIFS(tblShipment[Shipment ID],$C675,tblShipment[Market],$B675)=0,"Market does not match shipment",IF(AND(IFERROR(INDEX(tblMoveTypes[Item?],MATCH($E675,tblMoveTypes[Movement],0)),"?")="Yes",$D675=""),"Item needed",IF(AND(IFERROR(INDEX(tblMoveTypes[Item?],MATCH($E675,tblMoveTypes[Movement],0)),"?")="No",$D675&lt;&gt;""),"Leave Item blank",IF(AND(IFERROR(INDEX(tblMoveTypes[Courier?],MATCH($E675,tblMoveTypes[Movement],0)),"?")="Yes",$H675=""),"Courier needed",IF(AND(IFERROR(INDEX(tblMoveTypes[Courier?],MATCH($E675,tblMoveTypes[Movement],0)),"?")="No",$H675&lt;&gt;""),"Leave Courier blank",IF(AND(IFERROR(INDEX(tblMoveTypes[Orders?],MATCH($E675,tblMoveTypes[Movement],0)),"?")="Yes",$G675=""),"Orders needed",IF(AND(IFERROR(INDEX(tblMoveTypes[Orders?],MATCH($E675,tblMoveTypes[Movement],0)),"?")="No",$G675&lt;&gt;""),"Leave Orders blank",IF(AND(IFERROR(INDEX(tblMoveTypes[Reason?],MATCH($E675,tblMoveTypes[Movement],0)),"?")="Yes",$I675=""),"Reason needed",IF(AND(IFERROR(INDEX(tblMoveTypes[Qty?],MATCH($E675,tblMoveTypes[Movement],0)),"?")="Yes",N($F675)&lt;=0),"Qty needed",IF($A675&lt;_xlfn.MINIFS(tblShipment[Arrival Date],tblShipment[Shipment ID],$C675),"Date before arrival",IF(AND($D675&lt;&gt;"",COUNTIFS(tblShipment[Shipment ID],$C675,tblShipment[Item Code],$D675)=0),"Item not in this shipment",IF(AND($H675&lt;&gt;"",COUNTIFS(tblCouriers[Courier],$H675,tblCouriers[Market],$B675)=0),"Courier not in this market","OK")))))))))))))))</f>
        <v>OK</v>
      </c>
    </row>
    <row r="676" customFormat="false" ht="15" hidden="false" customHeight="false" outlineLevel="0" collapsed="false">
      <c r="A676" s="27" t="n">
        <v>46243</v>
      </c>
      <c r="B676" s="26" t="s">
        <v>85</v>
      </c>
      <c r="C676" s="26" t="s">
        <v>144</v>
      </c>
      <c r="D676" s="26"/>
      <c r="E676" s="26" t="s">
        <v>104</v>
      </c>
      <c r="F676" s="28"/>
      <c r="G676" s="28" t="n">
        <v>1</v>
      </c>
      <c r="H676" s="26" t="s">
        <v>91</v>
      </c>
      <c r="I676" s="26"/>
      <c r="J676" s="26"/>
      <c r="K676" s="29" t="str">
        <f aca="false">IF($A676="","",IF(COUNTIFS(tblMoveTypes[Movement],$E676)=0,"Unknown movement type",IF(COUNTIF(tblShipment[Shipment ID],$C676)=0,"Unknown shipment",IF(COUNTIFS(tblShipment[Shipment ID],$C676,tblShipment[Market],$B676)=0,"Market does not match shipment",IF(AND(IFERROR(INDEX(tblMoveTypes[Item?],MATCH($E676,tblMoveTypes[Movement],0)),"?")="Yes",$D676=""),"Item needed",IF(AND(IFERROR(INDEX(tblMoveTypes[Item?],MATCH($E676,tblMoveTypes[Movement],0)),"?")="No",$D676&lt;&gt;""),"Leave Item blank",IF(AND(IFERROR(INDEX(tblMoveTypes[Courier?],MATCH($E676,tblMoveTypes[Movement],0)),"?")="Yes",$H676=""),"Courier needed",IF(AND(IFERROR(INDEX(tblMoveTypes[Courier?],MATCH($E676,tblMoveTypes[Movement],0)),"?")="No",$H676&lt;&gt;""),"Leave Courier blank",IF(AND(IFERROR(INDEX(tblMoveTypes[Orders?],MATCH($E676,tblMoveTypes[Movement],0)),"?")="Yes",$G676=""),"Orders needed",IF(AND(IFERROR(INDEX(tblMoveTypes[Orders?],MATCH($E676,tblMoveTypes[Movement],0)),"?")="No",$G676&lt;&gt;""),"Leave Orders blank",IF(AND(IFERROR(INDEX(tblMoveTypes[Reason?],MATCH($E676,tblMoveTypes[Movement],0)),"?")="Yes",$I676=""),"Reason needed",IF(AND(IFERROR(INDEX(tblMoveTypes[Qty?],MATCH($E676,tblMoveTypes[Movement],0)),"?")="Yes",N($F676)&lt;=0),"Qty needed",IF($A676&lt;_xlfn.MINIFS(tblShipment[Arrival Date],tblShipment[Shipment ID],$C676),"Date before arrival",IF(AND($D676&lt;&gt;"",COUNTIFS(tblShipment[Shipment ID],$C676,tblShipment[Item Code],$D676)=0),"Item not in this shipment",IF(AND($H676&lt;&gt;"",COUNTIFS(tblCouriers[Courier],$H676,tblCouriers[Market],$B676)=0),"Courier not in this market","OK")))))))))))))))</f>
        <v>OK</v>
      </c>
    </row>
    <row r="677" customFormat="false" ht="15" hidden="false" customHeight="false" outlineLevel="0" collapsed="false">
      <c r="A677" s="27" t="n">
        <v>46243</v>
      </c>
      <c r="B677" s="26" t="s">
        <v>85</v>
      </c>
      <c r="C677" s="26" t="s">
        <v>145</v>
      </c>
      <c r="D677" s="26" t="s">
        <v>88</v>
      </c>
      <c r="E677" s="26" t="s">
        <v>74</v>
      </c>
      <c r="F677" s="28" t="n">
        <v>40</v>
      </c>
      <c r="G677" s="28"/>
      <c r="H677" s="26"/>
      <c r="I677" s="26"/>
      <c r="J677" s="26"/>
      <c r="K677" s="29" t="str">
        <f aca="false">IF($A677="","",IF(COUNTIFS(tblMoveTypes[Movement],$E677)=0,"Unknown movement type",IF(COUNTIF(tblShipment[Shipment ID],$C677)=0,"Unknown shipment",IF(COUNTIFS(tblShipment[Shipment ID],$C677,tblShipment[Market],$B677)=0,"Market does not match shipment",IF(AND(IFERROR(INDEX(tblMoveTypes[Item?],MATCH($E677,tblMoveTypes[Movement],0)),"?")="Yes",$D677=""),"Item needed",IF(AND(IFERROR(INDEX(tblMoveTypes[Item?],MATCH($E677,tblMoveTypes[Movement],0)),"?")="No",$D677&lt;&gt;""),"Leave Item blank",IF(AND(IFERROR(INDEX(tblMoveTypes[Courier?],MATCH($E677,tblMoveTypes[Movement],0)),"?")="Yes",$H677=""),"Courier needed",IF(AND(IFERROR(INDEX(tblMoveTypes[Courier?],MATCH($E677,tblMoveTypes[Movement],0)),"?")="No",$H677&lt;&gt;""),"Leave Courier blank",IF(AND(IFERROR(INDEX(tblMoveTypes[Orders?],MATCH($E677,tblMoveTypes[Movement],0)),"?")="Yes",$G677=""),"Orders needed",IF(AND(IFERROR(INDEX(tblMoveTypes[Orders?],MATCH($E677,tblMoveTypes[Movement],0)),"?")="No",$G677&lt;&gt;""),"Leave Orders blank",IF(AND(IFERROR(INDEX(tblMoveTypes[Reason?],MATCH($E677,tblMoveTypes[Movement],0)),"?")="Yes",$I677=""),"Reason needed",IF(AND(IFERROR(INDEX(tblMoveTypes[Qty?],MATCH($E677,tblMoveTypes[Movement],0)),"?")="Yes",N($F677)&lt;=0),"Qty needed",IF($A677&lt;_xlfn.MINIFS(tblShipment[Arrival Date],tblShipment[Shipment ID],$C677),"Date before arrival",IF(AND($D677&lt;&gt;"",COUNTIFS(tblShipment[Shipment ID],$C677,tblShipment[Item Code],$D677)=0),"Item not in this shipment",IF(AND($H677&lt;&gt;"",COUNTIFS(tblCouriers[Courier],$H677,tblCouriers[Market],$B677)=0),"Courier not in this market","OK")))))))))))))))</f>
        <v>OK</v>
      </c>
    </row>
    <row r="678" customFormat="false" ht="15" hidden="false" customHeight="false" outlineLevel="0" collapsed="false">
      <c r="A678" s="27" t="n">
        <v>46243</v>
      </c>
      <c r="B678" s="26" t="s">
        <v>85</v>
      </c>
      <c r="C678" s="26" t="s">
        <v>145</v>
      </c>
      <c r="D678" s="26" t="s">
        <v>67</v>
      </c>
      <c r="E678" s="26" t="s">
        <v>74</v>
      </c>
      <c r="F678" s="28" t="n">
        <v>50</v>
      </c>
      <c r="G678" s="28"/>
      <c r="H678" s="26"/>
      <c r="I678" s="26"/>
      <c r="J678" s="26"/>
      <c r="K678" s="29" t="str">
        <f aca="false">IF($A678="","",IF(COUNTIFS(tblMoveTypes[Movement],$E678)=0,"Unknown movement type",IF(COUNTIF(tblShipment[Shipment ID],$C678)=0,"Unknown shipment",IF(COUNTIFS(tblShipment[Shipment ID],$C678,tblShipment[Market],$B678)=0,"Market does not match shipment",IF(AND(IFERROR(INDEX(tblMoveTypes[Item?],MATCH($E678,tblMoveTypes[Movement],0)),"?")="Yes",$D678=""),"Item needed",IF(AND(IFERROR(INDEX(tblMoveTypes[Item?],MATCH($E678,tblMoveTypes[Movement],0)),"?")="No",$D678&lt;&gt;""),"Leave Item blank",IF(AND(IFERROR(INDEX(tblMoveTypes[Courier?],MATCH($E678,tblMoveTypes[Movement],0)),"?")="Yes",$H678=""),"Courier needed",IF(AND(IFERROR(INDEX(tblMoveTypes[Courier?],MATCH($E678,tblMoveTypes[Movement],0)),"?")="No",$H678&lt;&gt;""),"Leave Courier blank",IF(AND(IFERROR(INDEX(tblMoveTypes[Orders?],MATCH($E678,tblMoveTypes[Movement],0)),"?")="Yes",$G678=""),"Orders needed",IF(AND(IFERROR(INDEX(tblMoveTypes[Orders?],MATCH($E678,tblMoveTypes[Movement],0)),"?")="No",$G678&lt;&gt;""),"Leave Orders blank",IF(AND(IFERROR(INDEX(tblMoveTypes[Reason?],MATCH($E678,tblMoveTypes[Movement],0)),"?")="Yes",$I678=""),"Reason needed",IF(AND(IFERROR(INDEX(tblMoveTypes[Qty?],MATCH($E678,tblMoveTypes[Movement],0)),"?")="Yes",N($F678)&lt;=0),"Qty needed",IF($A678&lt;_xlfn.MINIFS(tblShipment[Arrival Date],tblShipment[Shipment ID],$C678),"Date before arrival",IF(AND($D678&lt;&gt;"",COUNTIFS(tblShipment[Shipment ID],$C678,tblShipment[Item Code],$D678)=0),"Item not in this shipment",IF(AND($H678&lt;&gt;"",COUNTIFS(tblCouriers[Courier],$H678,tblCouriers[Market],$B678)=0),"Courier not in this market","OK")))))))))))))))</f>
        <v>OK</v>
      </c>
    </row>
    <row r="679" customFormat="false" ht="15" hidden="false" customHeight="false" outlineLevel="0" collapsed="false">
      <c r="A679" s="27" t="n">
        <v>46243</v>
      </c>
      <c r="B679" s="26" t="s">
        <v>85</v>
      </c>
      <c r="C679" s="26" t="s">
        <v>145</v>
      </c>
      <c r="D679" s="26" t="s">
        <v>76</v>
      </c>
      <c r="E679" s="26" t="s">
        <v>74</v>
      </c>
      <c r="F679" s="28" t="n">
        <v>40</v>
      </c>
      <c r="G679" s="28"/>
      <c r="H679" s="26"/>
      <c r="I679" s="26"/>
      <c r="J679" s="26"/>
      <c r="K679" s="29" t="str">
        <f aca="false">IF($A679="","",IF(COUNTIFS(tblMoveTypes[Movement],$E679)=0,"Unknown movement type",IF(COUNTIF(tblShipment[Shipment ID],$C679)=0,"Unknown shipment",IF(COUNTIFS(tblShipment[Shipment ID],$C679,tblShipment[Market],$B679)=0,"Market does not match shipment",IF(AND(IFERROR(INDEX(tblMoveTypes[Item?],MATCH($E679,tblMoveTypes[Movement],0)),"?")="Yes",$D679=""),"Item needed",IF(AND(IFERROR(INDEX(tblMoveTypes[Item?],MATCH($E679,tblMoveTypes[Movement],0)),"?")="No",$D679&lt;&gt;""),"Leave Item blank",IF(AND(IFERROR(INDEX(tblMoveTypes[Courier?],MATCH($E679,tblMoveTypes[Movement],0)),"?")="Yes",$H679=""),"Courier needed",IF(AND(IFERROR(INDEX(tblMoveTypes[Courier?],MATCH($E679,tblMoveTypes[Movement],0)),"?")="No",$H679&lt;&gt;""),"Leave Courier blank",IF(AND(IFERROR(INDEX(tblMoveTypes[Orders?],MATCH($E679,tblMoveTypes[Movement],0)),"?")="Yes",$G679=""),"Orders needed",IF(AND(IFERROR(INDEX(tblMoveTypes[Orders?],MATCH($E679,tblMoveTypes[Movement],0)),"?")="No",$G679&lt;&gt;""),"Leave Orders blank",IF(AND(IFERROR(INDEX(tblMoveTypes[Reason?],MATCH($E679,tblMoveTypes[Movement],0)),"?")="Yes",$I679=""),"Reason needed",IF(AND(IFERROR(INDEX(tblMoveTypes[Qty?],MATCH($E679,tblMoveTypes[Movement],0)),"?")="Yes",N($F679)&lt;=0),"Qty needed",IF($A679&lt;_xlfn.MINIFS(tblShipment[Arrival Date],tblShipment[Shipment ID],$C679),"Date before arrival",IF(AND($D679&lt;&gt;"",COUNTIFS(tblShipment[Shipment ID],$C679,tblShipment[Item Code],$D679)=0),"Item not in this shipment",IF(AND($H679&lt;&gt;"",COUNTIFS(tblCouriers[Courier],$H679,tblCouriers[Market],$B679)=0),"Courier not in this market","OK")))))))))))))))</f>
        <v>OK</v>
      </c>
    </row>
    <row r="680" customFormat="false" ht="15" hidden="false" customHeight="false" outlineLevel="0" collapsed="false">
      <c r="A680" s="27" t="n">
        <v>46243</v>
      </c>
      <c r="B680" s="26" t="s">
        <v>85</v>
      </c>
      <c r="C680" s="26" t="s">
        <v>145</v>
      </c>
      <c r="D680" s="26" t="s">
        <v>99</v>
      </c>
      <c r="E680" s="26" t="s">
        <v>74</v>
      </c>
      <c r="F680" s="28" t="n">
        <v>100</v>
      </c>
      <c r="G680" s="28"/>
      <c r="H680" s="26"/>
      <c r="I680" s="26"/>
      <c r="J680" s="26"/>
      <c r="K680" s="29" t="str">
        <f aca="false">IF($A680="","",IF(COUNTIFS(tblMoveTypes[Movement],$E680)=0,"Unknown movement type",IF(COUNTIF(tblShipment[Shipment ID],$C680)=0,"Unknown shipment",IF(COUNTIFS(tblShipment[Shipment ID],$C680,tblShipment[Market],$B680)=0,"Market does not match shipment",IF(AND(IFERROR(INDEX(tblMoveTypes[Item?],MATCH($E680,tblMoveTypes[Movement],0)),"?")="Yes",$D680=""),"Item needed",IF(AND(IFERROR(INDEX(tblMoveTypes[Item?],MATCH($E680,tblMoveTypes[Movement],0)),"?")="No",$D680&lt;&gt;""),"Leave Item blank",IF(AND(IFERROR(INDEX(tblMoveTypes[Courier?],MATCH($E680,tblMoveTypes[Movement],0)),"?")="Yes",$H680=""),"Courier needed",IF(AND(IFERROR(INDEX(tblMoveTypes[Courier?],MATCH($E680,tblMoveTypes[Movement],0)),"?")="No",$H680&lt;&gt;""),"Leave Courier blank",IF(AND(IFERROR(INDEX(tblMoveTypes[Orders?],MATCH($E680,tblMoveTypes[Movement],0)),"?")="Yes",$G680=""),"Orders needed",IF(AND(IFERROR(INDEX(tblMoveTypes[Orders?],MATCH($E680,tblMoveTypes[Movement],0)),"?")="No",$G680&lt;&gt;""),"Leave Orders blank",IF(AND(IFERROR(INDEX(tblMoveTypes[Reason?],MATCH($E680,tblMoveTypes[Movement],0)),"?")="Yes",$I680=""),"Reason needed",IF(AND(IFERROR(INDEX(tblMoveTypes[Qty?],MATCH($E680,tblMoveTypes[Movement],0)),"?")="Yes",N($F680)&lt;=0),"Qty needed",IF($A680&lt;_xlfn.MINIFS(tblShipment[Arrival Date],tblShipment[Shipment ID],$C680),"Date before arrival",IF(AND($D680&lt;&gt;"",COUNTIFS(tblShipment[Shipment ID],$C680,tblShipment[Item Code],$D680)=0),"Item not in this shipment",IF(AND($H680&lt;&gt;"",COUNTIFS(tblCouriers[Courier],$H680,tblCouriers[Market],$B680)=0),"Courier not in this market","OK")))))))))))))))</f>
        <v>OK</v>
      </c>
    </row>
    <row r="681" customFormat="false" ht="15" hidden="false" customHeight="false" outlineLevel="0" collapsed="false">
      <c r="A681" s="27" t="n">
        <v>46243</v>
      </c>
      <c r="B681" s="26" t="s">
        <v>85</v>
      </c>
      <c r="C681" s="26" t="s">
        <v>145</v>
      </c>
      <c r="D681" s="26"/>
      <c r="E681" s="26" t="s">
        <v>98</v>
      </c>
      <c r="F681" s="28"/>
      <c r="G681" s="28" t="n">
        <v>33</v>
      </c>
      <c r="H681" s="26"/>
      <c r="I681" s="26"/>
      <c r="J681" s="26"/>
      <c r="K681" s="29" t="str">
        <f aca="false">IF($A681="","",IF(COUNTIFS(tblMoveTypes[Movement],$E681)=0,"Unknown movement type",IF(COUNTIF(tblShipment[Shipment ID],$C681)=0,"Unknown shipment",IF(COUNTIFS(tblShipment[Shipment ID],$C681,tblShipment[Market],$B681)=0,"Market does not match shipment",IF(AND(IFERROR(INDEX(tblMoveTypes[Item?],MATCH($E681,tblMoveTypes[Movement],0)),"?")="Yes",$D681=""),"Item needed",IF(AND(IFERROR(INDEX(tblMoveTypes[Item?],MATCH($E681,tblMoveTypes[Movement],0)),"?")="No",$D681&lt;&gt;""),"Leave Item blank",IF(AND(IFERROR(INDEX(tblMoveTypes[Courier?],MATCH($E681,tblMoveTypes[Movement],0)),"?")="Yes",$H681=""),"Courier needed",IF(AND(IFERROR(INDEX(tblMoveTypes[Courier?],MATCH($E681,tblMoveTypes[Movement],0)),"?")="No",$H681&lt;&gt;""),"Leave Courier blank",IF(AND(IFERROR(INDEX(tblMoveTypes[Orders?],MATCH($E681,tblMoveTypes[Movement],0)),"?")="Yes",$G681=""),"Orders needed",IF(AND(IFERROR(INDEX(tblMoveTypes[Orders?],MATCH($E681,tblMoveTypes[Movement],0)),"?")="No",$G681&lt;&gt;""),"Leave Orders blank",IF(AND(IFERROR(INDEX(tblMoveTypes[Reason?],MATCH($E681,tblMoveTypes[Movement],0)),"?")="Yes",$I681=""),"Reason needed",IF(AND(IFERROR(INDEX(tblMoveTypes[Qty?],MATCH($E681,tblMoveTypes[Movement],0)),"?")="Yes",N($F681)&lt;=0),"Qty needed",IF($A681&lt;_xlfn.MINIFS(tblShipment[Arrival Date],tblShipment[Shipment ID],$C681),"Date before arrival",IF(AND($D681&lt;&gt;"",COUNTIFS(tblShipment[Shipment ID],$C681,tblShipment[Item Code],$D681)=0),"Item not in this shipment",IF(AND($H681&lt;&gt;"",COUNTIFS(tblCouriers[Courier],$H681,tblCouriers[Market],$B681)=0),"Courier not in this market","OK")))))))))))))))</f>
        <v>OK</v>
      </c>
    </row>
    <row r="682" customFormat="false" ht="15" hidden="false" customHeight="false" outlineLevel="0" collapsed="false">
      <c r="A682" s="27" t="n">
        <v>46243</v>
      </c>
      <c r="B682" s="26" t="s">
        <v>85</v>
      </c>
      <c r="C682" s="26" t="s">
        <v>145</v>
      </c>
      <c r="D682" s="26" t="s">
        <v>88</v>
      </c>
      <c r="E682" s="26" t="s">
        <v>73</v>
      </c>
      <c r="F682" s="28" t="n">
        <v>3</v>
      </c>
      <c r="G682" s="28"/>
      <c r="H682" s="26"/>
      <c r="I682" s="26" t="s">
        <v>72</v>
      </c>
      <c r="J682" s="26"/>
      <c r="K682" s="29" t="str">
        <f aca="false">IF($A682="","",IF(COUNTIFS(tblMoveTypes[Movement],$E682)=0,"Unknown movement type",IF(COUNTIF(tblShipment[Shipment ID],$C682)=0,"Unknown shipment",IF(COUNTIFS(tblShipment[Shipment ID],$C682,tblShipment[Market],$B682)=0,"Market does not match shipment",IF(AND(IFERROR(INDEX(tblMoveTypes[Item?],MATCH($E682,tblMoveTypes[Movement],0)),"?")="Yes",$D682=""),"Item needed",IF(AND(IFERROR(INDEX(tblMoveTypes[Item?],MATCH($E682,tblMoveTypes[Movement],0)),"?")="No",$D682&lt;&gt;""),"Leave Item blank",IF(AND(IFERROR(INDEX(tblMoveTypes[Courier?],MATCH($E682,tblMoveTypes[Movement],0)),"?")="Yes",$H682=""),"Courier needed",IF(AND(IFERROR(INDEX(tblMoveTypes[Courier?],MATCH($E682,tblMoveTypes[Movement],0)),"?")="No",$H682&lt;&gt;""),"Leave Courier blank",IF(AND(IFERROR(INDEX(tblMoveTypes[Orders?],MATCH($E682,tblMoveTypes[Movement],0)),"?")="Yes",$G682=""),"Orders needed",IF(AND(IFERROR(INDEX(tblMoveTypes[Orders?],MATCH($E682,tblMoveTypes[Movement],0)),"?")="No",$G682&lt;&gt;""),"Leave Orders blank",IF(AND(IFERROR(INDEX(tblMoveTypes[Reason?],MATCH($E682,tblMoveTypes[Movement],0)),"?")="Yes",$I682=""),"Reason needed",IF(AND(IFERROR(INDEX(tblMoveTypes[Qty?],MATCH($E682,tblMoveTypes[Movement],0)),"?")="Yes",N($F682)&lt;=0),"Qty needed",IF($A682&lt;_xlfn.MINIFS(tblShipment[Arrival Date],tblShipment[Shipment ID],$C682),"Date before arrival",IF(AND($D682&lt;&gt;"",COUNTIFS(tblShipment[Shipment ID],$C682,tblShipment[Item Code],$D682)=0),"Item not in this shipment",IF(AND($H682&lt;&gt;"",COUNTIFS(tblCouriers[Courier],$H682,tblCouriers[Market],$B682)=0),"Courier not in this market","OK")))))))))))))))</f>
        <v>OK</v>
      </c>
    </row>
    <row r="683" customFormat="false" ht="15" hidden="false" customHeight="false" outlineLevel="0" collapsed="false">
      <c r="A683" s="27" t="n">
        <v>46243</v>
      </c>
      <c r="B683" s="26" t="s">
        <v>85</v>
      </c>
      <c r="C683" s="26" t="s">
        <v>145</v>
      </c>
      <c r="D683" s="26" t="s">
        <v>67</v>
      </c>
      <c r="E683" s="26" t="s">
        <v>73</v>
      </c>
      <c r="F683" s="28" t="n">
        <v>3</v>
      </c>
      <c r="G683" s="28"/>
      <c r="H683" s="26"/>
      <c r="I683" s="26" t="s">
        <v>72</v>
      </c>
      <c r="J683" s="26"/>
      <c r="K683" s="29" t="str">
        <f aca="false">IF($A683="","",IF(COUNTIFS(tblMoveTypes[Movement],$E683)=0,"Unknown movement type",IF(COUNTIF(tblShipment[Shipment ID],$C683)=0,"Unknown shipment",IF(COUNTIFS(tblShipment[Shipment ID],$C683,tblShipment[Market],$B683)=0,"Market does not match shipment",IF(AND(IFERROR(INDEX(tblMoveTypes[Item?],MATCH($E683,tblMoveTypes[Movement],0)),"?")="Yes",$D683=""),"Item needed",IF(AND(IFERROR(INDEX(tblMoveTypes[Item?],MATCH($E683,tblMoveTypes[Movement],0)),"?")="No",$D683&lt;&gt;""),"Leave Item blank",IF(AND(IFERROR(INDEX(tblMoveTypes[Courier?],MATCH($E683,tblMoveTypes[Movement],0)),"?")="Yes",$H683=""),"Courier needed",IF(AND(IFERROR(INDEX(tblMoveTypes[Courier?],MATCH($E683,tblMoveTypes[Movement],0)),"?")="No",$H683&lt;&gt;""),"Leave Courier blank",IF(AND(IFERROR(INDEX(tblMoveTypes[Orders?],MATCH($E683,tblMoveTypes[Movement],0)),"?")="Yes",$G683=""),"Orders needed",IF(AND(IFERROR(INDEX(tblMoveTypes[Orders?],MATCH($E683,tblMoveTypes[Movement],0)),"?")="No",$G683&lt;&gt;""),"Leave Orders blank",IF(AND(IFERROR(INDEX(tblMoveTypes[Reason?],MATCH($E683,tblMoveTypes[Movement],0)),"?")="Yes",$I683=""),"Reason needed",IF(AND(IFERROR(INDEX(tblMoveTypes[Qty?],MATCH($E683,tblMoveTypes[Movement],0)),"?")="Yes",N($F683)&lt;=0),"Qty needed",IF($A683&lt;_xlfn.MINIFS(tblShipment[Arrival Date],tblShipment[Shipment ID],$C683),"Date before arrival",IF(AND($D683&lt;&gt;"",COUNTIFS(tblShipment[Shipment ID],$C683,tblShipment[Item Code],$D683)=0),"Item not in this shipment",IF(AND($H683&lt;&gt;"",COUNTIFS(tblCouriers[Courier],$H683,tblCouriers[Market],$B683)=0),"Courier not in this market","OK")))))))))))))))</f>
        <v>OK</v>
      </c>
    </row>
    <row r="684" customFormat="false" ht="15" hidden="false" customHeight="false" outlineLevel="0" collapsed="false">
      <c r="A684" s="27" t="n">
        <v>46243</v>
      </c>
      <c r="B684" s="26" t="s">
        <v>85</v>
      </c>
      <c r="C684" s="26" t="s">
        <v>145</v>
      </c>
      <c r="D684" s="26" t="s">
        <v>76</v>
      </c>
      <c r="E684" s="26" t="s">
        <v>73</v>
      </c>
      <c r="F684" s="28" t="n">
        <v>3</v>
      </c>
      <c r="G684" s="28"/>
      <c r="H684" s="26"/>
      <c r="I684" s="26" t="s">
        <v>72</v>
      </c>
      <c r="J684" s="26"/>
      <c r="K684" s="29" t="str">
        <f aca="false">IF($A684="","",IF(COUNTIFS(tblMoveTypes[Movement],$E684)=0,"Unknown movement type",IF(COUNTIF(tblShipment[Shipment ID],$C684)=0,"Unknown shipment",IF(COUNTIFS(tblShipment[Shipment ID],$C684,tblShipment[Market],$B684)=0,"Market does not match shipment",IF(AND(IFERROR(INDEX(tblMoveTypes[Item?],MATCH($E684,tblMoveTypes[Movement],0)),"?")="Yes",$D684=""),"Item needed",IF(AND(IFERROR(INDEX(tblMoveTypes[Item?],MATCH($E684,tblMoveTypes[Movement],0)),"?")="No",$D684&lt;&gt;""),"Leave Item blank",IF(AND(IFERROR(INDEX(tblMoveTypes[Courier?],MATCH($E684,tblMoveTypes[Movement],0)),"?")="Yes",$H684=""),"Courier needed",IF(AND(IFERROR(INDEX(tblMoveTypes[Courier?],MATCH($E684,tblMoveTypes[Movement],0)),"?")="No",$H684&lt;&gt;""),"Leave Courier blank",IF(AND(IFERROR(INDEX(tblMoveTypes[Orders?],MATCH($E684,tblMoveTypes[Movement],0)),"?")="Yes",$G684=""),"Orders needed",IF(AND(IFERROR(INDEX(tblMoveTypes[Orders?],MATCH($E684,tblMoveTypes[Movement],0)),"?")="No",$G684&lt;&gt;""),"Leave Orders blank",IF(AND(IFERROR(INDEX(tblMoveTypes[Reason?],MATCH($E684,tblMoveTypes[Movement],0)),"?")="Yes",$I684=""),"Reason needed",IF(AND(IFERROR(INDEX(tblMoveTypes[Qty?],MATCH($E684,tblMoveTypes[Movement],0)),"?")="Yes",N($F684)&lt;=0),"Qty needed",IF($A684&lt;_xlfn.MINIFS(tblShipment[Arrival Date],tblShipment[Shipment ID],$C684),"Date before arrival",IF(AND($D684&lt;&gt;"",COUNTIFS(tblShipment[Shipment ID],$C684,tblShipment[Item Code],$D684)=0),"Item not in this shipment",IF(AND($H684&lt;&gt;"",COUNTIFS(tblCouriers[Courier],$H684,tblCouriers[Market],$B684)=0),"Courier not in this market","OK")))))))))))))))</f>
        <v>OK</v>
      </c>
    </row>
    <row r="685" customFormat="false" ht="15" hidden="false" customHeight="false" outlineLevel="0" collapsed="false">
      <c r="A685" s="27" t="n">
        <v>46243</v>
      </c>
      <c r="B685" s="26" t="s">
        <v>85</v>
      </c>
      <c r="C685" s="26" t="s">
        <v>145</v>
      </c>
      <c r="D685" s="26" t="s">
        <v>99</v>
      </c>
      <c r="E685" s="26" t="s">
        <v>73</v>
      </c>
      <c r="F685" s="28" t="n">
        <v>3</v>
      </c>
      <c r="G685" s="28"/>
      <c r="H685" s="26"/>
      <c r="I685" s="26" t="s">
        <v>80</v>
      </c>
      <c r="J685" s="26"/>
      <c r="K685" s="29" t="str">
        <f aca="false">IF($A685="","",IF(COUNTIFS(tblMoveTypes[Movement],$E685)=0,"Unknown movement type",IF(COUNTIF(tblShipment[Shipment ID],$C685)=0,"Unknown shipment",IF(COUNTIFS(tblShipment[Shipment ID],$C685,tblShipment[Market],$B685)=0,"Market does not match shipment",IF(AND(IFERROR(INDEX(tblMoveTypes[Item?],MATCH($E685,tblMoveTypes[Movement],0)),"?")="Yes",$D685=""),"Item needed",IF(AND(IFERROR(INDEX(tblMoveTypes[Item?],MATCH($E685,tblMoveTypes[Movement],0)),"?")="No",$D685&lt;&gt;""),"Leave Item blank",IF(AND(IFERROR(INDEX(tblMoveTypes[Courier?],MATCH($E685,tblMoveTypes[Movement],0)),"?")="Yes",$H685=""),"Courier needed",IF(AND(IFERROR(INDEX(tblMoveTypes[Courier?],MATCH($E685,tblMoveTypes[Movement],0)),"?")="No",$H685&lt;&gt;""),"Leave Courier blank",IF(AND(IFERROR(INDEX(tblMoveTypes[Orders?],MATCH($E685,tblMoveTypes[Movement],0)),"?")="Yes",$G685=""),"Orders needed",IF(AND(IFERROR(INDEX(tblMoveTypes[Orders?],MATCH($E685,tblMoveTypes[Movement],0)),"?")="No",$G685&lt;&gt;""),"Leave Orders blank",IF(AND(IFERROR(INDEX(tblMoveTypes[Reason?],MATCH($E685,tblMoveTypes[Movement],0)),"?")="Yes",$I685=""),"Reason needed",IF(AND(IFERROR(INDEX(tblMoveTypes[Qty?],MATCH($E685,tblMoveTypes[Movement],0)),"?")="Yes",N($F685)&lt;=0),"Qty needed",IF($A685&lt;_xlfn.MINIFS(tblShipment[Arrival Date],tblShipment[Shipment ID],$C685),"Date before arrival",IF(AND($D685&lt;&gt;"",COUNTIFS(tblShipment[Shipment ID],$C685,tblShipment[Item Code],$D685)=0),"Item not in this shipment",IF(AND($H685&lt;&gt;"",COUNTIFS(tblCouriers[Courier],$H685,tblCouriers[Market],$B685)=0),"Courier not in this market","OK")))))))))))))))</f>
        <v>OK</v>
      </c>
    </row>
    <row r="686" customFormat="false" ht="15" hidden="false" customHeight="false" outlineLevel="0" collapsed="false">
      <c r="A686" s="27" t="n">
        <v>46243</v>
      </c>
      <c r="B686" s="26" t="s">
        <v>85</v>
      </c>
      <c r="C686" s="26" t="s">
        <v>145</v>
      </c>
      <c r="D686" s="26" t="s">
        <v>88</v>
      </c>
      <c r="E686" s="26" t="s">
        <v>93</v>
      </c>
      <c r="F686" s="28" t="n">
        <v>19</v>
      </c>
      <c r="G686" s="28"/>
      <c r="H686" s="26" t="s">
        <v>91</v>
      </c>
      <c r="I686" s="26"/>
      <c r="J686" s="26"/>
      <c r="K686" s="29" t="str">
        <f aca="false">IF($A686="","",IF(COUNTIFS(tblMoveTypes[Movement],$E686)=0,"Unknown movement type",IF(COUNTIF(tblShipment[Shipment ID],$C686)=0,"Unknown shipment",IF(COUNTIFS(tblShipment[Shipment ID],$C686,tblShipment[Market],$B686)=0,"Market does not match shipment",IF(AND(IFERROR(INDEX(tblMoveTypes[Item?],MATCH($E686,tblMoveTypes[Movement],0)),"?")="Yes",$D686=""),"Item needed",IF(AND(IFERROR(INDEX(tblMoveTypes[Item?],MATCH($E686,tblMoveTypes[Movement],0)),"?")="No",$D686&lt;&gt;""),"Leave Item blank",IF(AND(IFERROR(INDEX(tblMoveTypes[Courier?],MATCH($E686,tblMoveTypes[Movement],0)),"?")="Yes",$H686=""),"Courier needed",IF(AND(IFERROR(INDEX(tblMoveTypes[Courier?],MATCH($E686,tblMoveTypes[Movement],0)),"?")="No",$H686&lt;&gt;""),"Leave Courier blank",IF(AND(IFERROR(INDEX(tblMoveTypes[Orders?],MATCH($E686,tblMoveTypes[Movement],0)),"?")="Yes",$G686=""),"Orders needed",IF(AND(IFERROR(INDEX(tblMoveTypes[Orders?],MATCH($E686,tblMoveTypes[Movement],0)),"?")="No",$G686&lt;&gt;""),"Leave Orders blank",IF(AND(IFERROR(INDEX(tblMoveTypes[Reason?],MATCH($E686,tblMoveTypes[Movement],0)),"?")="Yes",$I686=""),"Reason needed",IF(AND(IFERROR(INDEX(tblMoveTypes[Qty?],MATCH($E686,tblMoveTypes[Movement],0)),"?")="Yes",N($F686)&lt;=0),"Qty needed",IF($A686&lt;_xlfn.MINIFS(tblShipment[Arrival Date],tblShipment[Shipment ID],$C686),"Date before arrival",IF(AND($D686&lt;&gt;"",COUNTIFS(tblShipment[Shipment ID],$C686,tblShipment[Item Code],$D686)=0),"Item not in this shipment",IF(AND($H686&lt;&gt;"",COUNTIFS(tblCouriers[Courier],$H686,tblCouriers[Market],$B686)=0),"Courier not in this market","OK")))))))))))))))</f>
        <v>OK</v>
      </c>
    </row>
    <row r="687" customFormat="false" ht="15" hidden="false" customHeight="false" outlineLevel="0" collapsed="false">
      <c r="A687" s="27" t="n">
        <v>46243</v>
      </c>
      <c r="B687" s="26" t="s">
        <v>85</v>
      </c>
      <c r="C687" s="26" t="s">
        <v>145</v>
      </c>
      <c r="D687" s="26" t="s">
        <v>88</v>
      </c>
      <c r="E687" s="26" t="s">
        <v>93</v>
      </c>
      <c r="F687" s="28" t="n">
        <v>12</v>
      </c>
      <c r="G687" s="28"/>
      <c r="H687" s="26" t="s">
        <v>96</v>
      </c>
      <c r="I687" s="26"/>
      <c r="J687" s="26"/>
      <c r="K687" s="29" t="str">
        <f aca="false">IF($A687="","",IF(COUNTIFS(tblMoveTypes[Movement],$E687)=0,"Unknown movement type",IF(COUNTIF(tblShipment[Shipment ID],$C687)=0,"Unknown shipment",IF(COUNTIFS(tblShipment[Shipment ID],$C687,tblShipment[Market],$B687)=0,"Market does not match shipment",IF(AND(IFERROR(INDEX(tblMoveTypes[Item?],MATCH($E687,tblMoveTypes[Movement],0)),"?")="Yes",$D687=""),"Item needed",IF(AND(IFERROR(INDEX(tblMoveTypes[Item?],MATCH($E687,tblMoveTypes[Movement],0)),"?")="No",$D687&lt;&gt;""),"Leave Item blank",IF(AND(IFERROR(INDEX(tblMoveTypes[Courier?],MATCH($E687,tblMoveTypes[Movement],0)),"?")="Yes",$H687=""),"Courier needed",IF(AND(IFERROR(INDEX(tblMoveTypes[Courier?],MATCH($E687,tblMoveTypes[Movement],0)),"?")="No",$H687&lt;&gt;""),"Leave Courier blank",IF(AND(IFERROR(INDEX(tblMoveTypes[Orders?],MATCH($E687,tblMoveTypes[Movement],0)),"?")="Yes",$G687=""),"Orders needed",IF(AND(IFERROR(INDEX(tblMoveTypes[Orders?],MATCH($E687,tblMoveTypes[Movement],0)),"?")="No",$G687&lt;&gt;""),"Leave Orders blank",IF(AND(IFERROR(INDEX(tblMoveTypes[Reason?],MATCH($E687,tblMoveTypes[Movement],0)),"?")="Yes",$I687=""),"Reason needed",IF(AND(IFERROR(INDEX(tblMoveTypes[Qty?],MATCH($E687,tblMoveTypes[Movement],0)),"?")="Yes",N($F687)&lt;=0),"Qty needed",IF($A687&lt;_xlfn.MINIFS(tblShipment[Arrival Date],tblShipment[Shipment ID],$C687),"Date before arrival",IF(AND($D687&lt;&gt;"",COUNTIFS(tblShipment[Shipment ID],$C687,tblShipment[Item Code],$D687)=0),"Item not in this shipment",IF(AND($H687&lt;&gt;"",COUNTIFS(tblCouriers[Courier],$H687,tblCouriers[Market],$B687)=0),"Courier not in this market","OK")))))))))))))))</f>
        <v>OK</v>
      </c>
    </row>
    <row r="688" customFormat="false" ht="15" hidden="false" customHeight="false" outlineLevel="0" collapsed="false">
      <c r="A688" s="27" t="n">
        <v>46243</v>
      </c>
      <c r="B688" s="26" t="s">
        <v>85</v>
      </c>
      <c r="C688" s="26" t="s">
        <v>145</v>
      </c>
      <c r="D688" s="26" t="s">
        <v>67</v>
      </c>
      <c r="E688" s="26" t="s">
        <v>93</v>
      </c>
      <c r="F688" s="28" t="n">
        <v>23</v>
      </c>
      <c r="G688" s="28"/>
      <c r="H688" s="26" t="s">
        <v>91</v>
      </c>
      <c r="I688" s="26"/>
      <c r="J688" s="26"/>
      <c r="K688" s="29" t="str">
        <f aca="false">IF($A688="","",IF(COUNTIFS(tblMoveTypes[Movement],$E688)=0,"Unknown movement type",IF(COUNTIF(tblShipment[Shipment ID],$C688)=0,"Unknown shipment",IF(COUNTIFS(tblShipment[Shipment ID],$C688,tblShipment[Market],$B688)=0,"Market does not match shipment",IF(AND(IFERROR(INDEX(tblMoveTypes[Item?],MATCH($E688,tblMoveTypes[Movement],0)),"?")="Yes",$D688=""),"Item needed",IF(AND(IFERROR(INDEX(tblMoveTypes[Item?],MATCH($E688,tblMoveTypes[Movement],0)),"?")="No",$D688&lt;&gt;""),"Leave Item blank",IF(AND(IFERROR(INDEX(tblMoveTypes[Courier?],MATCH($E688,tblMoveTypes[Movement],0)),"?")="Yes",$H688=""),"Courier needed",IF(AND(IFERROR(INDEX(tblMoveTypes[Courier?],MATCH($E688,tblMoveTypes[Movement],0)),"?")="No",$H688&lt;&gt;""),"Leave Courier blank",IF(AND(IFERROR(INDEX(tblMoveTypes[Orders?],MATCH($E688,tblMoveTypes[Movement],0)),"?")="Yes",$G688=""),"Orders needed",IF(AND(IFERROR(INDEX(tblMoveTypes[Orders?],MATCH($E688,tblMoveTypes[Movement],0)),"?")="No",$G688&lt;&gt;""),"Leave Orders blank",IF(AND(IFERROR(INDEX(tblMoveTypes[Reason?],MATCH($E688,tblMoveTypes[Movement],0)),"?")="Yes",$I688=""),"Reason needed",IF(AND(IFERROR(INDEX(tblMoveTypes[Qty?],MATCH($E688,tblMoveTypes[Movement],0)),"?")="Yes",N($F688)&lt;=0),"Qty needed",IF($A688&lt;_xlfn.MINIFS(tblShipment[Arrival Date],tblShipment[Shipment ID],$C688),"Date before arrival",IF(AND($D688&lt;&gt;"",COUNTIFS(tblShipment[Shipment ID],$C688,tblShipment[Item Code],$D688)=0),"Item not in this shipment",IF(AND($H688&lt;&gt;"",COUNTIFS(tblCouriers[Courier],$H688,tblCouriers[Market],$B688)=0),"Courier not in this market","OK")))))))))))))))</f>
        <v>OK</v>
      </c>
    </row>
    <row r="689" customFormat="false" ht="15" hidden="false" customHeight="false" outlineLevel="0" collapsed="false">
      <c r="A689" s="27" t="n">
        <v>46243</v>
      </c>
      <c r="B689" s="26" t="s">
        <v>85</v>
      </c>
      <c r="C689" s="26" t="s">
        <v>145</v>
      </c>
      <c r="D689" s="26" t="s">
        <v>67</v>
      </c>
      <c r="E689" s="26" t="s">
        <v>93</v>
      </c>
      <c r="F689" s="28" t="n">
        <v>16</v>
      </c>
      <c r="G689" s="28"/>
      <c r="H689" s="26" t="s">
        <v>96</v>
      </c>
      <c r="I689" s="26"/>
      <c r="J689" s="26"/>
      <c r="K689" s="29" t="str">
        <f aca="false">IF($A689="","",IF(COUNTIFS(tblMoveTypes[Movement],$E689)=0,"Unknown movement type",IF(COUNTIF(tblShipment[Shipment ID],$C689)=0,"Unknown shipment",IF(COUNTIFS(tblShipment[Shipment ID],$C689,tblShipment[Market],$B689)=0,"Market does not match shipment",IF(AND(IFERROR(INDEX(tblMoveTypes[Item?],MATCH($E689,tblMoveTypes[Movement],0)),"?")="Yes",$D689=""),"Item needed",IF(AND(IFERROR(INDEX(tblMoveTypes[Item?],MATCH($E689,tblMoveTypes[Movement],0)),"?")="No",$D689&lt;&gt;""),"Leave Item blank",IF(AND(IFERROR(INDEX(tblMoveTypes[Courier?],MATCH($E689,tblMoveTypes[Movement],0)),"?")="Yes",$H689=""),"Courier needed",IF(AND(IFERROR(INDEX(tblMoveTypes[Courier?],MATCH($E689,tblMoveTypes[Movement],0)),"?")="No",$H689&lt;&gt;""),"Leave Courier blank",IF(AND(IFERROR(INDEX(tblMoveTypes[Orders?],MATCH($E689,tblMoveTypes[Movement],0)),"?")="Yes",$G689=""),"Orders needed",IF(AND(IFERROR(INDEX(tblMoveTypes[Orders?],MATCH($E689,tblMoveTypes[Movement],0)),"?")="No",$G689&lt;&gt;""),"Leave Orders blank",IF(AND(IFERROR(INDEX(tblMoveTypes[Reason?],MATCH($E689,tblMoveTypes[Movement],0)),"?")="Yes",$I689=""),"Reason needed",IF(AND(IFERROR(INDEX(tblMoveTypes[Qty?],MATCH($E689,tblMoveTypes[Movement],0)),"?")="Yes",N($F689)&lt;=0),"Qty needed",IF($A689&lt;_xlfn.MINIFS(tblShipment[Arrival Date],tblShipment[Shipment ID],$C689),"Date before arrival",IF(AND($D689&lt;&gt;"",COUNTIFS(tblShipment[Shipment ID],$C689,tblShipment[Item Code],$D689)=0),"Item not in this shipment",IF(AND($H689&lt;&gt;"",COUNTIFS(tblCouriers[Courier],$H689,tblCouriers[Market],$B689)=0),"Courier not in this market","OK")))))))))))))))</f>
        <v>OK</v>
      </c>
    </row>
    <row r="690" customFormat="false" ht="15" hidden="false" customHeight="false" outlineLevel="0" collapsed="false">
      <c r="A690" s="27" t="n">
        <v>46243</v>
      </c>
      <c r="B690" s="26" t="s">
        <v>85</v>
      </c>
      <c r="C690" s="26" t="s">
        <v>145</v>
      </c>
      <c r="D690" s="26" t="s">
        <v>76</v>
      </c>
      <c r="E690" s="26" t="s">
        <v>93</v>
      </c>
      <c r="F690" s="28" t="n">
        <v>19</v>
      </c>
      <c r="G690" s="28"/>
      <c r="H690" s="26" t="s">
        <v>91</v>
      </c>
      <c r="I690" s="26"/>
      <c r="J690" s="26"/>
      <c r="K690" s="29" t="str">
        <f aca="false">IF($A690="","",IF(COUNTIFS(tblMoveTypes[Movement],$E690)=0,"Unknown movement type",IF(COUNTIF(tblShipment[Shipment ID],$C690)=0,"Unknown shipment",IF(COUNTIFS(tblShipment[Shipment ID],$C690,tblShipment[Market],$B690)=0,"Market does not match shipment",IF(AND(IFERROR(INDEX(tblMoveTypes[Item?],MATCH($E690,tblMoveTypes[Movement],0)),"?")="Yes",$D690=""),"Item needed",IF(AND(IFERROR(INDEX(tblMoveTypes[Item?],MATCH($E690,tblMoveTypes[Movement],0)),"?")="No",$D690&lt;&gt;""),"Leave Item blank",IF(AND(IFERROR(INDEX(tblMoveTypes[Courier?],MATCH($E690,tblMoveTypes[Movement],0)),"?")="Yes",$H690=""),"Courier needed",IF(AND(IFERROR(INDEX(tblMoveTypes[Courier?],MATCH($E690,tblMoveTypes[Movement],0)),"?")="No",$H690&lt;&gt;""),"Leave Courier blank",IF(AND(IFERROR(INDEX(tblMoveTypes[Orders?],MATCH($E690,tblMoveTypes[Movement],0)),"?")="Yes",$G690=""),"Orders needed",IF(AND(IFERROR(INDEX(tblMoveTypes[Orders?],MATCH($E690,tblMoveTypes[Movement],0)),"?")="No",$G690&lt;&gt;""),"Leave Orders blank",IF(AND(IFERROR(INDEX(tblMoveTypes[Reason?],MATCH($E690,tblMoveTypes[Movement],0)),"?")="Yes",$I690=""),"Reason needed",IF(AND(IFERROR(INDEX(tblMoveTypes[Qty?],MATCH($E690,tblMoveTypes[Movement],0)),"?")="Yes",N($F690)&lt;=0),"Qty needed",IF($A690&lt;_xlfn.MINIFS(tblShipment[Arrival Date],tblShipment[Shipment ID],$C690),"Date before arrival",IF(AND($D690&lt;&gt;"",COUNTIFS(tblShipment[Shipment ID],$C690,tblShipment[Item Code],$D690)=0),"Item not in this shipment",IF(AND($H690&lt;&gt;"",COUNTIFS(tblCouriers[Courier],$H690,tblCouriers[Market],$B690)=0),"Courier not in this market","OK")))))))))))))))</f>
        <v>OK</v>
      </c>
    </row>
    <row r="691" customFormat="false" ht="15" hidden="false" customHeight="false" outlineLevel="0" collapsed="false">
      <c r="A691" s="27" t="n">
        <v>46243</v>
      </c>
      <c r="B691" s="26" t="s">
        <v>85</v>
      </c>
      <c r="C691" s="26" t="s">
        <v>145</v>
      </c>
      <c r="D691" s="26" t="s">
        <v>76</v>
      </c>
      <c r="E691" s="26" t="s">
        <v>93</v>
      </c>
      <c r="F691" s="28" t="n">
        <v>12</v>
      </c>
      <c r="G691" s="28"/>
      <c r="H691" s="26" t="s">
        <v>96</v>
      </c>
      <c r="I691" s="26"/>
      <c r="J691" s="26"/>
      <c r="K691" s="29" t="str">
        <f aca="false">IF($A691="","",IF(COUNTIFS(tblMoveTypes[Movement],$E691)=0,"Unknown movement type",IF(COUNTIF(tblShipment[Shipment ID],$C691)=0,"Unknown shipment",IF(COUNTIFS(tblShipment[Shipment ID],$C691,tblShipment[Market],$B691)=0,"Market does not match shipment",IF(AND(IFERROR(INDEX(tblMoveTypes[Item?],MATCH($E691,tblMoveTypes[Movement],0)),"?")="Yes",$D691=""),"Item needed",IF(AND(IFERROR(INDEX(tblMoveTypes[Item?],MATCH($E691,tblMoveTypes[Movement],0)),"?")="No",$D691&lt;&gt;""),"Leave Item blank",IF(AND(IFERROR(INDEX(tblMoveTypes[Courier?],MATCH($E691,tblMoveTypes[Movement],0)),"?")="Yes",$H691=""),"Courier needed",IF(AND(IFERROR(INDEX(tblMoveTypes[Courier?],MATCH($E691,tblMoveTypes[Movement],0)),"?")="No",$H691&lt;&gt;""),"Leave Courier blank",IF(AND(IFERROR(INDEX(tblMoveTypes[Orders?],MATCH($E691,tblMoveTypes[Movement],0)),"?")="Yes",$G691=""),"Orders needed",IF(AND(IFERROR(INDEX(tblMoveTypes[Orders?],MATCH($E691,tblMoveTypes[Movement],0)),"?")="No",$G691&lt;&gt;""),"Leave Orders blank",IF(AND(IFERROR(INDEX(tblMoveTypes[Reason?],MATCH($E691,tblMoveTypes[Movement],0)),"?")="Yes",$I691=""),"Reason needed",IF(AND(IFERROR(INDEX(tblMoveTypes[Qty?],MATCH($E691,tblMoveTypes[Movement],0)),"?")="Yes",N($F691)&lt;=0),"Qty needed",IF($A691&lt;_xlfn.MINIFS(tblShipment[Arrival Date],tblShipment[Shipment ID],$C691),"Date before arrival",IF(AND($D691&lt;&gt;"",COUNTIFS(tblShipment[Shipment ID],$C691,tblShipment[Item Code],$D691)=0),"Item not in this shipment",IF(AND($H691&lt;&gt;"",COUNTIFS(tblCouriers[Courier],$H691,tblCouriers[Market],$B691)=0),"Courier not in this market","OK")))))))))))))))</f>
        <v>OK</v>
      </c>
    </row>
    <row r="692" customFormat="false" ht="15" hidden="false" customHeight="false" outlineLevel="0" collapsed="false">
      <c r="A692" s="27" t="n">
        <v>46243</v>
      </c>
      <c r="B692" s="26" t="s">
        <v>85</v>
      </c>
      <c r="C692" s="26" t="s">
        <v>145</v>
      </c>
      <c r="D692" s="26" t="s">
        <v>99</v>
      </c>
      <c r="E692" s="26" t="s">
        <v>93</v>
      </c>
      <c r="F692" s="28" t="n">
        <v>49</v>
      </c>
      <c r="G692" s="28"/>
      <c r="H692" s="26" t="s">
        <v>91</v>
      </c>
      <c r="I692" s="26"/>
      <c r="J692" s="26"/>
      <c r="K692" s="29" t="str">
        <f aca="false">IF($A692="","",IF(COUNTIFS(tblMoveTypes[Movement],$E692)=0,"Unknown movement type",IF(COUNTIF(tblShipment[Shipment ID],$C692)=0,"Unknown shipment",IF(COUNTIFS(tblShipment[Shipment ID],$C692,tblShipment[Market],$B692)=0,"Market does not match shipment",IF(AND(IFERROR(INDEX(tblMoveTypes[Item?],MATCH($E692,tblMoveTypes[Movement],0)),"?")="Yes",$D692=""),"Item needed",IF(AND(IFERROR(INDEX(tblMoveTypes[Item?],MATCH($E692,tblMoveTypes[Movement],0)),"?")="No",$D692&lt;&gt;""),"Leave Item blank",IF(AND(IFERROR(INDEX(tblMoveTypes[Courier?],MATCH($E692,tblMoveTypes[Movement],0)),"?")="Yes",$H692=""),"Courier needed",IF(AND(IFERROR(INDEX(tblMoveTypes[Courier?],MATCH($E692,tblMoveTypes[Movement],0)),"?")="No",$H692&lt;&gt;""),"Leave Courier blank",IF(AND(IFERROR(INDEX(tblMoveTypes[Orders?],MATCH($E692,tblMoveTypes[Movement],0)),"?")="Yes",$G692=""),"Orders needed",IF(AND(IFERROR(INDEX(tblMoveTypes[Orders?],MATCH($E692,tblMoveTypes[Movement],0)),"?")="No",$G692&lt;&gt;""),"Leave Orders blank",IF(AND(IFERROR(INDEX(tblMoveTypes[Reason?],MATCH($E692,tblMoveTypes[Movement],0)),"?")="Yes",$I692=""),"Reason needed",IF(AND(IFERROR(INDEX(tblMoveTypes[Qty?],MATCH($E692,tblMoveTypes[Movement],0)),"?")="Yes",N($F692)&lt;=0),"Qty needed",IF($A692&lt;_xlfn.MINIFS(tblShipment[Arrival Date],tblShipment[Shipment ID],$C692),"Date before arrival",IF(AND($D692&lt;&gt;"",COUNTIFS(tblShipment[Shipment ID],$C692,tblShipment[Item Code],$D692)=0),"Item not in this shipment",IF(AND($H692&lt;&gt;"",COUNTIFS(tblCouriers[Courier],$H692,tblCouriers[Market],$B692)=0),"Courier not in this market","OK")))))))))))))))</f>
        <v>OK</v>
      </c>
    </row>
    <row r="693" customFormat="false" ht="15" hidden="false" customHeight="false" outlineLevel="0" collapsed="false">
      <c r="A693" s="27" t="n">
        <v>46243</v>
      </c>
      <c r="B693" s="26" t="s">
        <v>85</v>
      </c>
      <c r="C693" s="26" t="s">
        <v>145</v>
      </c>
      <c r="D693" s="26" t="s">
        <v>99</v>
      </c>
      <c r="E693" s="26" t="s">
        <v>93</v>
      </c>
      <c r="F693" s="28" t="n">
        <v>33</v>
      </c>
      <c r="G693" s="28"/>
      <c r="H693" s="26" t="s">
        <v>96</v>
      </c>
      <c r="I693" s="26"/>
      <c r="J693" s="26"/>
      <c r="K693" s="29" t="str">
        <f aca="false">IF($A693="","",IF(COUNTIFS(tblMoveTypes[Movement],$E693)=0,"Unknown movement type",IF(COUNTIF(tblShipment[Shipment ID],$C693)=0,"Unknown shipment",IF(COUNTIFS(tblShipment[Shipment ID],$C693,tblShipment[Market],$B693)=0,"Market does not match shipment",IF(AND(IFERROR(INDEX(tblMoveTypes[Item?],MATCH($E693,tblMoveTypes[Movement],0)),"?")="Yes",$D693=""),"Item needed",IF(AND(IFERROR(INDEX(tblMoveTypes[Item?],MATCH($E693,tblMoveTypes[Movement],0)),"?")="No",$D693&lt;&gt;""),"Leave Item blank",IF(AND(IFERROR(INDEX(tblMoveTypes[Courier?],MATCH($E693,tblMoveTypes[Movement],0)),"?")="Yes",$H693=""),"Courier needed",IF(AND(IFERROR(INDEX(tblMoveTypes[Courier?],MATCH($E693,tblMoveTypes[Movement],0)),"?")="No",$H693&lt;&gt;""),"Leave Courier blank",IF(AND(IFERROR(INDEX(tblMoveTypes[Orders?],MATCH($E693,tblMoveTypes[Movement],0)),"?")="Yes",$G693=""),"Orders needed",IF(AND(IFERROR(INDEX(tblMoveTypes[Orders?],MATCH($E693,tblMoveTypes[Movement],0)),"?")="No",$G693&lt;&gt;""),"Leave Orders blank",IF(AND(IFERROR(INDEX(tblMoveTypes[Reason?],MATCH($E693,tblMoveTypes[Movement],0)),"?")="Yes",$I693=""),"Reason needed",IF(AND(IFERROR(INDEX(tblMoveTypes[Qty?],MATCH($E693,tblMoveTypes[Movement],0)),"?")="Yes",N($F693)&lt;=0),"Qty needed",IF($A693&lt;_xlfn.MINIFS(tblShipment[Arrival Date],tblShipment[Shipment ID],$C693),"Date before arrival",IF(AND($D693&lt;&gt;"",COUNTIFS(tblShipment[Shipment ID],$C693,tblShipment[Item Code],$D693)=0),"Item not in this shipment",IF(AND($H693&lt;&gt;"",COUNTIFS(tblCouriers[Courier],$H693,tblCouriers[Market],$B693)=0),"Courier not in this market","OK")))))))))))))))</f>
        <v>OK</v>
      </c>
    </row>
    <row r="694" customFormat="false" ht="15" hidden="false" customHeight="false" outlineLevel="0" collapsed="false">
      <c r="A694" s="27" t="n">
        <v>46243</v>
      </c>
      <c r="B694" s="26" t="s">
        <v>85</v>
      </c>
      <c r="C694" s="26" t="s">
        <v>145</v>
      </c>
      <c r="D694" s="26"/>
      <c r="E694" s="26" t="s">
        <v>104</v>
      </c>
      <c r="F694" s="28"/>
      <c r="G694" s="28" t="n">
        <v>20</v>
      </c>
      <c r="H694" s="26" t="s">
        <v>91</v>
      </c>
      <c r="I694" s="26"/>
      <c r="J694" s="26"/>
      <c r="K694" s="29" t="str">
        <f aca="false">IF($A694="","",IF(COUNTIFS(tblMoveTypes[Movement],$E694)=0,"Unknown movement type",IF(COUNTIF(tblShipment[Shipment ID],$C694)=0,"Unknown shipment",IF(COUNTIFS(tblShipment[Shipment ID],$C694,tblShipment[Market],$B694)=0,"Market does not match shipment",IF(AND(IFERROR(INDEX(tblMoveTypes[Item?],MATCH($E694,tblMoveTypes[Movement],0)),"?")="Yes",$D694=""),"Item needed",IF(AND(IFERROR(INDEX(tblMoveTypes[Item?],MATCH($E694,tblMoveTypes[Movement],0)),"?")="No",$D694&lt;&gt;""),"Leave Item blank",IF(AND(IFERROR(INDEX(tblMoveTypes[Courier?],MATCH($E694,tblMoveTypes[Movement],0)),"?")="Yes",$H694=""),"Courier needed",IF(AND(IFERROR(INDEX(tblMoveTypes[Courier?],MATCH($E694,tblMoveTypes[Movement],0)),"?")="No",$H694&lt;&gt;""),"Leave Courier blank",IF(AND(IFERROR(INDEX(tblMoveTypes[Orders?],MATCH($E694,tblMoveTypes[Movement],0)),"?")="Yes",$G694=""),"Orders needed",IF(AND(IFERROR(INDEX(tblMoveTypes[Orders?],MATCH($E694,tblMoveTypes[Movement],0)),"?")="No",$G694&lt;&gt;""),"Leave Orders blank",IF(AND(IFERROR(INDEX(tblMoveTypes[Reason?],MATCH($E694,tblMoveTypes[Movement],0)),"?")="Yes",$I694=""),"Reason needed",IF(AND(IFERROR(INDEX(tblMoveTypes[Qty?],MATCH($E694,tblMoveTypes[Movement],0)),"?")="Yes",N($F694)&lt;=0),"Qty needed",IF($A694&lt;_xlfn.MINIFS(tblShipment[Arrival Date],tblShipment[Shipment ID],$C694),"Date before arrival",IF(AND($D694&lt;&gt;"",COUNTIFS(tblShipment[Shipment ID],$C694,tblShipment[Item Code],$D694)=0),"Item not in this shipment",IF(AND($H694&lt;&gt;"",COUNTIFS(tblCouriers[Courier],$H694,tblCouriers[Market],$B694)=0),"Courier not in this market","OK")))))))))))))))</f>
        <v>OK</v>
      </c>
    </row>
    <row r="695" customFormat="false" ht="15" hidden="false" customHeight="false" outlineLevel="0" collapsed="false">
      <c r="A695" s="27" t="n">
        <v>46243</v>
      </c>
      <c r="B695" s="26" t="s">
        <v>85</v>
      </c>
      <c r="C695" s="26" t="s">
        <v>145</v>
      </c>
      <c r="D695" s="26"/>
      <c r="E695" s="26" t="s">
        <v>106</v>
      </c>
      <c r="F695" s="28" t="n">
        <v>68</v>
      </c>
      <c r="G695" s="28" t="n">
        <v>12</v>
      </c>
      <c r="H695" s="26" t="s">
        <v>91</v>
      </c>
      <c r="I695" s="26"/>
      <c r="J695" s="26"/>
      <c r="K695" s="29" t="str">
        <f aca="false">IF($A695="","",IF(COUNTIFS(tblMoveTypes[Movement],$E695)=0,"Unknown movement type",IF(COUNTIF(tblShipment[Shipment ID],$C695)=0,"Unknown shipment",IF(COUNTIFS(tblShipment[Shipment ID],$C695,tblShipment[Market],$B695)=0,"Market does not match shipment",IF(AND(IFERROR(INDEX(tblMoveTypes[Item?],MATCH($E695,tblMoveTypes[Movement],0)),"?")="Yes",$D695=""),"Item needed",IF(AND(IFERROR(INDEX(tblMoveTypes[Item?],MATCH($E695,tblMoveTypes[Movement],0)),"?")="No",$D695&lt;&gt;""),"Leave Item blank",IF(AND(IFERROR(INDEX(tblMoveTypes[Courier?],MATCH($E695,tblMoveTypes[Movement],0)),"?")="Yes",$H695=""),"Courier needed",IF(AND(IFERROR(INDEX(tblMoveTypes[Courier?],MATCH($E695,tblMoveTypes[Movement],0)),"?")="No",$H695&lt;&gt;""),"Leave Courier blank",IF(AND(IFERROR(INDEX(tblMoveTypes[Orders?],MATCH($E695,tblMoveTypes[Movement],0)),"?")="Yes",$G695=""),"Orders needed",IF(AND(IFERROR(INDEX(tblMoveTypes[Orders?],MATCH($E695,tblMoveTypes[Movement],0)),"?")="No",$G695&lt;&gt;""),"Leave Orders blank",IF(AND(IFERROR(INDEX(tblMoveTypes[Reason?],MATCH($E695,tblMoveTypes[Movement],0)),"?")="Yes",$I695=""),"Reason needed",IF(AND(IFERROR(INDEX(tblMoveTypes[Qty?],MATCH($E695,tblMoveTypes[Movement],0)),"?")="Yes",N($F695)&lt;=0),"Qty needed",IF($A695&lt;_xlfn.MINIFS(tblShipment[Arrival Date],tblShipment[Shipment ID],$C695),"Date before arrival",IF(AND($D695&lt;&gt;"",COUNTIFS(tblShipment[Shipment ID],$C695,tblShipment[Item Code],$D695)=0),"Item not in this shipment",IF(AND($H695&lt;&gt;"",COUNTIFS(tblCouriers[Courier],$H695,tblCouriers[Market],$B695)=0),"Courier not in this market","OK")))))))))))))))</f>
        <v>OK</v>
      </c>
    </row>
    <row r="696" customFormat="false" ht="15" hidden="false" customHeight="false" outlineLevel="0" collapsed="false">
      <c r="A696" s="27" t="n">
        <v>46243</v>
      </c>
      <c r="B696" s="26" t="s">
        <v>85</v>
      </c>
      <c r="C696" s="26" t="s">
        <v>145</v>
      </c>
      <c r="D696" s="26"/>
      <c r="E696" s="26" t="s">
        <v>104</v>
      </c>
      <c r="F696" s="28"/>
      <c r="G696" s="28" t="n">
        <v>13</v>
      </c>
      <c r="H696" s="26" t="s">
        <v>96</v>
      </c>
      <c r="I696" s="26"/>
      <c r="J696" s="26"/>
      <c r="K696" s="29" t="str">
        <f aca="false">IF($A696="","",IF(COUNTIFS(tblMoveTypes[Movement],$E696)=0,"Unknown movement type",IF(COUNTIF(tblShipment[Shipment ID],$C696)=0,"Unknown shipment",IF(COUNTIFS(tblShipment[Shipment ID],$C696,tblShipment[Market],$B696)=0,"Market does not match shipment",IF(AND(IFERROR(INDEX(tblMoveTypes[Item?],MATCH($E696,tblMoveTypes[Movement],0)),"?")="Yes",$D696=""),"Item needed",IF(AND(IFERROR(INDEX(tblMoveTypes[Item?],MATCH($E696,tblMoveTypes[Movement],0)),"?")="No",$D696&lt;&gt;""),"Leave Item blank",IF(AND(IFERROR(INDEX(tblMoveTypes[Courier?],MATCH($E696,tblMoveTypes[Movement],0)),"?")="Yes",$H696=""),"Courier needed",IF(AND(IFERROR(INDEX(tblMoveTypes[Courier?],MATCH($E696,tblMoveTypes[Movement],0)),"?")="No",$H696&lt;&gt;""),"Leave Courier blank",IF(AND(IFERROR(INDEX(tblMoveTypes[Orders?],MATCH($E696,tblMoveTypes[Movement],0)),"?")="Yes",$G696=""),"Orders needed",IF(AND(IFERROR(INDEX(tblMoveTypes[Orders?],MATCH($E696,tblMoveTypes[Movement],0)),"?")="No",$G696&lt;&gt;""),"Leave Orders blank",IF(AND(IFERROR(INDEX(tblMoveTypes[Reason?],MATCH($E696,tblMoveTypes[Movement],0)),"?")="Yes",$I696=""),"Reason needed",IF(AND(IFERROR(INDEX(tblMoveTypes[Qty?],MATCH($E696,tblMoveTypes[Movement],0)),"?")="Yes",N($F696)&lt;=0),"Qty needed",IF($A696&lt;_xlfn.MINIFS(tblShipment[Arrival Date],tblShipment[Shipment ID],$C696),"Date before arrival",IF(AND($D696&lt;&gt;"",COUNTIFS(tblShipment[Shipment ID],$C696,tblShipment[Item Code],$D696)=0),"Item not in this shipment",IF(AND($H696&lt;&gt;"",COUNTIFS(tblCouriers[Courier],$H696,tblCouriers[Market],$B696)=0),"Courier not in this market","OK")))))))))))))))</f>
        <v>OK</v>
      </c>
    </row>
    <row r="697" customFormat="false" ht="15" hidden="false" customHeight="false" outlineLevel="0" collapsed="false">
      <c r="A697" s="27" t="n">
        <v>46243</v>
      </c>
      <c r="B697" s="26" t="s">
        <v>85</v>
      </c>
      <c r="C697" s="26" t="s">
        <v>145</v>
      </c>
      <c r="D697" s="26"/>
      <c r="E697" s="26" t="s">
        <v>106</v>
      </c>
      <c r="F697" s="28" t="n">
        <v>49</v>
      </c>
      <c r="G697" s="28" t="n">
        <v>9</v>
      </c>
      <c r="H697" s="26" t="s">
        <v>96</v>
      </c>
      <c r="I697" s="26"/>
      <c r="J697" s="26"/>
      <c r="K697" s="29" t="str">
        <f aca="false">IF($A697="","",IF(COUNTIFS(tblMoveTypes[Movement],$E697)=0,"Unknown movement type",IF(COUNTIF(tblShipment[Shipment ID],$C697)=0,"Unknown shipment",IF(COUNTIFS(tblShipment[Shipment ID],$C697,tblShipment[Market],$B697)=0,"Market does not match shipment",IF(AND(IFERROR(INDEX(tblMoveTypes[Item?],MATCH($E697,tblMoveTypes[Movement],0)),"?")="Yes",$D697=""),"Item needed",IF(AND(IFERROR(INDEX(tblMoveTypes[Item?],MATCH($E697,tblMoveTypes[Movement],0)),"?")="No",$D697&lt;&gt;""),"Leave Item blank",IF(AND(IFERROR(INDEX(tblMoveTypes[Courier?],MATCH($E697,tblMoveTypes[Movement],0)),"?")="Yes",$H697=""),"Courier needed",IF(AND(IFERROR(INDEX(tblMoveTypes[Courier?],MATCH($E697,tblMoveTypes[Movement],0)),"?")="No",$H697&lt;&gt;""),"Leave Courier blank",IF(AND(IFERROR(INDEX(tblMoveTypes[Orders?],MATCH($E697,tblMoveTypes[Movement],0)),"?")="Yes",$G697=""),"Orders needed",IF(AND(IFERROR(INDEX(tblMoveTypes[Orders?],MATCH($E697,tblMoveTypes[Movement],0)),"?")="No",$G697&lt;&gt;""),"Leave Orders blank",IF(AND(IFERROR(INDEX(tblMoveTypes[Reason?],MATCH($E697,tblMoveTypes[Movement],0)),"?")="Yes",$I697=""),"Reason needed",IF(AND(IFERROR(INDEX(tblMoveTypes[Qty?],MATCH($E697,tblMoveTypes[Movement],0)),"?")="Yes",N($F697)&lt;=0),"Qty needed",IF($A697&lt;_xlfn.MINIFS(tblShipment[Arrival Date],tblShipment[Shipment ID],$C697),"Date before arrival",IF(AND($D697&lt;&gt;"",COUNTIFS(tblShipment[Shipment ID],$C697,tblShipment[Item Code],$D697)=0),"Item not in this shipment",IF(AND($H697&lt;&gt;"",COUNTIFS(tblCouriers[Courier],$H697,tblCouriers[Market],$B697)=0),"Courier not in this market","OK")))))))))))))))</f>
        <v>OK</v>
      </c>
    </row>
    <row r="698" customFormat="false" ht="15" hidden="false" customHeight="false" outlineLevel="0" collapsed="false">
      <c r="A698" s="27" t="n">
        <v>46243</v>
      </c>
      <c r="B698" s="26" t="s">
        <v>90</v>
      </c>
      <c r="C698" s="26" t="s">
        <v>151</v>
      </c>
      <c r="D698" s="26"/>
      <c r="E698" s="26" t="s">
        <v>106</v>
      </c>
      <c r="F698" s="28" t="n">
        <v>5</v>
      </c>
      <c r="G698" s="28" t="n">
        <v>1</v>
      </c>
      <c r="H698" s="26" t="s">
        <v>101</v>
      </c>
      <c r="I698" s="26"/>
      <c r="J698" s="26"/>
      <c r="K698" s="29" t="str">
        <f aca="false">IF($A698="","",IF(COUNTIFS(tblMoveTypes[Movement],$E698)=0,"Unknown movement type",IF(COUNTIF(tblShipment[Shipment ID],$C698)=0,"Unknown shipment",IF(COUNTIFS(tblShipment[Shipment ID],$C698,tblShipment[Market],$B698)=0,"Market does not match shipment",IF(AND(IFERROR(INDEX(tblMoveTypes[Item?],MATCH($E698,tblMoveTypes[Movement],0)),"?")="Yes",$D698=""),"Item needed",IF(AND(IFERROR(INDEX(tblMoveTypes[Item?],MATCH($E698,tblMoveTypes[Movement],0)),"?")="No",$D698&lt;&gt;""),"Leave Item blank",IF(AND(IFERROR(INDEX(tblMoveTypes[Courier?],MATCH($E698,tblMoveTypes[Movement],0)),"?")="Yes",$H698=""),"Courier needed",IF(AND(IFERROR(INDEX(tblMoveTypes[Courier?],MATCH($E698,tblMoveTypes[Movement],0)),"?")="No",$H698&lt;&gt;""),"Leave Courier blank",IF(AND(IFERROR(INDEX(tblMoveTypes[Orders?],MATCH($E698,tblMoveTypes[Movement],0)),"?")="Yes",$G698=""),"Orders needed",IF(AND(IFERROR(INDEX(tblMoveTypes[Orders?],MATCH($E698,tblMoveTypes[Movement],0)),"?")="No",$G698&lt;&gt;""),"Leave Orders blank",IF(AND(IFERROR(INDEX(tblMoveTypes[Reason?],MATCH($E698,tblMoveTypes[Movement],0)),"?")="Yes",$I698=""),"Reason needed",IF(AND(IFERROR(INDEX(tblMoveTypes[Qty?],MATCH($E698,tblMoveTypes[Movement],0)),"?")="Yes",N($F698)&lt;=0),"Qty needed",IF($A698&lt;_xlfn.MINIFS(tblShipment[Arrival Date],tblShipment[Shipment ID],$C698),"Date before arrival",IF(AND($D698&lt;&gt;"",COUNTIFS(tblShipment[Shipment ID],$C698,tblShipment[Item Code],$D698)=0),"Item not in this shipment",IF(AND($H698&lt;&gt;"",COUNTIFS(tblCouriers[Courier],$H698,tblCouriers[Market],$B698)=0),"Courier not in this market","OK")))))))))))))))</f>
        <v>OK</v>
      </c>
    </row>
    <row r="699" customFormat="false" ht="15" hidden="false" customHeight="false" outlineLevel="0" collapsed="false">
      <c r="A699" s="27" t="n">
        <v>46243</v>
      </c>
      <c r="B699" s="26" t="s">
        <v>90</v>
      </c>
      <c r="C699" s="26" t="s">
        <v>152</v>
      </c>
      <c r="D699" s="26" t="s">
        <v>67</v>
      </c>
      <c r="E699" s="26" t="s">
        <v>74</v>
      </c>
      <c r="F699" s="28" t="n">
        <v>120</v>
      </c>
      <c r="G699" s="28"/>
      <c r="H699" s="26"/>
      <c r="I699" s="26"/>
      <c r="J699" s="26"/>
      <c r="K699" s="29" t="str">
        <f aca="false">IF($A699="","",IF(COUNTIFS(tblMoveTypes[Movement],$E699)=0,"Unknown movement type",IF(COUNTIF(tblShipment[Shipment ID],$C699)=0,"Unknown shipment",IF(COUNTIFS(tblShipment[Shipment ID],$C699,tblShipment[Market],$B699)=0,"Market does not match shipment",IF(AND(IFERROR(INDEX(tblMoveTypes[Item?],MATCH($E699,tblMoveTypes[Movement],0)),"?")="Yes",$D699=""),"Item needed",IF(AND(IFERROR(INDEX(tblMoveTypes[Item?],MATCH($E699,tblMoveTypes[Movement],0)),"?")="No",$D699&lt;&gt;""),"Leave Item blank",IF(AND(IFERROR(INDEX(tblMoveTypes[Courier?],MATCH($E699,tblMoveTypes[Movement],0)),"?")="Yes",$H699=""),"Courier needed",IF(AND(IFERROR(INDEX(tblMoveTypes[Courier?],MATCH($E699,tblMoveTypes[Movement],0)),"?")="No",$H699&lt;&gt;""),"Leave Courier blank",IF(AND(IFERROR(INDEX(tblMoveTypes[Orders?],MATCH($E699,tblMoveTypes[Movement],0)),"?")="Yes",$G699=""),"Orders needed",IF(AND(IFERROR(INDEX(tblMoveTypes[Orders?],MATCH($E699,tblMoveTypes[Movement],0)),"?")="No",$G699&lt;&gt;""),"Leave Orders blank",IF(AND(IFERROR(INDEX(tblMoveTypes[Reason?],MATCH($E699,tblMoveTypes[Movement],0)),"?")="Yes",$I699=""),"Reason needed",IF(AND(IFERROR(INDEX(tblMoveTypes[Qty?],MATCH($E699,tblMoveTypes[Movement],0)),"?")="Yes",N($F699)&lt;=0),"Qty needed",IF($A699&lt;_xlfn.MINIFS(tblShipment[Arrival Date],tblShipment[Shipment ID],$C699),"Date before arrival",IF(AND($D699&lt;&gt;"",COUNTIFS(tblShipment[Shipment ID],$C699,tblShipment[Item Code],$D699)=0),"Item not in this shipment",IF(AND($H699&lt;&gt;"",COUNTIFS(tblCouriers[Courier],$H699,tblCouriers[Market],$B699)=0),"Courier not in this market","OK")))))))))))))))</f>
        <v>OK</v>
      </c>
    </row>
    <row r="700" customFormat="false" ht="15" hidden="false" customHeight="false" outlineLevel="0" collapsed="false">
      <c r="A700" s="27" t="n">
        <v>46243</v>
      </c>
      <c r="B700" s="26" t="s">
        <v>90</v>
      </c>
      <c r="C700" s="26" t="s">
        <v>152</v>
      </c>
      <c r="D700" s="26" t="s">
        <v>94</v>
      </c>
      <c r="E700" s="26" t="s">
        <v>81</v>
      </c>
      <c r="F700" s="28" t="n">
        <v>3</v>
      </c>
      <c r="G700" s="28"/>
      <c r="H700" s="26"/>
      <c r="I700" s="26"/>
      <c r="J700" s="26" t="s">
        <v>162</v>
      </c>
      <c r="K700" s="29" t="str">
        <f aca="false">IF($A700="","",IF(COUNTIFS(tblMoveTypes[Movement],$E700)=0,"Unknown movement type",IF(COUNTIF(tblShipment[Shipment ID],$C700)=0,"Unknown shipment",IF(COUNTIFS(tblShipment[Shipment ID],$C700,tblShipment[Market],$B700)=0,"Market does not match shipment",IF(AND(IFERROR(INDEX(tblMoveTypes[Item?],MATCH($E700,tblMoveTypes[Movement],0)),"?")="Yes",$D700=""),"Item needed",IF(AND(IFERROR(INDEX(tblMoveTypes[Item?],MATCH($E700,tblMoveTypes[Movement],0)),"?")="No",$D700&lt;&gt;""),"Leave Item blank",IF(AND(IFERROR(INDEX(tblMoveTypes[Courier?],MATCH($E700,tblMoveTypes[Movement],0)),"?")="Yes",$H700=""),"Courier needed",IF(AND(IFERROR(INDEX(tblMoveTypes[Courier?],MATCH($E700,tblMoveTypes[Movement],0)),"?")="No",$H700&lt;&gt;""),"Leave Courier blank",IF(AND(IFERROR(INDEX(tblMoveTypes[Orders?],MATCH($E700,tblMoveTypes[Movement],0)),"?")="Yes",$G700=""),"Orders needed",IF(AND(IFERROR(INDEX(tblMoveTypes[Orders?],MATCH($E700,tblMoveTypes[Movement],0)),"?")="No",$G700&lt;&gt;""),"Leave Orders blank",IF(AND(IFERROR(INDEX(tblMoveTypes[Reason?],MATCH($E700,tblMoveTypes[Movement],0)),"?")="Yes",$I700=""),"Reason needed",IF(AND(IFERROR(INDEX(tblMoveTypes[Qty?],MATCH($E700,tblMoveTypes[Movement],0)),"?")="Yes",N($F700)&lt;=0),"Qty needed",IF($A700&lt;_xlfn.MINIFS(tblShipment[Arrival Date],tblShipment[Shipment ID],$C700),"Date before arrival",IF(AND($D700&lt;&gt;"",COUNTIFS(tblShipment[Shipment ID],$C700,tblShipment[Item Code],$D700)=0),"Item not in this shipment",IF(AND($H700&lt;&gt;"",COUNTIFS(tblCouriers[Courier],$H700,tblCouriers[Market],$B700)=0),"Courier not in this market","OK")))))))))))))))</f>
        <v>OK</v>
      </c>
    </row>
    <row r="701" customFormat="false" ht="15" hidden="false" customHeight="false" outlineLevel="0" collapsed="false">
      <c r="A701" s="27" t="n">
        <v>46243</v>
      </c>
      <c r="B701" s="26" t="s">
        <v>90</v>
      </c>
      <c r="C701" s="26" t="s">
        <v>152</v>
      </c>
      <c r="D701" s="26" t="s">
        <v>94</v>
      </c>
      <c r="E701" s="26" t="s">
        <v>74</v>
      </c>
      <c r="F701" s="28" t="n">
        <v>97</v>
      </c>
      <c r="G701" s="28"/>
      <c r="H701" s="26"/>
      <c r="I701" s="26"/>
      <c r="J701" s="26"/>
      <c r="K701" s="29" t="str">
        <f aca="false">IF($A701="","",IF(COUNTIFS(tblMoveTypes[Movement],$E701)=0,"Unknown movement type",IF(COUNTIF(tblShipment[Shipment ID],$C701)=0,"Unknown shipment",IF(COUNTIFS(tblShipment[Shipment ID],$C701,tblShipment[Market],$B701)=0,"Market does not match shipment",IF(AND(IFERROR(INDEX(tblMoveTypes[Item?],MATCH($E701,tblMoveTypes[Movement],0)),"?")="Yes",$D701=""),"Item needed",IF(AND(IFERROR(INDEX(tblMoveTypes[Item?],MATCH($E701,tblMoveTypes[Movement],0)),"?")="No",$D701&lt;&gt;""),"Leave Item blank",IF(AND(IFERROR(INDEX(tblMoveTypes[Courier?],MATCH($E701,tblMoveTypes[Movement],0)),"?")="Yes",$H701=""),"Courier needed",IF(AND(IFERROR(INDEX(tblMoveTypes[Courier?],MATCH($E701,tblMoveTypes[Movement],0)),"?")="No",$H701&lt;&gt;""),"Leave Courier blank",IF(AND(IFERROR(INDEX(tblMoveTypes[Orders?],MATCH($E701,tblMoveTypes[Movement],0)),"?")="Yes",$G701=""),"Orders needed",IF(AND(IFERROR(INDEX(tblMoveTypes[Orders?],MATCH($E701,tblMoveTypes[Movement],0)),"?")="No",$G701&lt;&gt;""),"Leave Orders blank",IF(AND(IFERROR(INDEX(tblMoveTypes[Reason?],MATCH($E701,tblMoveTypes[Movement],0)),"?")="Yes",$I701=""),"Reason needed",IF(AND(IFERROR(INDEX(tblMoveTypes[Qty?],MATCH($E701,tblMoveTypes[Movement],0)),"?")="Yes",N($F701)&lt;=0),"Qty needed",IF($A701&lt;_xlfn.MINIFS(tblShipment[Arrival Date],tblShipment[Shipment ID],$C701),"Date before arrival",IF(AND($D701&lt;&gt;"",COUNTIFS(tblShipment[Shipment ID],$C701,tblShipment[Item Code],$D701)=0),"Item not in this shipment",IF(AND($H701&lt;&gt;"",COUNTIFS(tblCouriers[Courier],$H701,tblCouriers[Market],$B701)=0),"Courier not in this market","OK")))))))))))))))</f>
        <v>OK</v>
      </c>
    </row>
    <row r="702" customFormat="false" ht="15" hidden="false" customHeight="false" outlineLevel="0" collapsed="false">
      <c r="A702" s="27" t="n">
        <v>46243</v>
      </c>
      <c r="B702" s="26" t="s">
        <v>90</v>
      </c>
      <c r="C702" s="26" t="s">
        <v>152</v>
      </c>
      <c r="D702" s="26" t="s">
        <v>88</v>
      </c>
      <c r="E702" s="26" t="s">
        <v>74</v>
      </c>
      <c r="F702" s="28" t="n">
        <v>120</v>
      </c>
      <c r="G702" s="28"/>
      <c r="H702" s="26"/>
      <c r="I702" s="26"/>
      <c r="J702" s="26"/>
      <c r="K702" s="29" t="str">
        <f aca="false">IF($A702="","",IF(COUNTIFS(tblMoveTypes[Movement],$E702)=0,"Unknown movement type",IF(COUNTIF(tblShipment[Shipment ID],$C702)=0,"Unknown shipment",IF(COUNTIFS(tblShipment[Shipment ID],$C702,tblShipment[Market],$B702)=0,"Market does not match shipment",IF(AND(IFERROR(INDEX(tblMoveTypes[Item?],MATCH($E702,tblMoveTypes[Movement],0)),"?")="Yes",$D702=""),"Item needed",IF(AND(IFERROR(INDEX(tblMoveTypes[Item?],MATCH($E702,tblMoveTypes[Movement],0)),"?")="No",$D702&lt;&gt;""),"Leave Item blank",IF(AND(IFERROR(INDEX(tblMoveTypes[Courier?],MATCH($E702,tblMoveTypes[Movement],0)),"?")="Yes",$H702=""),"Courier needed",IF(AND(IFERROR(INDEX(tblMoveTypes[Courier?],MATCH($E702,tblMoveTypes[Movement],0)),"?")="No",$H702&lt;&gt;""),"Leave Courier blank",IF(AND(IFERROR(INDEX(tblMoveTypes[Orders?],MATCH($E702,tblMoveTypes[Movement],0)),"?")="Yes",$G702=""),"Orders needed",IF(AND(IFERROR(INDEX(tblMoveTypes[Orders?],MATCH($E702,tblMoveTypes[Movement],0)),"?")="No",$G702&lt;&gt;""),"Leave Orders blank",IF(AND(IFERROR(INDEX(tblMoveTypes[Reason?],MATCH($E702,tblMoveTypes[Movement],0)),"?")="Yes",$I702=""),"Reason needed",IF(AND(IFERROR(INDEX(tblMoveTypes[Qty?],MATCH($E702,tblMoveTypes[Movement],0)),"?")="Yes",N($F702)&lt;=0),"Qty needed",IF($A702&lt;_xlfn.MINIFS(tblShipment[Arrival Date],tblShipment[Shipment ID],$C702),"Date before arrival",IF(AND($D702&lt;&gt;"",COUNTIFS(tblShipment[Shipment ID],$C702,tblShipment[Item Code],$D702)=0),"Item not in this shipment",IF(AND($H702&lt;&gt;"",COUNTIFS(tblCouriers[Courier],$H702,tblCouriers[Market],$B702)=0),"Courier not in this market","OK")))))))))))))))</f>
        <v>OK</v>
      </c>
    </row>
    <row r="703" customFormat="false" ht="15" hidden="false" customHeight="false" outlineLevel="0" collapsed="false">
      <c r="A703" s="27" t="n">
        <v>46243</v>
      </c>
      <c r="B703" s="26" t="s">
        <v>90</v>
      </c>
      <c r="C703" s="26" t="s">
        <v>152</v>
      </c>
      <c r="D703" s="26" t="s">
        <v>99</v>
      </c>
      <c r="E703" s="26" t="s">
        <v>74</v>
      </c>
      <c r="F703" s="28" t="n">
        <v>50</v>
      </c>
      <c r="G703" s="28"/>
      <c r="H703" s="26"/>
      <c r="I703" s="26"/>
      <c r="J703" s="26"/>
      <c r="K703" s="29" t="str">
        <f aca="false">IF($A703="","",IF(COUNTIFS(tblMoveTypes[Movement],$E703)=0,"Unknown movement type",IF(COUNTIF(tblShipment[Shipment ID],$C703)=0,"Unknown shipment",IF(COUNTIFS(tblShipment[Shipment ID],$C703,tblShipment[Market],$B703)=0,"Market does not match shipment",IF(AND(IFERROR(INDEX(tblMoveTypes[Item?],MATCH($E703,tblMoveTypes[Movement],0)),"?")="Yes",$D703=""),"Item needed",IF(AND(IFERROR(INDEX(tblMoveTypes[Item?],MATCH($E703,tblMoveTypes[Movement],0)),"?")="No",$D703&lt;&gt;""),"Leave Item blank",IF(AND(IFERROR(INDEX(tblMoveTypes[Courier?],MATCH($E703,tblMoveTypes[Movement],0)),"?")="Yes",$H703=""),"Courier needed",IF(AND(IFERROR(INDEX(tblMoveTypes[Courier?],MATCH($E703,tblMoveTypes[Movement],0)),"?")="No",$H703&lt;&gt;""),"Leave Courier blank",IF(AND(IFERROR(INDEX(tblMoveTypes[Orders?],MATCH($E703,tblMoveTypes[Movement],0)),"?")="Yes",$G703=""),"Orders needed",IF(AND(IFERROR(INDEX(tblMoveTypes[Orders?],MATCH($E703,tblMoveTypes[Movement],0)),"?")="No",$G703&lt;&gt;""),"Leave Orders blank",IF(AND(IFERROR(INDEX(tblMoveTypes[Reason?],MATCH($E703,tblMoveTypes[Movement],0)),"?")="Yes",$I703=""),"Reason needed",IF(AND(IFERROR(INDEX(tblMoveTypes[Qty?],MATCH($E703,tblMoveTypes[Movement],0)),"?")="Yes",N($F703)&lt;=0),"Qty needed",IF($A703&lt;_xlfn.MINIFS(tblShipment[Arrival Date],tblShipment[Shipment ID],$C703),"Date before arrival",IF(AND($D703&lt;&gt;"",COUNTIFS(tblShipment[Shipment ID],$C703,tblShipment[Item Code],$D703)=0),"Item not in this shipment",IF(AND($H703&lt;&gt;"",COUNTIFS(tblCouriers[Courier],$H703,tblCouriers[Market],$B703)=0),"Courier not in this market","OK")))))))))))))))</f>
        <v>OK</v>
      </c>
    </row>
    <row r="704" customFormat="false" ht="15" hidden="false" customHeight="false" outlineLevel="0" collapsed="false">
      <c r="A704" s="27" t="n">
        <v>46243</v>
      </c>
      <c r="B704" s="26" t="s">
        <v>90</v>
      </c>
      <c r="C704" s="26" t="s">
        <v>152</v>
      </c>
      <c r="D704" s="26"/>
      <c r="E704" s="26" t="s">
        <v>98</v>
      </c>
      <c r="F704" s="28"/>
      <c r="G704" s="28" t="n">
        <v>55</v>
      </c>
      <c r="H704" s="26"/>
      <c r="I704" s="26"/>
      <c r="J704" s="26"/>
      <c r="K704" s="29" t="str">
        <f aca="false">IF($A704="","",IF(COUNTIFS(tblMoveTypes[Movement],$E704)=0,"Unknown movement type",IF(COUNTIF(tblShipment[Shipment ID],$C704)=0,"Unknown shipment",IF(COUNTIFS(tblShipment[Shipment ID],$C704,tblShipment[Market],$B704)=0,"Market does not match shipment",IF(AND(IFERROR(INDEX(tblMoveTypes[Item?],MATCH($E704,tblMoveTypes[Movement],0)),"?")="Yes",$D704=""),"Item needed",IF(AND(IFERROR(INDEX(tblMoveTypes[Item?],MATCH($E704,tblMoveTypes[Movement],0)),"?")="No",$D704&lt;&gt;""),"Leave Item blank",IF(AND(IFERROR(INDEX(tblMoveTypes[Courier?],MATCH($E704,tblMoveTypes[Movement],0)),"?")="Yes",$H704=""),"Courier needed",IF(AND(IFERROR(INDEX(tblMoveTypes[Courier?],MATCH($E704,tblMoveTypes[Movement],0)),"?")="No",$H704&lt;&gt;""),"Leave Courier blank",IF(AND(IFERROR(INDEX(tblMoveTypes[Orders?],MATCH($E704,tblMoveTypes[Movement],0)),"?")="Yes",$G704=""),"Orders needed",IF(AND(IFERROR(INDEX(tblMoveTypes[Orders?],MATCH($E704,tblMoveTypes[Movement],0)),"?")="No",$G704&lt;&gt;""),"Leave Orders blank",IF(AND(IFERROR(INDEX(tblMoveTypes[Reason?],MATCH($E704,tblMoveTypes[Movement],0)),"?")="Yes",$I704=""),"Reason needed",IF(AND(IFERROR(INDEX(tblMoveTypes[Qty?],MATCH($E704,tblMoveTypes[Movement],0)),"?")="Yes",N($F704)&lt;=0),"Qty needed",IF($A704&lt;_xlfn.MINIFS(tblShipment[Arrival Date],tblShipment[Shipment ID],$C704),"Date before arrival",IF(AND($D704&lt;&gt;"",COUNTIFS(tblShipment[Shipment ID],$C704,tblShipment[Item Code],$D704)=0),"Item not in this shipment",IF(AND($H704&lt;&gt;"",COUNTIFS(tblCouriers[Courier],$H704,tblCouriers[Market],$B704)=0),"Courier not in this market","OK")))))))))))))))</f>
        <v>OK</v>
      </c>
    </row>
    <row r="705" customFormat="false" ht="15" hidden="false" customHeight="false" outlineLevel="0" collapsed="false">
      <c r="A705" s="27" t="n">
        <v>46243</v>
      </c>
      <c r="B705" s="26" t="s">
        <v>90</v>
      </c>
      <c r="C705" s="26" t="s">
        <v>152</v>
      </c>
      <c r="D705" s="26" t="s">
        <v>67</v>
      </c>
      <c r="E705" s="26" t="s">
        <v>73</v>
      </c>
      <c r="F705" s="28" t="n">
        <v>7</v>
      </c>
      <c r="G705" s="28"/>
      <c r="H705" s="26"/>
      <c r="I705" s="26" t="s">
        <v>87</v>
      </c>
      <c r="J705" s="26"/>
      <c r="K705" s="29" t="str">
        <f aca="false">IF($A705="","",IF(COUNTIFS(tblMoveTypes[Movement],$E705)=0,"Unknown movement type",IF(COUNTIF(tblShipment[Shipment ID],$C705)=0,"Unknown shipment",IF(COUNTIFS(tblShipment[Shipment ID],$C705,tblShipment[Market],$B705)=0,"Market does not match shipment",IF(AND(IFERROR(INDEX(tblMoveTypes[Item?],MATCH($E705,tblMoveTypes[Movement],0)),"?")="Yes",$D705=""),"Item needed",IF(AND(IFERROR(INDEX(tblMoveTypes[Item?],MATCH($E705,tblMoveTypes[Movement],0)),"?")="No",$D705&lt;&gt;""),"Leave Item blank",IF(AND(IFERROR(INDEX(tblMoveTypes[Courier?],MATCH($E705,tblMoveTypes[Movement],0)),"?")="Yes",$H705=""),"Courier needed",IF(AND(IFERROR(INDEX(tblMoveTypes[Courier?],MATCH($E705,tblMoveTypes[Movement],0)),"?")="No",$H705&lt;&gt;""),"Leave Courier blank",IF(AND(IFERROR(INDEX(tblMoveTypes[Orders?],MATCH($E705,tblMoveTypes[Movement],0)),"?")="Yes",$G705=""),"Orders needed",IF(AND(IFERROR(INDEX(tblMoveTypes[Orders?],MATCH($E705,tblMoveTypes[Movement],0)),"?")="No",$G705&lt;&gt;""),"Leave Orders blank",IF(AND(IFERROR(INDEX(tblMoveTypes[Reason?],MATCH($E705,tblMoveTypes[Movement],0)),"?")="Yes",$I705=""),"Reason needed",IF(AND(IFERROR(INDEX(tblMoveTypes[Qty?],MATCH($E705,tblMoveTypes[Movement],0)),"?")="Yes",N($F705)&lt;=0),"Qty needed",IF($A705&lt;_xlfn.MINIFS(tblShipment[Arrival Date],tblShipment[Shipment ID],$C705),"Date before arrival",IF(AND($D705&lt;&gt;"",COUNTIFS(tblShipment[Shipment ID],$C705,tblShipment[Item Code],$D705)=0),"Item not in this shipment",IF(AND($H705&lt;&gt;"",COUNTIFS(tblCouriers[Courier],$H705,tblCouriers[Market],$B705)=0),"Courier not in this market","OK")))))))))))))))</f>
        <v>OK</v>
      </c>
    </row>
    <row r="706" customFormat="false" ht="15" hidden="false" customHeight="false" outlineLevel="0" collapsed="false">
      <c r="A706" s="27" t="n">
        <v>46243</v>
      </c>
      <c r="B706" s="26" t="s">
        <v>90</v>
      </c>
      <c r="C706" s="26" t="s">
        <v>152</v>
      </c>
      <c r="D706" s="26" t="s">
        <v>94</v>
      </c>
      <c r="E706" s="26" t="s">
        <v>73</v>
      </c>
      <c r="F706" s="28" t="n">
        <v>3</v>
      </c>
      <c r="G706" s="28"/>
      <c r="H706" s="26"/>
      <c r="I706" s="26" t="s">
        <v>80</v>
      </c>
      <c r="J706" s="26"/>
      <c r="K706" s="29" t="str">
        <f aca="false">IF($A706="","",IF(COUNTIFS(tblMoveTypes[Movement],$E706)=0,"Unknown movement type",IF(COUNTIF(tblShipment[Shipment ID],$C706)=0,"Unknown shipment",IF(COUNTIFS(tblShipment[Shipment ID],$C706,tblShipment[Market],$B706)=0,"Market does not match shipment",IF(AND(IFERROR(INDEX(tblMoveTypes[Item?],MATCH($E706,tblMoveTypes[Movement],0)),"?")="Yes",$D706=""),"Item needed",IF(AND(IFERROR(INDEX(tblMoveTypes[Item?],MATCH($E706,tblMoveTypes[Movement],0)),"?")="No",$D706&lt;&gt;""),"Leave Item blank",IF(AND(IFERROR(INDEX(tblMoveTypes[Courier?],MATCH($E706,tblMoveTypes[Movement],0)),"?")="Yes",$H706=""),"Courier needed",IF(AND(IFERROR(INDEX(tblMoveTypes[Courier?],MATCH($E706,tblMoveTypes[Movement],0)),"?")="No",$H706&lt;&gt;""),"Leave Courier blank",IF(AND(IFERROR(INDEX(tblMoveTypes[Orders?],MATCH($E706,tblMoveTypes[Movement],0)),"?")="Yes",$G706=""),"Orders needed",IF(AND(IFERROR(INDEX(tblMoveTypes[Orders?],MATCH($E706,tblMoveTypes[Movement],0)),"?")="No",$G706&lt;&gt;""),"Leave Orders blank",IF(AND(IFERROR(INDEX(tblMoveTypes[Reason?],MATCH($E706,tblMoveTypes[Movement],0)),"?")="Yes",$I706=""),"Reason needed",IF(AND(IFERROR(INDEX(tblMoveTypes[Qty?],MATCH($E706,tblMoveTypes[Movement],0)),"?")="Yes",N($F706)&lt;=0),"Qty needed",IF($A706&lt;_xlfn.MINIFS(tblShipment[Arrival Date],tblShipment[Shipment ID],$C706),"Date before arrival",IF(AND($D706&lt;&gt;"",COUNTIFS(tblShipment[Shipment ID],$C706,tblShipment[Item Code],$D706)=0),"Item not in this shipment",IF(AND($H706&lt;&gt;"",COUNTIFS(tblCouriers[Courier],$H706,tblCouriers[Market],$B706)=0),"Courier not in this market","OK")))))))))))))))</f>
        <v>OK</v>
      </c>
    </row>
    <row r="707" customFormat="false" ht="15" hidden="false" customHeight="false" outlineLevel="0" collapsed="false">
      <c r="A707" s="27" t="n">
        <v>46243</v>
      </c>
      <c r="B707" s="26" t="s">
        <v>90</v>
      </c>
      <c r="C707" s="26" t="s">
        <v>152</v>
      </c>
      <c r="D707" s="26" t="s">
        <v>88</v>
      </c>
      <c r="E707" s="26" t="s">
        <v>73</v>
      </c>
      <c r="F707" s="28" t="n">
        <v>3</v>
      </c>
      <c r="G707" s="28"/>
      <c r="H707" s="26"/>
      <c r="I707" s="26" t="s">
        <v>80</v>
      </c>
      <c r="J707" s="26"/>
      <c r="K707" s="29" t="str">
        <f aca="false">IF($A707="","",IF(COUNTIFS(tblMoveTypes[Movement],$E707)=0,"Unknown movement type",IF(COUNTIF(tblShipment[Shipment ID],$C707)=0,"Unknown shipment",IF(COUNTIFS(tblShipment[Shipment ID],$C707,tblShipment[Market],$B707)=0,"Market does not match shipment",IF(AND(IFERROR(INDEX(tblMoveTypes[Item?],MATCH($E707,tblMoveTypes[Movement],0)),"?")="Yes",$D707=""),"Item needed",IF(AND(IFERROR(INDEX(tblMoveTypes[Item?],MATCH($E707,tblMoveTypes[Movement],0)),"?")="No",$D707&lt;&gt;""),"Leave Item blank",IF(AND(IFERROR(INDEX(tblMoveTypes[Courier?],MATCH($E707,tblMoveTypes[Movement],0)),"?")="Yes",$H707=""),"Courier needed",IF(AND(IFERROR(INDEX(tblMoveTypes[Courier?],MATCH($E707,tblMoveTypes[Movement],0)),"?")="No",$H707&lt;&gt;""),"Leave Courier blank",IF(AND(IFERROR(INDEX(tblMoveTypes[Orders?],MATCH($E707,tblMoveTypes[Movement],0)),"?")="Yes",$G707=""),"Orders needed",IF(AND(IFERROR(INDEX(tblMoveTypes[Orders?],MATCH($E707,tblMoveTypes[Movement],0)),"?")="No",$G707&lt;&gt;""),"Leave Orders blank",IF(AND(IFERROR(INDEX(tblMoveTypes[Reason?],MATCH($E707,tblMoveTypes[Movement],0)),"?")="Yes",$I707=""),"Reason needed",IF(AND(IFERROR(INDEX(tblMoveTypes[Qty?],MATCH($E707,tblMoveTypes[Movement],0)),"?")="Yes",N($F707)&lt;=0),"Qty needed",IF($A707&lt;_xlfn.MINIFS(tblShipment[Arrival Date],tblShipment[Shipment ID],$C707),"Date before arrival",IF(AND($D707&lt;&gt;"",COUNTIFS(tblShipment[Shipment ID],$C707,tblShipment[Item Code],$D707)=0),"Item not in this shipment",IF(AND($H707&lt;&gt;"",COUNTIFS(tblCouriers[Courier],$H707,tblCouriers[Market],$B707)=0),"Courier not in this market","OK")))))))))))))))</f>
        <v>OK</v>
      </c>
    </row>
    <row r="708" customFormat="false" ht="15" hidden="false" customHeight="false" outlineLevel="0" collapsed="false">
      <c r="A708" s="27" t="n">
        <v>46243</v>
      </c>
      <c r="B708" s="26" t="s">
        <v>90</v>
      </c>
      <c r="C708" s="26" t="s">
        <v>152</v>
      </c>
      <c r="D708" s="26" t="s">
        <v>99</v>
      </c>
      <c r="E708" s="26" t="s">
        <v>73</v>
      </c>
      <c r="F708" s="28" t="n">
        <v>1</v>
      </c>
      <c r="G708" s="28"/>
      <c r="H708" s="26"/>
      <c r="I708" s="26" t="s">
        <v>72</v>
      </c>
      <c r="J708" s="26"/>
      <c r="K708" s="29" t="str">
        <f aca="false">IF($A708="","",IF(COUNTIFS(tblMoveTypes[Movement],$E708)=0,"Unknown movement type",IF(COUNTIF(tblShipment[Shipment ID],$C708)=0,"Unknown shipment",IF(COUNTIFS(tblShipment[Shipment ID],$C708,tblShipment[Market],$B708)=0,"Market does not match shipment",IF(AND(IFERROR(INDEX(tblMoveTypes[Item?],MATCH($E708,tblMoveTypes[Movement],0)),"?")="Yes",$D708=""),"Item needed",IF(AND(IFERROR(INDEX(tblMoveTypes[Item?],MATCH($E708,tblMoveTypes[Movement],0)),"?")="No",$D708&lt;&gt;""),"Leave Item blank",IF(AND(IFERROR(INDEX(tblMoveTypes[Courier?],MATCH($E708,tblMoveTypes[Movement],0)),"?")="Yes",$H708=""),"Courier needed",IF(AND(IFERROR(INDEX(tblMoveTypes[Courier?],MATCH($E708,tblMoveTypes[Movement],0)),"?")="No",$H708&lt;&gt;""),"Leave Courier blank",IF(AND(IFERROR(INDEX(tblMoveTypes[Orders?],MATCH($E708,tblMoveTypes[Movement],0)),"?")="Yes",$G708=""),"Orders needed",IF(AND(IFERROR(INDEX(tblMoveTypes[Orders?],MATCH($E708,tblMoveTypes[Movement],0)),"?")="No",$G708&lt;&gt;""),"Leave Orders blank",IF(AND(IFERROR(INDEX(tblMoveTypes[Reason?],MATCH($E708,tblMoveTypes[Movement],0)),"?")="Yes",$I708=""),"Reason needed",IF(AND(IFERROR(INDEX(tblMoveTypes[Qty?],MATCH($E708,tblMoveTypes[Movement],0)),"?")="Yes",N($F708)&lt;=0),"Qty needed",IF($A708&lt;_xlfn.MINIFS(tblShipment[Arrival Date],tblShipment[Shipment ID],$C708),"Date before arrival",IF(AND($D708&lt;&gt;"",COUNTIFS(tblShipment[Shipment ID],$C708,tblShipment[Item Code],$D708)=0),"Item not in this shipment",IF(AND($H708&lt;&gt;"",COUNTIFS(tblCouriers[Courier],$H708,tblCouriers[Market],$B708)=0),"Courier not in this market","OK")))))))))))))))</f>
        <v>OK</v>
      </c>
    </row>
    <row r="709" customFormat="false" ht="15" hidden="false" customHeight="false" outlineLevel="0" collapsed="false">
      <c r="A709" s="27" t="n">
        <v>46243</v>
      </c>
      <c r="B709" s="26" t="s">
        <v>90</v>
      </c>
      <c r="C709" s="26" t="s">
        <v>152</v>
      </c>
      <c r="D709" s="26" t="s">
        <v>67</v>
      </c>
      <c r="E709" s="26" t="s">
        <v>93</v>
      </c>
      <c r="F709" s="28" t="n">
        <v>96</v>
      </c>
      <c r="G709" s="28"/>
      <c r="H709" s="26" t="s">
        <v>101</v>
      </c>
      <c r="I709" s="26"/>
      <c r="J709" s="26"/>
      <c r="K709" s="29" t="str">
        <f aca="false">IF($A709="","",IF(COUNTIFS(tblMoveTypes[Movement],$E709)=0,"Unknown movement type",IF(COUNTIF(tblShipment[Shipment ID],$C709)=0,"Unknown shipment",IF(COUNTIFS(tblShipment[Shipment ID],$C709,tblShipment[Market],$B709)=0,"Market does not match shipment",IF(AND(IFERROR(INDEX(tblMoveTypes[Item?],MATCH($E709,tblMoveTypes[Movement],0)),"?")="Yes",$D709=""),"Item needed",IF(AND(IFERROR(INDEX(tblMoveTypes[Item?],MATCH($E709,tblMoveTypes[Movement],0)),"?")="No",$D709&lt;&gt;""),"Leave Item blank",IF(AND(IFERROR(INDEX(tblMoveTypes[Courier?],MATCH($E709,tblMoveTypes[Movement],0)),"?")="Yes",$H709=""),"Courier needed",IF(AND(IFERROR(INDEX(tblMoveTypes[Courier?],MATCH($E709,tblMoveTypes[Movement],0)),"?")="No",$H709&lt;&gt;""),"Leave Courier blank",IF(AND(IFERROR(INDEX(tblMoveTypes[Orders?],MATCH($E709,tblMoveTypes[Movement],0)),"?")="Yes",$G709=""),"Orders needed",IF(AND(IFERROR(INDEX(tblMoveTypes[Orders?],MATCH($E709,tblMoveTypes[Movement],0)),"?")="No",$G709&lt;&gt;""),"Leave Orders blank",IF(AND(IFERROR(INDEX(tblMoveTypes[Reason?],MATCH($E709,tblMoveTypes[Movement],0)),"?")="Yes",$I709=""),"Reason needed",IF(AND(IFERROR(INDEX(tblMoveTypes[Qty?],MATCH($E709,tblMoveTypes[Movement],0)),"?")="Yes",N($F709)&lt;=0),"Qty needed",IF($A709&lt;_xlfn.MINIFS(tblShipment[Arrival Date],tblShipment[Shipment ID],$C709),"Date before arrival",IF(AND($D709&lt;&gt;"",COUNTIFS(tblShipment[Shipment ID],$C709,tblShipment[Item Code],$D709)=0),"Item not in this shipment",IF(AND($H709&lt;&gt;"",COUNTIFS(tblCouriers[Courier],$H709,tblCouriers[Market],$B709)=0),"Courier not in this market","OK")))))))))))))))</f>
        <v>OK</v>
      </c>
    </row>
    <row r="710" customFormat="false" ht="15" hidden="false" customHeight="false" outlineLevel="0" collapsed="false">
      <c r="A710" s="27" t="n">
        <v>46243</v>
      </c>
      <c r="B710" s="26" t="s">
        <v>90</v>
      </c>
      <c r="C710" s="26" t="s">
        <v>152</v>
      </c>
      <c r="D710" s="26" t="s">
        <v>94</v>
      </c>
      <c r="E710" s="26" t="s">
        <v>93</v>
      </c>
      <c r="F710" s="28" t="n">
        <v>79</v>
      </c>
      <c r="G710" s="28"/>
      <c r="H710" s="26" t="s">
        <v>101</v>
      </c>
      <c r="I710" s="26"/>
      <c r="J710" s="26"/>
      <c r="K710" s="29" t="str">
        <f aca="false">IF($A710="","",IF(COUNTIFS(tblMoveTypes[Movement],$E710)=0,"Unknown movement type",IF(COUNTIF(tblShipment[Shipment ID],$C710)=0,"Unknown shipment",IF(COUNTIFS(tblShipment[Shipment ID],$C710,tblShipment[Market],$B710)=0,"Market does not match shipment",IF(AND(IFERROR(INDEX(tblMoveTypes[Item?],MATCH($E710,tblMoveTypes[Movement],0)),"?")="Yes",$D710=""),"Item needed",IF(AND(IFERROR(INDEX(tblMoveTypes[Item?],MATCH($E710,tblMoveTypes[Movement],0)),"?")="No",$D710&lt;&gt;""),"Leave Item blank",IF(AND(IFERROR(INDEX(tblMoveTypes[Courier?],MATCH($E710,tblMoveTypes[Movement],0)),"?")="Yes",$H710=""),"Courier needed",IF(AND(IFERROR(INDEX(tblMoveTypes[Courier?],MATCH($E710,tblMoveTypes[Movement],0)),"?")="No",$H710&lt;&gt;""),"Leave Courier blank",IF(AND(IFERROR(INDEX(tblMoveTypes[Orders?],MATCH($E710,tblMoveTypes[Movement],0)),"?")="Yes",$G710=""),"Orders needed",IF(AND(IFERROR(INDEX(tblMoveTypes[Orders?],MATCH($E710,tblMoveTypes[Movement],0)),"?")="No",$G710&lt;&gt;""),"Leave Orders blank",IF(AND(IFERROR(INDEX(tblMoveTypes[Reason?],MATCH($E710,tblMoveTypes[Movement],0)),"?")="Yes",$I710=""),"Reason needed",IF(AND(IFERROR(INDEX(tblMoveTypes[Qty?],MATCH($E710,tblMoveTypes[Movement],0)),"?")="Yes",N($F710)&lt;=0),"Qty needed",IF($A710&lt;_xlfn.MINIFS(tblShipment[Arrival Date],tblShipment[Shipment ID],$C710),"Date before arrival",IF(AND($D710&lt;&gt;"",COUNTIFS(tblShipment[Shipment ID],$C710,tblShipment[Item Code],$D710)=0),"Item not in this shipment",IF(AND($H710&lt;&gt;"",COUNTIFS(tblCouriers[Courier],$H710,tblCouriers[Market],$B710)=0),"Courier not in this market","OK")))))))))))))))</f>
        <v>OK</v>
      </c>
    </row>
    <row r="711" customFormat="false" ht="15" hidden="false" customHeight="false" outlineLevel="0" collapsed="false">
      <c r="A711" s="27" t="n">
        <v>46243</v>
      </c>
      <c r="B711" s="26" t="s">
        <v>90</v>
      </c>
      <c r="C711" s="26" t="s">
        <v>152</v>
      </c>
      <c r="D711" s="26" t="s">
        <v>88</v>
      </c>
      <c r="E711" s="26" t="s">
        <v>93</v>
      </c>
      <c r="F711" s="28" t="n">
        <v>99</v>
      </c>
      <c r="G711" s="28"/>
      <c r="H711" s="26" t="s">
        <v>101</v>
      </c>
      <c r="I711" s="26"/>
      <c r="J711" s="26"/>
      <c r="K711" s="29" t="str">
        <f aca="false">IF($A711="","",IF(COUNTIFS(tblMoveTypes[Movement],$E711)=0,"Unknown movement type",IF(COUNTIF(tblShipment[Shipment ID],$C711)=0,"Unknown shipment",IF(COUNTIFS(tblShipment[Shipment ID],$C711,tblShipment[Market],$B711)=0,"Market does not match shipment",IF(AND(IFERROR(INDEX(tblMoveTypes[Item?],MATCH($E711,tblMoveTypes[Movement],0)),"?")="Yes",$D711=""),"Item needed",IF(AND(IFERROR(INDEX(tblMoveTypes[Item?],MATCH($E711,tblMoveTypes[Movement],0)),"?")="No",$D711&lt;&gt;""),"Leave Item blank",IF(AND(IFERROR(INDEX(tblMoveTypes[Courier?],MATCH($E711,tblMoveTypes[Movement],0)),"?")="Yes",$H711=""),"Courier needed",IF(AND(IFERROR(INDEX(tblMoveTypes[Courier?],MATCH($E711,tblMoveTypes[Movement],0)),"?")="No",$H711&lt;&gt;""),"Leave Courier blank",IF(AND(IFERROR(INDEX(tblMoveTypes[Orders?],MATCH($E711,tblMoveTypes[Movement],0)),"?")="Yes",$G711=""),"Orders needed",IF(AND(IFERROR(INDEX(tblMoveTypes[Orders?],MATCH($E711,tblMoveTypes[Movement],0)),"?")="No",$G711&lt;&gt;""),"Leave Orders blank",IF(AND(IFERROR(INDEX(tblMoveTypes[Reason?],MATCH($E711,tblMoveTypes[Movement],0)),"?")="Yes",$I711=""),"Reason needed",IF(AND(IFERROR(INDEX(tblMoveTypes[Qty?],MATCH($E711,tblMoveTypes[Movement],0)),"?")="Yes",N($F711)&lt;=0),"Qty needed",IF($A711&lt;_xlfn.MINIFS(tblShipment[Arrival Date],tblShipment[Shipment ID],$C711),"Date before arrival",IF(AND($D711&lt;&gt;"",COUNTIFS(tblShipment[Shipment ID],$C711,tblShipment[Item Code],$D711)=0),"Item not in this shipment",IF(AND($H711&lt;&gt;"",COUNTIFS(tblCouriers[Courier],$H711,tblCouriers[Market],$B711)=0),"Courier not in this market","OK")))))))))))))))</f>
        <v>OK</v>
      </c>
    </row>
    <row r="712" customFormat="false" ht="15" hidden="false" customHeight="false" outlineLevel="0" collapsed="false">
      <c r="A712" s="27" t="n">
        <v>46243</v>
      </c>
      <c r="B712" s="26" t="s">
        <v>90</v>
      </c>
      <c r="C712" s="26" t="s">
        <v>152</v>
      </c>
      <c r="D712" s="26" t="s">
        <v>99</v>
      </c>
      <c r="E712" s="26" t="s">
        <v>93</v>
      </c>
      <c r="F712" s="28" t="n">
        <v>41</v>
      </c>
      <c r="G712" s="28"/>
      <c r="H712" s="26" t="s">
        <v>101</v>
      </c>
      <c r="I712" s="26"/>
      <c r="J712" s="26"/>
      <c r="K712" s="29" t="str">
        <f aca="false">IF($A712="","",IF(COUNTIFS(tblMoveTypes[Movement],$E712)=0,"Unknown movement type",IF(COUNTIF(tblShipment[Shipment ID],$C712)=0,"Unknown shipment",IF(COUNTIFS(tblShipment[Shipment ID],$C712,tblShipment[Market],$B712)=0,"Market does not match shipment",IF(AND(IFERROR(INDEX(tblMoveTypes[Item?],MATCH($E712,tblMoveTypes[Movement],0)),"?")="Yes",$D712=""),"Item needed",IF(AND(IFERROR(INDEX(tblMoveTypes[Item?],MATCH($E712,tblMoveTypes[Movement],0)),"?")="No",$D712&lt;&gt;""),"Leave Item blank",IF(AND(IFERROR(INDEX(tblMoveTypes[Courier?],MATCH($E712,tblMoveTypes[Movement],0)),"?")="Yes",$H712=""),"Courier needed",IF(AND(IFERROR(INDEX(tblMoveTypes[Courier?],MATCH($E712,tblMoveTypes[Movement],0)),"?")="No",$H712&lt;&gt;""),"Leave Courier blank",IF(AND(IFERROR(INDEX(tblMoveTypes[Orders?],MATCH($E712,tblMoveTypes[Movement],0)),"?")="Yes",$G712=""),"Orders needed",IF(AND(IFERROR(INDEX(tblMoveTypes[Orders?],MATCH($E712,tblMoveTypes[Movement],0)),"?")="No",$G712&lt;&gt;""),"Leave Orders blank",IF(AND(IFERROR(INDEX(tblMoveTypes[Reason?],MATCH($E712,tblMoveTypes[Movement],0)),"?")="Yes",$I712=""),"Reason needed",IF(AND(IFERROR(INDEX(tblMoveTypes[Qty?],MATCH($E712,tblMoveTypes[Movement],0)),"?")="Yes",N($F712)&lt;=0),"Qty needed",IF($A712&lt;_xlfn.MINIFS(tblShipment[Arrival Date],tblShipment[Shipment ID],$C712),"Date before arrival",IF(AND($D712&lt;&gt;"",COUNTIFS(tblShipment[Shipment ID],$C712,tblShipment[Item Code],$D712)=0),"Item not in this shipment",IF(AND($H712&lt;&gt;"",COUNTIFS(tblCouriers[Courier],$H712,tblCouriers[Market],$B712)=0),"Courier not in this market","OK")))))))))))))))</f>
        <v>OK</v>
      </c>
    </row>
    <row r="713" customFormat="false" ht="15" hidden="false" customHeight="false" outlineLevel="0" collapsed="false">
      <c r="A713" s="27" t="n">
        <v>46243</v>
      </c>
      <c r="B713" s="26" t="s">
        <v>90</v>
      </c>
      <c r="C713" s="26" t="s">
        <v>152</v>
      </c>
      <c r="D713" s="26"/>
      <c r="E713" s="26" t="s">
        <v>104</v>
      </c>
      <c r="F713" s="28"/>
      <c r="G713" s="28" t="n">
        <v>55</v>
      </c>
      <c r="H713" s="26" t="s">
        <v>101</v>
      </c>
      <c r="I713" s="26"/>
      <c r="J713" s="26"/>
      <c r="K713" s="29" t="str">
        <f aca="false">IF($A713="","",IF(COUNTIFS(tblMoveTypes[Movement],$E713)=0,"Unknown movement type",IF(COUNTIF(tblShipment[Shipment ID],$C713)=0,"Unknown shipment",IF(COUNTIFS(tblShipment[Shipment ID],$C713,tblShipment[Market],$B713)=0,"Market does not match shipment",IF(AND(IFERROR(INDEX(tblMoveTypes[Item?],MATCH($E713,tblMoveTypes[Movement],0)),"?")="Yes",$D713=""),"Item needed",IF(AND(IFERROR(INDEX(tblMoveTypes[Item?],MATCH($E713,tblMoveTypes[Movement],0)),"?")="No",$D713&lt;&gt;""),"Leave Item blank",IF(AND(IFERROR(INDEX(tblMoveTypes[Courier?],MATCH($E713,tblMoveTypes[Movement],0)),"?")="Yes",$H713=""),"Courier needed",IF(AND(IFERROR(INDEX(tblMoveTypes[Courier?],MATCH($E713,tblMoveTypes[Movement],0)),"?")="No",$H713&lt;&gt;""),"Leave Courier blank",IF(AND(IFERROR(INDEX(tblMoveTypes[Orders?],MATCH($E713,tblMoveTypes[Movement],0)),"?")="Yes",$G713=""),"Orders needed",IF(AND(IFERROR(INDEX(tblMoveTypes[Orders?],MATCH($E713,tblMoveTypes[Movement],0)),"?")="No",$G713&lt;&gt;""),"Leave Orders blank",IF(AND(IFERROR(INDEX(tblMoveTypes[Reason?],MATCH($E713,tblMoveTypes[Movement],0)),"?")="Yes",$I713=""),"Reason needed",IF(AND(IFERROR(INDEX(tblMoveTypes[Qty?],MATCH($E713,tblMoveTypes[Movement],0)),"?")="Yes",N($F713)&lt;=0),"Qty needed",IF($A713&lt;_xlfn.MINIFS(tblShipment[Arrival Date],tblShipment[Shipment ID],$C713),"Date before arrival",IF(AND($D713&lt;&gt;"",COUNTIFS(tblShipment[Shipment ID],$C713,tblShipment[Item Code],$D713)=0),"Item not in this shipment",IF(AND($H713&lt;&gt;"",COUNTIFS(tblCouriers[Courier],$H713,tblCouriers[Market],$B713)=0),"Courier not in this market","OK")))))))))))))))</f>
        <v>OK</v>
      </c>
    </row>
    <row r="714" customFormat="false" ht="15" hidden="false" customHeight="false" outlineLevel="0" collapsed="false">
      <c r="A714" s="27" t="n">
        <v>46243</v>
      </c>
      <c r="B714" s="26" t="s">
        <v>90</v>
      </c>
      <c r="C714" s="26" t="s">
        <v>152</v>
      </c>
      <c r="D714" s="26"/>
      <c r="E714" s="26" t="s">
        <v>106</v>
      </c>
      <c r="F714" s="28" t="n">
        <v>204</v>
      </c>
      <c r="G714" s="28" t="n">
        <v>36</v>
      </c>
      <c r="H714" s="26" t="s">
        <v>101</v>
      </c>
      <c r="I714" s="26"/>
      <c r="J714" s="26"/>
      <c r="K714" s="29" t="str">
        <f aca="false">IF($A714="","",IF(COUNTIFS(tblMoveTypes[Movement],$E714)=0,"Unknown movement type",IF(COUNTIF(tblShipment[Shipment ID],$C714)=0,"Unknown shipment",IF(COUNTIFS(tblShipment[Shipment ID],$C714,tblShipment[Market],$B714)=0,"Market does not match shipment",IF(AND(IFERROR(INDEX(tblMoveTypes[Item?],MATCH($E714,tblMoveTypes[Movement],0)),"?")="Yes",$D714=""),"Item needed",IF(AND(IFERROR(INDEX(tblMoveTypes[Item?],MATCH($E714,tblMoveTypes[Movement],0)),"?")="No",$D714&lt;&gt;""),"Leave Item blank",IF(AND(IFERROR(INDEX(tblMoveTypes[Courier?],MATCH($E714,tblMoveTypes[Movement],0)),"?")="Yes",$H714=""),"Courier needed",IF(AND(IFERROR(INDEX(tblMoveTypes[Courier?],MATCH($E714,tblMoveTypes[Movement],0)),"?")="No",$H714&lt;&gt;""),"Leave Courier blank",IF(AND(IFERROR(INDEX(tblMoveTypes[Orders?],MATCH($E714,tblMoveTypes[Movement],0)),"?")="Yes",$G714=""),"Orders needed",IF(AND(IFERROR(INDEX(tblMoveTypes[Orders?],MATCH($E714,tblMoveTypes[Movement],0)),"?")="No",$G714&lt;&gt;""),"Leave Orders blank",IF(AND(IFERROR(INDEX(tblMoveTypes[Reason?],MATCH($E714,tblMoveTypes[Movement],0)),"?")="Yes",$I714=""),"Reason needed",IF(AND(IFERROR(INDEX(tblMoveTypes[Qty?],MATCH($E714,tblMoveTypes[Movement],0)),"?")="Yes",N($F714)&lt;=0),"Qty needed",IF($A714&lt;_xlfn.MINIFS(tblShipment[Arrival Date],tblShipment[Shipment ID],$C714),"Date before arrival",IF(AND($D714&lt;&gt;"",COUNTIFS(tblShipment[Shipment ID],$C714,tblShipment[Item Code],$D714)=0),"Item not in this shipment",IF(AND($H714&lt;&gt;"",COUNTIFS(tblCouriers[Courier],$H714,tblCouriers[Market],$B714)=0),"Courier not in this market","OK")))))))))))))))</f>
        <v>OK</v>
      </c>
    </row>
    <row r="715" customFormat="false" ht="15" hidden="false" customHeight="false" outlineLevel="0" collapsed="false">
      <c r="A715" s="27" t="n">
        <v>46243</v>
      </c>
      <c r="B715" s="26" t="s">
        <v>78</v>
      </c>
      <c r="C715" s="26" t="s">
        <v>136</v>
      </c>
      <c r="D715" s="26"/>
      <c r="E715" s="26" t="s">
        <v>106</v>
      </c>
      <c r="F715" s="28" t="n">
        <v>34</v>
      </c>
      <c r="G715" s="28" t="n">
        <v>5</v>
      </c>
      <c r="H715" s="26" t="s">
        <v>79</v>
      </c>
      <c r="I715" s="26"/>
      <c r="J715" s="26"/>
      <c r="K715" s="29" t="str">
        <f aca="false">IF($A715="","",IF(COUNTIFS(tblMoveTypes[Movement],$E715)=0,"Unknown movement type",IF(COUNTIF(tblShipment[Shipment ID],$C715)=0,"Unknown shipment",IF(COUNTIFS(tblShipment[Shipment ID],$C715,tblShipment[Market],$B715)=0,"Market does not match shipment",IF(AND(IFERROR(INDEX(tblMoveTypes[Item?],MATCH($E715,tblMoveTypes[Movement],0)),"?")="Yes",$D715=""),"Item needed",IF(AND(IFERROR(INDEX(tblMoveTypes[Item?],MATCH($E715,tblMoveTypes[Movement],0)),"?")="No",$D715&lt;&gt;""),"Leave Item blank",IF(AND(IFERROR(INDEX(tblMoveTypes[Courier?],MATCH($E715,tblMoveTypes[Movement],0)),"?")="Yes",$H715=""),"Courier needed",IF(AND(IFERROR(INDEX(tblMoveTypes[Courier?],MATCH($E715,tblMoveTypes[Movement],0)),"?")="No",$H715&lt;&gt;""),"Leave Courier blank",IF(AND(IFERROR(INDEX(tblMoveTypes[Orders?],MATCH($E715,tblMoveTypes[Movement],0)),"?")="Yes",$G715=""),"Orders needed",IF(AND(IFERROR(INDEX(tblMoveTypes[Orders?],MATCH($E715,tblMoveTypes[Movement],0)),"?")="No",$G715&lt;&gt;""),"Leave Orders blank",IF(AND(IFERROR(INDEX(tblMoveTypes[Reason?],MATCH($E715,tblMoveTypes[Movement],0)),"?")="Yes",$I715=""),"Reason needed",IF(AND(IFERROR(INDEX(tblMoveTypes[Qty?],MATCH($E715,tblMoveTypes[Movement],0)),"?")="Yes",N($F715)&lt;=0),"Qty needed",IF($A715&lt;_xlfn.MINIFS(tblShipment[Arrival Date],tblShipment[Shipment ID],$C715),"Date before arrival",IF(AND($D715&lt;&gt;"",COUNTIFS(tblShipment[Shipment ID],$C715,tblShipment[Item Code],$D715)=0),"Item not in this shipment",IF(AND($H715&lt;&gt;"",COUNTIFS(tblCouriers[Courier],$H715,tblCouriers[Market],$B715)=0),"Courier not in this market","OK")))))))))))))))</f>
        <v>OK</v>
      </c>
    </row>
    <row r="716" customFormat="false" ht="15" hidden="false" customHeight="false" outlineLevel="0" collapsed="false">
      <c r="A716" s="27" t="n">
        <v>46243</v>
      </c>
      <c r="B716" s="26" t="s">
        <v>78</v>
      </c>
      <c r="C716" s="26" t="s">
        <v>136</v>
      </c>
      <c r="D716" s="26"/>
      <c r="E716" s="26" t="s">
        <v>108</v>
      </c>
      <c r="F716" s="28" t="n">
        <v>2</v>
      </c>
      <c r="G716" s="28" t="n">
        <v>1</v>
      </c>
      <c r="H716" s="26" t="s">
        <v>79</v>
      </c>
      <c r="I716" s="26" t="s">
        <v>105</v>
      </c>
      <c r="J716" s="26"/>
      <c r="K716" s="29" t="str">
        <f aca="false">IF($A716="","",IF(COUNTIFS(tblMoveTypes[Movement],$E716)=0,"Unknown movement type",IF(COUNTIF(tblShipment[Shipment ID],$C716)=0,"Unknown shipment",IF(COUNTIFS(tblShipment[Shipment ID],$C716,tblShipment[Market],$B716)=0,"Market does not match shipment",IF(AND(IFERROR(INDEX(tblMoveTypes[Item?],MATCH($E716,tblMoveTypes[Movement],0)),"?")="Yes",$D716=""),"Item needed",IF(AND(IFERROR(INDEX(tblMoveTypes[Item?],MATCH($E716,tblMoveTypes[Movement],0)),"?")="No",$D716&lt;&gt;""),"Leave Item blank",IF(AND(IFERROR(INDEX(tblMoveTypes[Courier?],MATCH($E716,tblMoveTypes[Movement],0)),"?")="Yes",$H716=""),"Courier needed",IF(AND(IFERROR(INDEX(tblMoveTypes[Courier?],MATCH($E716,tblMoveTypes[Movement],0)),"?")="No",$H716&lt;&gt;""),"Leave Courier blank",IF(AND(IFERROR(INDEX(tblMoveTypes[Orders?],MATCH($E716,tblMoveTypes[Movement],0)),"?")="Yes",$G716=""),"Orders needed",IF(AND(IFERROR(INDEX(tblMoveTypes[Orders?],MATCH($E716,tblMoveTypes[Movement],0)),"?")="No",$G716&lt;&gt;""),"Leave Orders blank",IF(AND(IFERROR(INDEX(tblMoveTypes[Reason?],MATCH($E716,tblMoveTypes[Movement],0)),"?")="Yes",$I716=""),"Reason needed",IF(AND(IFERROR(INDEX(tblMoveTypes[Qty?],MATCH($E716,tblMoveTypes[Movement],0)),"?")="Yes",N($F716)&lt;=0),"Qty needed",IF($A716&lt;_xlfn.MINIFS(tblShipment[Arrival Date],tblShipment[Shipment ID],$C716),"Date before arrival",IF(AND($D716&lt;&gt;"",COUNTIFS(tblShipment[Shipment ID],$C716,tblShipment[Item Code],$D716)=0),"Item not in this shipment",IF(AND($H716&lt;&gt;"",COUNTIFS(tblCouriers[Courier],$H716,tblCouriers[Market],$B716)=0),"Courier not in this market","OK")))))))))))))))</f>
        <v>OK</v>
      </c>
    </row>
    <row r="717" customFormat="false" ht="15" hidden="false" customHeight="false" outlineLevel="0" collapsed="false">
      <c r="A717" s="27" t="n">
        <v>46243</v>
      </c>
      <c r="B717" s="26" t="s">
        <v>78</v>
      </c>
      <c r="C717" s="26" t="s">
        <v>136</v>
      </c>
      <c r="D717" s="26" t="s">
        <v>99</v>
      </c>
      <c r="E717" s="26" t="s">
        <v>110</v>
      </c>
      <c r="F717" s="28" t="n">
        <v>1</v>
      </c>
      <c r="G717" s="28"/>
      <c r="H717" s="26"/>
      <c r="I717" s="26"/>
      <c r="J717" s="26"/>
      <c r="K717" s="29" t="str">
        <f aca="false">IF($A717="","",IF(COUNTIFS(tblMoveTypes[Movement],$E717)=0,"Unknown movement type",IF(COUNTIF(tblShipment[Shipment ID],$C717)=0,"Unknown shipment",IF(COUNTIFS(tblShipment[Shipment ID],$C717,tblShipment[Market],$B717)=0,"Market does not match shipment",IF(AND(IFERROR(INDEX(tblMoveTypes[Item?],MATCH($E717,tblMoveTypes[Movement],0)),"?")="Yes",$D717=""),"Item needed",IF(AND(IFERROR(INDEX(tblMoveTypes[Item?],MATCH($E717,tblMoveTypes[Movement],0)),"?")="No",$D717&lt;&gt;""),"Leave Item blank",IF(AND(IFERROR(INDEX(tblMoveTypes[Courier?],MATCH($E717,tblMoveTypes[Movement],0)),"?")="Yes",$H717=""),"Courier needed",IF(AND(IFERROR(INDEX(tblMoveTypes[Courier?],MATCH($E717,tblMoveTypes[Movement],0)),"?")="No",$H717&lt;&gt;""),"Leave Courier blank",IF(AND(IFERROR(INDEX(tblMoveTypes[Orders?],MATCH($E717,tblMoveTypes[Movement],0)),"?")="Yes",$G717=""),"Orders needed",IF(AND(IFERROR(INDEX(tblMoveTypes[Orders?],MATCH($E717,tblMoveTypes[Movement],0)),"?")="No",$G717&lt;&gt;""),"Leave Orders blank",IF(AND(IFERROR(INDEX(tblMoveTypes[Reason?],MATCH($E717,tblMoveTypes[Movement],0)),"?")="Yes",$I717=""),"Reason needed",IF(AND(IFERROR(INDEX(tblMoveTypes[Qty?],MATCH($E717,tblMoveTypes[Movement],0)),"?")="Yes",N($F717)&lt;=0),"Qty needed",IF($A717&lt;_xlfn.MINIFS(tblShipment[Arrival Date],tblShipment[Shipment ID],$C717),"Date before arrival",IF(AND($D717&lt;&gt;"",COUNTIFS(tblShipment[Shipment ID],$C717,tblShipment[Item Code],$D717)=0),"Item not in this shipment",IF(AND($H717&lt;&gt;"",COUNTIFS(tblCouriers[Courier],$H717,tblCouriers[Market],$B717)=0),"Courier not in this market","OK")))))))))))))))</f>
        <v>OK</v>
      </c>
    </row>
    <row r="718" customFormat="false" ht="15" hidden="false" customHeight="false" outlineLevel="0" collapsed="false">
      <c r="A718" s="27" t="n">
        <v>46243</v>
      </c>
      <c r="B718" s="26" t="s">
        <v>78</v>
      </c>
      <c r="C718" s="26" t="s">
        <v>136</v>
      </c>
      <c r="D718" s="26" t="s">
        <v>99</v>
      </c>
      <c r="E718" s="26" t="s">
        <v>112</v>
      </c>
      <c r="F718" s="28" t="n">
        <v>1</v>
      </c>
      <c r="G718" s="28"/>
      <c r="H718" s="26"/>
      <c r="I718" s="26" t="s">
        <v>80</v>
      </c>
      <c r="J718" s="26"/>
      <c r="K718" s="29" t="str">
        <f aca="false">IF($A718="","",IF(COUNTIFS(tblMoveTypes[Movement],$E718)=0,"Unknown movement type",IF(COUNTIF(tblShipment[Shipment ID],$C718)=0,"Unknown shipment",IF(COUNTIFS(tblShipment[Shipment ID],$C718,tblShipment[Market],$B718)=0,"Market does not match shipment",IF(AND(IFERROR(INDEX(tblMoveTypes[Item?],MATCH($E718,tblMoveTypes[Movement],0)),"?")="Yes",$D718=""),"Item needed",IF(AND(IFERROR(INDEX(tblMoveTypes[Item?],MATCH($E718,tblMoveTypes[Movement],0)),"?")="No",$D718&lt;&gt;""),"Leave Item blank",IF(AND(IFERROR(INDEX(tblMoveTypes[Courier?],MATCH($E718,tblMoveTypes[Movement],0)),"?")="Yes",$H718=""),"Courier needed",IF(AND(IFERROR(INDEX(tblMoveTypes[Courier?],MATCH($E718,tblMoveTypes[Movement],0)),"?")="No",$H718&lt;&gt;""),"Leave Courier blank",IF(AND(IFERROR(INDEX(tblMoveTypes[Orders?],MATCH($E718,tblMoveTypes[Movement],0)),"?")="Yes",$G718=""),"Orders needed",IF(AND(IFERROR(INDEX(tblMoveTypes[Orders?],MATCH($E718,tblMoveTypes[Movement],0)),"?")="No",$G718&lt;&gt;""),"Leave Orders blank",IF(AND(IFERROR(INDEX(tblMoveTypes[Reason?],MATCH($E718,tblMoveTypes[Movement],0)),"?")="Yes",$I718=""),"Reason needed",IF(AND(IFERROR(INDEX(tblMoveTypes[Qty?],MATCH($E718,tblMoveTypes[Movement],0)),"?")="Yes",N($F718)&lt;=0),"Qty needed",IF($A718&lt;_xlfn.MINIFS(tblShipment[Arrival Date],tblShipment[Shipment ID],$C718),"Date before arrival",IF(AND($D718&lt;&gt;"",COUNTIFS(tblShipment[Shipment ID],$C718,tblShipment[Item Code],$D718)=0),"Item not in this shipment",IF(AND($H718&lt;&gt;"",COUNTIFS(tblCouriers[Courier],$H718,tblCouriers[Market],$B718)=0),"Courier not in this market","OK")))))))))))))))</f>
        <v>OK</v>
      </c>
    </row>
    <row r="719" customFormat="false" ht="15" hidden="false" customHeight="false" outlineLevel="0" collapsed="false">
      <c r="A719" s="27" t="n">
        <v>46243</v>
      </c>
      <c r="B719" s="26" t="s">
        <v>78</v>
      </c>
      <c r="C719" s="26" t="s">
        <v>136</v>
      </c>
      <c r="D719" s="26"/>
      <c r="E719" s="26" t="s">
        <v>106</v>
      </c>
      <c r="F719" s="28" t="n">
        <v>1</v>
      </c>
      <c r="G719" s="28" t="n">
        <v>1</v>
      </c>
      <c r="H719" s="26" t="s">
        <v>79</v>
      </c>
      <c r="I719" s="26"/>
      <c r="J719" s="26"/>
      <c r="K719" s="29" t="str">
        <f aca="false">IF($A719="","",IF(COUNTIFS(tblMoveTypes[Movement],$E719)=0,"Unknown movement type",IF(COUNTIF(tblShipment[Shipment ID],$C719)=0,"Unknown shipment",IF(COUNTIFS(tblShipment[Shipment ID],$C719,tblShipment[Market],$B719)=0,"Market does not match shipment",IF(AND(IFERROR(INDEX(tblMoveTypes[Item?],MATCH($E719,tblMoveTypes[Movement],0)),"?")="Yes",$D719=""),"Item needed",IF(AND(IFERROR(INDEX(tblMoveTypes[Item?],MATCH($E719,tblMoveTypes[Movement],0)),"?")="No",$D719&lt;&gt;""),"Leave Item blank",IF(AND(IFERROR(INDEX(tblMoveTypes[Courier?],MATCH($E719,tblMoveTypes[Movement],0)),"?")="Yes",$H719=""),"Courier needed",IF(AND(IFERROR(INDEX(tblMoveTypes[Courier?],MATCH($E719,tblMoveTypes[Movement],0)),"?")="No",$H719&lt;&gt;""),"Leave Courier blank",IF(AND(IFERROR(INDEX(tblMoveTypes[Orders?],MATCH($E719,tblMoveTypes[Movement],0)),"?")="Yes",$G719=""),"Orders needed",IF(AND(IFERROR(INDEX(tblMoveTypes[Orders?],MATCH($E719,tblMoveTypes[Movement],0)),"?")="No",$G719&lt;&gt;""),"Leave Orders blank",IF(AND(IFERROR(INDEX(tblMoveTypes[Reason?],MATCH($E719,tblMoveTypes[Movement],0)),"?")="Yes",$I719=""),"Reason needed",IF(AND(IFERROR(INDEX(tblMoveTypes[Qty?],MATCH($E719,tblMoveTypes[Movement],0)),"?")="Yes",N($F719)&lt;=0),"Qty needed",IF($A719&lt;_xlfn.MINIFS(tblShipment[Arrival Date],tblShipment[Shipment ID],$C719),"Date before arrival",IF(AND($D719&lt;&gt;"",COUNTIFS(tblShipment[Shipment ID],$C719,tblShipment[Item Code],$D719)=0),"Item not in this shipment",IF(AND($H719&lt;&gt;"",COUNTIFS(tblCouriers[Courier],$H719,tblCouriers[Market],$B719)=0),"Courier not in this market","OK")))))))))))))))</f>
        <v>OK</v>
      </c>
    </row>
    <row r="720" customFormat="false" ht="15" hidden="false" customHeight="false" outlineLevel="0" collapsed="false">
      <c r="A720" s="27" t="n">
        <v>46243</v>
      </c>
      <c r="B720" s="26" t="s">
        <v>78</v>
      </c>
      <c r="C720" s="26" t="s">
        <v>137</v>
      </c>
      <c r="D720" s="26"/>
      <c r="E720" s="26" t="s">
        <v>106</v>
      </c>
      <c r="F720" s="28" t="n">
        <v>42</v>
      </c>
      <c r="G720" s="28" t="n">
        <v>7</v>
      </c>
      <c r="H720" s="26" t="s">
        <v>79</v>
      </c>
      <c r="I720" s="26"/>
      <c r="J720" s="26"/>
      <c r="K720" s="29" t="str">
        <f aca="false">IF($A720="","",IF(COUNTIFS(tblMoveTypes[Movement],$E720)=0,"Unknown movement type",IF(COUNTIF(tblShipment[Shipment ID],$C720)=0,"Unknown shipment",IF(COUNTIFS(tblShipment[Shipment ID],$C720,tblShipment[Market],$B720)=0,"Market does not match shipment",IF(AND(IFERROR(INDEX(tblMoveTypes[Item?],MATCH($E720,tblMoveTypes[Movement],0)),"?")="Yes",$D720=""),"Item needed",IF(AND(IFERROR(INDEX(tblMoveTypes[Item?],MATCH($E720,tblMoveTypes[Movement],0)),"?")="No",$D720&lt;&gt;""),"Leave Item blank",IF(AND(IFERROR(INDEX(tblMoveTypes[Courier?],MATCH($E720,tblMoveTypes[Movement],0)),"?")="Yes",$H720=""),"Courier needed",IF(AND(IFERROR(INDEX(tblMoveTypes[Courier?],MATCH($E720,tblMoveTypes[Movement],0)),"?")="No",$H720&lt;&gt;""),"Leave Courier blank",IF(AND(IFERROR(INDEX(tblMoveTypes[Orders?],MATCH($E720,tblMoveTypes[Movement],0)),"?")="Yes",$G720=""),"Orders needed",IF(AND(IFERROR(INDEX(tblMoveTypes[Orders?],MATCH($E720,tblMoveTypes[Movement],0)),"?")="No",$G720&lt;&gt;""),"Leave Orders blank",IF(AND(IFERROR(INDEX(tblMoveTypes[Reason?],MATCH($E720,tblMoveTypes[Movement],0)),"?")="Yes",$I720=""),"Reason needed",IF(AND(IFERROR(INDEX(tblMoveTypes[Qty?],MATCH($E720,tblMoveTypes[Movement],0)),"?")="Yes",N($F720)&lt;=0),"Qty needed",IF($A720&lt;_xlfn.MINIFS(tblShipment[Arrival Date],tblShipment[Shipment ID],$C720),"Date before arrival",IF(AND($D720&lt;&gt;"",COUNTIFS(tblShipment[Shipment ID],$C720,tblShipment[Item Code],$D720)=0),"Item not in this shipment",IF(AND($H720&lt;&gt;"",COUNTIFS(tblCouriers[Courier],$H720,tblCouriers[Market],$B720)=0),"Courier not in this market","OK")))))))))))))))</f>
        <v>OK</v>
      </c>
    </row>
    <row r="721" customFormat="false" ht="15" hidden="false" customHeight="false" outlineLevel="0" collapsed="false">
      <c r="A721" s="27" t="n">
        <v>46243</v>
      </c>
      <c r="B721" s="26" t="s">
        <v>78</v>
      </c>
      <c r="C721" s="26" t="s">
        <v>137</v>
      </c>
      <c r="D721" s="26"/>
      <c r="E721" s="26" t="s">
        <v>106</v>
      </c>
      <c r="F721" s="28" t="n">
        <v>18</v>
      </c>
      <c r="G721" s="28" t="n">
        <v>3</v>
      </c>
      <c r="H721" s="26" t="s">
        <v>86</v>
      </c>
      <c r="I721" s="26"/>
      <c r="J721" s="26"/>
      <c r="K721" s="29" t="str">
        <f aca="false">IF($A721="","",IF(COUNTIFS(tblMoveTypes[Movement],$E721)=0,"Unknown movement type",IF(COUNTIF(tblShipment[Shipment ID],$C721)=0,"Unknown shipment",IF(COUNTIFS(tblShipment[Shipment ID],$C721,tblShipment[Market],$B721)=0,"Market does not match shipment",IF(AND(IFERROR(INDEX(tblMoveTypes[Item?],MATCH($E721,tblMoveTypes[Movement],0)),"?")="Yes",$D721=""),"Item needed",IF(AND(IFERROR(INDEX(tblMoveTypes[Item?],MATCH($E721,tblMoveTypes[Movement],0)),"?")="No",$D721&lt;&gt;""),"Leave Item blank",IF(AND(IFERROR(INDEX(tblMoveTypes[Courier?],MATCH($E721,tblMoveTypes[Movement],0)),"?")="Yes",$H721=""),"Courier needed",IF(AND(IFERROR(INDEX(tblMoveTypes[Courier?],MATCH($E721,tblMoveTypes[Movement],0)),"?")="No",$H721&lt;&gt;""),"Leave Courier blank",IF(AND(IFERROR(INDEX(tblMoveTypes[Orders?],MATCH($E721,tblMoveTypes[Movement],0)),"?")="Yes",$G721=""),"Orders needed",IF(AND(IFERROR(INDEX(tblMoveTypes[Orders?],MATCH($E721,tblMoveTypes[Movement],0)),"?")="No",$G721&lt;&gt;""),"Leave Orders blank",IF(AND(IFERROR(INDEX(tblMoveTypes[Reason?],MATCH($E721,tblMoveTypes[Movement],0)),"?")="Yes",$I721=""),"Reason needed",IF(AND(IFERROR(INDEX(tblMoveTypes[Qty?],MATCH($E721,tblMoveTypes[Movement],0)),"?")="Yes",N($F721)&lt;=0),"Qty needed",IF($A721&lt;_xlfn.MINIFS(tblShipment[Arrival Date],tblShipment[Shipment ID],$C721),"Date before arrival",IF(AND($D721&lt;&gt;"",COUNTIFS(tblShipment[Shipment ID],$C721,tblShipment[Item Code],$D721)=0),"Item not in this shipment",IF(AND($H721&lt;&gt;"",COUNTIFS(tblCouriers[Courier],$H721,tblCouriers[Market],$B721)=0),"Courier not in this market","OK")))))))))))))))</f>
        <v>OK</v>
      </c>
    </row>
    <row r="722" customFormat="false" ht="15" hidden="false" customHeight="false" outlineLevel="0" collapsed="false">
      <c r="A722" s="27" t="n">
        <v>46244</v>
      </c>
      <c r="B722" s="26" t="s">
        <v>70</v>
      </c>
      <c r="C722" s="26" t="s">
        <v>128</v>
      </c>
      <c r="D722" s="26"/>
      <c r="E722" s="26" t="s">
        <v>106</v>
      </c>
      <c r="F722" s="28" t="n">
        <v>37</v>
      </c>
      <c r="G722" s="28" t="n">
        <v>6</v>
      </c>
      <c r="H722" s="26" t="s">
        <v>71</v>
      </c>
      <c r="I722" s="26"/>
      <c r="J722" s="26"/>
      <c r="K722" s="29" t="str">
        <f aca="false">IF($A722="","",IF(COUNTIFS(tblMoveTypes[Movement],$E722)=0,"Unknown movement type",IF(COUNTIF(tblShipment[Shipment ID],$C722)=0,"Unknown shipment",IF(COUNTIFS(tblShipment[Shipment ID],$C722,tblShipment[Market],$B722)=0,"Market does not match shipment",IF(AND(IFERROR(INDEX(tblMoveTypes[Item?],MATCH($E722,tblMoveTypes[Movement],0)),"?")="Yes",$D722=""),"Item needed",IF(AND(IFERROR(INDEX(tblMoveTypes[Item?],MATCH($E722,tblMoveTypes[Movement],0)),"?")="No",$D722&lt;&gt;""),"Leave Item blank",IF(AND(IFERROR(INDEX(tblMoveTypes[Courier?],MATCH($E722,tblMoveTypes[Movement],0)),"?")="Yes",$H722=""),"Courier needed",IF(AND(IFERROR(INDEX(tblMoveTypes[Courier?],MATCH($E722,tblMoveTypes[Movement],0)),"?")="No",$H722&lt;&gt;""),"Leave Courier blank",IF(AND(IFERROR(INDEX(tblMoveTypes[Orders?],MATCH($E722,tblMoveTypes[Movement],0)),"?")="Yes",$G722=""),"Orders needed",IF(AND(IFERROR(INDEX(tblMoveTypes[Orders?],MATCH($E722,tblMoveTypes[Movement],0)),"?")="No",$G722&lt;&gt;""),"Leave Orders blank",IF(AND(IFERROR(INDEX(tblMoveTypes[Reason?],MATCH($E722,tblMoveTypes[Movement],0)),"?")="Yes",$I722=""),"Reason needed",IF(AND(IFERROR(INDEX(tblMoveTypes[Qty?],MATCH($E722,tblMoveTypes[Movement],0)),"?")="Yes",N($F722)&lt;=0),"Qty needed",IF($A722&lt;_xlfn.MINIFS(tblShipment[Arrival Date],tblShipment[Shipment ID],$C722),"Date before arrival",IF(AND($D722&lt;&gt;"",COUNTIFS(tblShipment[Shipment ID],$C722,tblShipment[Item Code],$D722)=0),"Item not in this shipment",IF(AND($H722&lt;&gt;"",COUNTIFS(tblCouriers[Courier],$H722,tblCouriers[Market],$B722)=0),"Courier not in this market","OK")))))))))))))))</f>
        <v>OK</v>
      </c>
    </row>
    <row r="723" customFormat="false" ht="15" hidden="false" customHeight="false" outlineLevel="0" collapsed="false">
      <c r="A723" s="27" t="n">
        <v>46244</v>
      </c>
      <c r="B723" s="26" t="s">
        <v>70</v>
      </c>
      <c r="C723" s="26" t="s">
        <v>128</v>
      </c>
      <c r="D723" s="26" t="s">
        <v>76</v>
      </c>
      <c r="E723" s="26" t="s">
        <v>93</v>
      </c>
      <c r="F723" s="28" t="n">
        <v>6</v>
      </c>
      <c r="G723" s="28"/>
      <c r="H723" s="26" t="s">
        <v>71</v>
      </c>
      <c r="I723" s="26"/>
      <c r="J723" s="26"/>
      <c r="K723" s="29" t="str">
        <f aca="false">IF($A723="","",IF(COUNTIFS(tblMoveTypes[Movement],$E723)=0,"Unknown movement type",IF(COUNTIF(tblShipment[Shipment ID],$C723)=0,"Unknown shipment",IF(COUNTIFS(tblShipment[Shipment ID],$C723,tblShipment[Market],$B723)=0,"Market does not match shipment",IF(AND(IFERROR(INDEX(tblMoveTypes[Item?],MATCH($E723,tblMoveTypes[Movement],0)),"?")="Yes",$D723=""),"Item needed",IF(AND(IFERROR(INDEX(tblMoveTypes[Item?],MATCH($E723,tblMoveTypes[Movement],0)),"?")="No",$D723&lt;&gt;""),"Leave Item blank",IF(AND(IFERROR(INDEX(tblMoveTypes[Courier?],MATCH($E723,tblMoveTypes[Movement],0)),"?")="Yes",$H723=""),"Courier needed",IF(AND(IFERROR(INDEX(tblMoveTypes[Courier?],MATCH($E723,tblMoveTypes[Movement],0)),"?")="No",$H723&lt;&gt;""),"Leave Courier blank",IF(AND(IFERROR(INDEX(tblMoveTypes[Orders?],MATCH($E723,tblMoveTypes[Movement],0)),"?")="Yes",$G723=""),"Orders needed",IF(AND(IFERROR(INDEX(tblMoveTypes[Orders?],MATCH($E723,tblMoveTypes[Movement],0)),"?")="No",$G723&lt;&gt;""),"Leave Orders blank",IF(AND(IFERROR(INDEX(tblMoveTypes[Reason?],MATCH($E723,tblMoveTypes[Movement],0)),"?")="Yes",$I723=""),"Reason needed",IF(AND(IFERROR(INDEX(tblMoveTypes[Qty?],MATCH($E723,tblMoveTypes[Movement],0)),"?")="Yes",N($F723)&lt;=0),"Qty needed",IF($A723&lt;_xlfn.MINIFS(tblShipment[Arrival Date],tblShipment[Shipment ID],$C723),"Date before arrival",IF(AND($D723&lt;&gt;"",COUNTIFS(tblShipment[Shipment ID],$C723,tblShipment[Item Code],$D723)=0),"Item not in this shipment",IF(AND($H723&lt;&gt;"",COUNTIFS(tblCouriers[Courier],$H723,tblCouriers[Market],$B723)=0),"Courier not in this market","OK")))))))))))))))</f>
        <v>OK</v>
      </c>
    </row>
    <row r="724" customFormat="false" ht="15" hidden="false" customHeight="false" outlineLevel="0" collapsed="false">
      <c r="A724" s="27" t="n">
        <v>46244</v>
      </c>
      <c r="B724" s="26" t="s">
        <v>70</v>
      </c>
      <c r="C724" s="26" t="s">
        <v>128</v>
      </c>
      <c r="D724" s="26"/>
      <c r="E724" s="26" t="s">
        <v>104</v>
      </c>
      <c r="F724" s="28"/>
      <c r="G724" s="28" t="n">
        <v>1</v>
      </c>
      <c r="H724" s="26" t="s">
        <v>71</v>
      </c>
      <c r="I724" s="26"/>
      <c r="J724" s="26"/>
      <c r="K724" s="29" t="str">
        <f aca="false">IF($A724="","",IF(COUNTIFS(tblMoveTypes[Movement],$E724)=0,"Unknown movement type",IF(COUNTIF(tblShipment[Shipment ID],$C724)=0,"Unknown shipment",IF(COUNTIFS(tblShipment[Shipment ID],$C724,tblShipment[Market],$B724)=0,"Market does not match shipment",IF(AND(IFERROR(INDEX(tblMoveTypes[Item?],MATCH($E724,tblMoveTypes[Movement],0)),"?")="Yes",$D724=""),"Item needed",IF(AND(IFERROR(INDEX(tblMoveTypes[Item?],MATCH($E724,tblMoveTypes[Movement],0)),"?")="No",$D724&lt;&gt;""),"Leave Item blank",IF(AND(IFERROR(INDEX(tblMoveTypes[Courier?],MATCH($E724,tblMoveTypes[Movement],0)),"?")="Yes",$H724=""),"Courier needed",IF(AND(IFERROR(INDEX(tblMoveTypes[Courier?],MATCH($E724,tblMoveTypes[Movement],0)),"?")="No",$H724&lt;&gt;""),"Leave Courier blank",IF(AND(IFERROR(INDEX(tblMoveTypes[Orders?],MATCH($E724,tblMoveTypes[Movement],0)),"?")="Yes",$G724=""),"Orders needed",IF(AND(IFERROR(INDEX(tblMoveTypes[Orders?],MATCH($E724,tblMoveTypes[Movement],0)),"?")="No",$G724&lt;&gt;""),"Leave Orders blank",IF(AND(IFERROR(INDEX(tblMoveTypes[Reason?],MATCH($E724,tblMoveTypes[Movement],0)),"?")="Yes",$I724=""),"Reason needed",IF(AND(IFERROR(INDEX(tblMoveTypes[Qty?],MATCH($E724,tblMoveTypes[Movement],0)),"?")="Yes",N($F724)&lt;=0),"Qty needed",IF($A724&lt;_xlfn.MINIFS(tblShipment[Arrival Date],tblShipment[Shipment ID],$C724),"Date before arrival",IF(AND($D724&lt;&gt;"",COUNTIFS(tblShipment[Shipment ID],$C724,tblShipment[Item Code],$D724)=0),"Item not in this shipment",IF(AND($H724&lt;&gt;"",COUNTIFS(tblCouriers[Courier],$H724,tblCouriers[Market],$B724)=0),"Courier not in this market","OK")))))))))))))))</f>
        <v>OK</v>
      </c>
    </row>
    <row r="725" customFormat="false" ht="15" hidden="false" customHeight="false" outlineLevel="0" collapsed="false">
      <c r="A725" s="27" t="n">
        <v>46244</v>
      </c>
      <c r="B725" s="26" t="s">
        <v>70</v>
      </c>
      <c r="C725" s="26" t="s">
        <v>129</v>
      </c>
      <c r="D725" s="26" t="s">
        <v>76</v>
      </c>
      <c r="E725" s="26" t="s">
        <v>81</v>
      </c>
      <c r="F725" s="28" t="n">
        <v>1</v>
      </c>
      <c r="G725" s="28"/>
      <c r="H725" s="26"/>
      <c r="I725" s="26"/>
      <c r="J725" s="26" t="s">
        <v>162</v>
      </c>
      <c r="K725" s="29" t="str">
        <f aca="false">IF($A725="","",IF(COUNTIFS(tblMoveTypes[Movement],$E725)=0,"Unknown movement type",IF(COUNTIF(tblShipment[Shipment ID],$C725)=0,"Unknown shipment",IF(COUNTIFS(tblShipment[Shipment ID],$C725,tblShipment[Market],$B725)=0,"Market does not match shipment",IF(AND(IFERROR(INDEX(tblMoveTypes[Item?],MATCH($E725,tblMoveTypes[Movement],0)),"?")="Yes",$D725=""),"Item needed",IF(AND(IFERROR(INDEX(tblMoveTypes[Item?],MATCH($E725,tblMoveTypes[Movement],0)),"?")="No",$D725&lt;&gt;""),"Leave Item blank",IF(AND(IFERROR(INDEX(tblMoveTypes[Courier?],MATCH($E725,tblMoveTypes[Movement],0)),"?")="Yes",$H725=""),"Courier needed",IF(AND(IFERROR(INDEX(tblMoveTypes[Courier?],MATCH($E725,tblMoveTypes[Movement],0)),"?")="No",$H725&lt;&gt;""),"Leave Courier blank",IF(AND(IFERROR(INDEX(tblMoveTypes[Orders?],MATCH($E725,tblMoveTypes[Movement],0)),"?")="Yes",$G725=""),"Orders needed",IF(AND(IFERROR(INDEX(tblMoveTypes[Orders?],MATCH($E725,tblMoveTypes[Movement],0)),"?")="No",$G725&lt;&gt;""),"Leave Orders blank",IF(AND(IFERROR(INDEX(tblMoveTypes[Reason?],MATCH($E725,tblMoveTypes[Movement],0)),"?")="Yes",$I725=""),"Reason needed",IF(AND(IFERROR(INDEX(tblMoveTypes[Qty?],MATCH($E725,tblMoveTypes[Movement],0)),"?")="Yes",N($F725)&lt;=0),"Qty needed",IF($A725&lt;_xlfn.MINIFS(tblShipment[Arrival Date],tblShipment[Shipment ID],$C725),"Date before arrival",IF(AND($D725&lt;&gt;"",COUNTIFS(tblShipment[Shipment ID],$C725,tblShipment[Item Code],$D725)=0),"Item not in this shipment",IF(AND($H725&lt;&gt;"",COUNTIFS(tblCouriers[Courier],$H725,tblCouriers[Market],$B725)=0),"Courier not in this market","OK")))))))))))))))</f>
        <v>OK</v>
      </c>
    </row>
    <row r="726" customFormat="false" ht="15" hidden="false" customHeight="false" outlineLevel="0" collapsed="false">
      <c r="A726" s="27" t="n">
        <v>46244</v>
      </c>
      <c r="B726" s="26" t="s">
        <v>70</v>
      </c>
      <c r="C726" s="26" t="s">
        <v>129</v>
      </c>
      <c r="D726" s="26" t="s">
        <v>76</v>
      </c>
      <c r="E726" s="26" t="s">
        <v>74</v>
      </c>
      <c r="F726" s="28" t="n">
        <v>119</v>
      </c>
      <c r="G726" s="28"/>
      <c r="H726" s="26"/>
      <c r="I726" s="26"/>
      <c r="J726" s="26"/>
      <c r="K726" s="29" t="str">
        <f aca="false">IF($A726="","",IF(COUNTIFS(tblMoveTypes[Movement],$E726)=0,"Unknown movement type",IF(COUNTIF(tblShipment[Shipment ID],$C726)=0,"Unknown shipment",IF(COUNTIFS(tblShipment[Shipment ID],$C726,tblShipment[Market],$B726)=0,"Market does not match shipment",IF(AND(IFERROR(INDEX(tblMoveTypes[Item?],MATCH($E726,tblMoveTypes[Movement],0)),"?")="Yes",$D726=""),"Item needed",IF(AND(IFERROR(INDEX(tblMoveTypes[Item?],MATCH($E726,tblMoveTypes[Movement],0)),"?")="No",$D726&lt;&gt;""),"Leave Item blank",IF(AND(IFERROR(INDEX(tblMoveTypes[Courier?],MATCH($E726,tblMoveTypes[Movement],0)),"?")="Yes",$H726=""),"Courier needed",IF(AND(IFERROR(INDEX(tblMoveTypes[Courier?],MATCH($E726,tblMoveTypes[Movement],0)),"?")="No",$H726&lt;&gt;""),"Leave Courier blank",IF(AND(IFERROR(INDEX(tblMoveTypes[Orders?],MATCH($E726,tblMoveTypes[Movement],0)),"?")="Yes",$G726=""),"Orders needed",IF(AND(IFERROR(INDEX(tblMoveTypes[Orders?],MATCH($E726,tblMoveTypes[Movement],0)),"?")="No",$G726&lt;&gt;""),"Leave Orders blank",IF(AND(IFERROR(INDEX(tblMoveTypes[Reason?],MATCH($E726,tblMoveTypes[Movement],0)),"?")="Yes",$I726=""),"Reason needed",IF(AND(IFERROR(INDEX(tblMoveTypes[Qty?],MATCH($E726,tblMoveTypes[Movement],0)),"?")="Yes",N($F726)&lt;=0),"Qty needed",IF($A726&lt;_xlfn.MINIFS(tblShipment[Arrival Date],tblShipment[Shipment ID],$C726),"Date before arrival",IF(AND($D726&lt;&gt;"",COUNTIFS(tblShipment[Shipment ID],$C726,tblShipment[Item Code],$D726)=0),"Item not in this shipment",IF(AND($H726&lt;&gt;"",COUNTIFS(tblCouriers[Courier],$H726,tblCouriers[Market],$B726)=0),"Courier not in this market","OK")))))))))))))))</f>
        <v>OK</v>
      </c>
    </row>
    <row r="727" customFormat="false" ht="15" hidden="false" customHeight="false" outlineLevel="0" collapsed="false">
      <c r="A727" s="27" t="n">
        <v>46244</v>
      </c>
      <c r="B727" s="26" t="s">
        <v>70</v>
      </c>
      <c r="C727" s="26" t="s">
        <v>129</v>
      </c>
      <c r="D727" s="26" t="s">
        <v>67</v>
      </c>
      <c r="E727" s="26" t="s">
        <v>74</v>
      </c>
      <c r="F727" s="28" t="n">
        <v>60</v>
      </c>
      <c r="G727" s="28"/>
      <c r="H727" s="26"/>
      <c r="I727" s="26"/>
      <c r="J727" s="26"/>
      <c r="K727" s="29" t="str">
        <f aca="false">IF($A727="","",IF(COUNTIFS(tblMoveTypes[Movement],$E727)=0,"Unknown movement type",IF(COUNTIF(tblShipment[Shipment ID],$C727)=0,"Unknown shipment",IF(COUNTIFS(tblShipment[Shipment ID],$C727,tblShipment[Market],$B727)=0,"Market does not match shipment",IF(AND(IFERROR(INDEX(tblMoveTypes[Item?],MATCH($E727,tblMoveTypes[Movement],0)),"?")="Yes",$D727=""),"Item needed",IF(AND(IFERROR(INDEX(tblMoveTypes[Item?],MATCH($E727,tblMoveTypes[Movement],0)),"?")="No",$D727&lt;&gt;""),"Leave Item blank",IF(AND(IFERROR(INDEX(tblMoveTypes[Courier?],MATCH($E727,tblMoveTypes[Movement],0)),"?")="Yes",$H727=""),"Courier needed",IF(AND(IFERROR(INDEX(tblMoveTypes[Courier?],MATCH($E727,tblMoveTypes[Movement],0)),"?")="No",$H727&lt;&gt;""),"Leave Courier blank",IF(AND(IFERROR(INDEX(tblMoveTypes[Orders?],MATCH($E727,tblMoveTypes[Movement],0)),"?")="Yes",$G727=""),"Orders needed",IF(AND(IFERROR(INDEX(tblMoveTypes[Orders?],MATCH($E727,tblMoveTypes[Movement],0)),"?")="No",$G727&lt;&gt;""),"Leave Orders blank",IF(AND(IFERROR(INDEX(tblMoveTypes[Reason?],MATCH($E727,tblMoveTypes[Movement],0)),"?")="Yes",$I727=""),"Reason needed",IF(AND(IFERROR(INDEX(tblMoveTypes[Qty?],MATCH($E727,tblMoveTypes[Movement],0)),"?")="Yes",N($F727)&lt;=0),"Qty needed",IF($A727&lt;_xlfn.MINIFS(tblShipment[Arrival Date],tblShipment[Shipment ID],$C727),"Date before arrival",IF(AND($D727&lt;&gt;"",COUNTIFS(tblShipment[Shipment ID],$C727,tblShipment[Item Code],$D727)=0),"Item not in this shipment",IF(AND($H727&lt;&gt;"",COUNTIFS(tblCouriers[Courier],$H727,tblCouriers[Market],$B727)=0),"Courier not in this market","OK")))))))))))))))</f>
        <v>OK</v>
      </c>
    </row>
    <row r="728" customFormat="false" ht="15" hidden="false" customHeight="false" outlineLevel="0" collapsed="false">
      <c r="A728" s="27" t="n">
        <v>46244</v>
      </c>
      <c r="B728" s="26" t="s">
        <v>70</v>
      </c>
      <c r="C728" s="26" t="s">
        <v>129</v>
      </c>
      <c r="D728" s="26" t="s">
        <v>83</v>
      </c>
      <c r="E728" s="26" t="s">
        <v>74</v>
      </c>
      <c r="F728" s="28" t="n">
        <v>80</v>
      </c>
      <c r="G728" s="28"/>
      <c r="H728" s="26"/>
      <c r="I728" s="26"/>
      <c r="J728" s="26"/>
      <c r="K728" s="29" t="str">
        <f aca="false">IF($A728="","",IF(COUNTIFS(tblMoveTypes[Movement],$E728)=0,"Unknown movement type",IF(COUNTIF(tblShipment[Shipment ID],$C728)=0,"Unknown shipment",IF(COUNTIFS(tblShipment[Shipment ID],$C728,tblShipment[Market],$B728)=0,"Market does not match shipment",IF(AND(IFERROR(INDEX(tblMoveTypes[Item?],MATCH($E728,tblMoveTypes[Movement],0)),"?")="Yes",$D728=""),"Item needed",IF(AND(IFERROR(INDEX(tblMoveTypes[Item?],MATCH($E728,tblMoveTypes[Movement],0)),"?")="No",$D728&lt;&gt;""),"Leave Item blank",IF(AND(IFERROR(INDEX(tblMoveTypes[Courier?],MATCH($E728,tblMoveTypes[Movement],0)),"?")="Yes",$H728=""),"Courier needed",IF(AND(IFERROR(INDEX(tblMoveTypes[Courier?],MATCH($E728,tblMoveTypes[Movement],0)),"?")="No",$H728&lt;&gt;""),"Leave Courier blank",IF(AND(IFERROR(INDEX(tblMoveTypes[Orders?],MATCH($E728,tblMoveTypes[Movement],0)),"?")="Yes",$G728=""),"Orders needed",IF(AND(IFERROR(INDEX(tblMoveTypes[Orders?],MATCH($E728,tblMoveTypes[Movement],0)),"?")="No",$G728&lt;&gt;""),"Leave Orders blank",IF(AND(IFERROR(INDEX(tblMoveTypes[Reason?],MATCH($E728,tblMoveTypes[Movement],0)),"?")="Yes",$I728=""),"Reason needed",IF(AND(IFERROR(INDEX(tblMoveTypes[Qty?],MATCH($E728,tblMoveTypes[Movement],0)),"?")="Yes",N($F728)&lt;=0),"Qty needed",IF($A728&lt;_xlfn.MINIFS(tblShipment[Arrival Date],tblShipment[Shipment ID],$C728),"Date before arrival",IF(AND($D728&lt;&gt;"",COUNTIFS(tblShipment[Shipment ID],$C728,tblShipment[Item Code],$D728)=0),"Item not in this shipment",IF(AND($H728&lt;&gt;"",COUNTIFS(tblCouriers[Courier],$H728,tblCouriers[Market],$B728)=0),"Courier not in this market","OK")))))))))))))))</f>
        <v>OK</v>
      </c>
    </row>
    <row r="729" customFormat="false" ht="15" hidden="false" customHeight="false" outlineLevel="0" collapsed="false">
      <c r="A729" s="27" t="n">
        <v>46244</v>
      </c>
      <c r="B729" s="26" t="s">
        <v>70</v>
      </c>
      <c r="C729" s="26" t="s">
        <v>129</v>
      </c>
      <c r="D729" s="26"/>
      <c r="E729" s="26" t="s">
        <v>98</v>
      </c>
      <c r="F729" s="28"/>
      <c r="G729" s="28" t="n">
        <v>37</v>
      </c>
      <c r="H729" s="26"/>
      <c r="I729" s="26"/>
      <c r="J729" s="26"/>
      <c r="K729" s="29" t="str">
        <f aca="false">IF($A729="","",IF(COUNTIFS(tblMoveTypes[Movement],$E729)=0,"Unknown movement type",IF(COUNTIF(tblShipment[Shipment ID],$C729)=0,"Unknown shipment",IF(COUNTIFS(tblShipment[Shipment ID],$C729,tblShipment[Market],$B729)=0,"Market does not match shipment",IF(AND(IFERROR(INDEX(tblMoveTypes[Item?],MATCH($E729,tblMoveTypes[Movement],0)),"?")="Yes",$D729=""),"Item needed",IF(AND(IFERROR(INDEX(tblMoveTypes[Item?],MATCH($E729,tblMoveTypes[Movement],0)),"?")="No",$D729&lt;&gt;""),"Leave Item blank",IF(AND(IFERROR(INDEX(tblMoveTypes[Courier?],MATCH($E729,tblMoveTypes[Movement],0)),"?")="Yes",$H729=""),"Courier needed",IF(AND(IFERROR(INDEX(tblMoveTypes[Courier?],MATCH($E729,tblMoveTypes[Movement],0)),"?")="No",$H729&lt;&gt;""),"Leave Courier blank",IF(AND(IFERROR(INDEX(tblMoveTypes[Orders?],MATCH($E729,tblMoveTypes[Movement],0)),"?")="Yes",$G729=""),"Orders needed",IF(AND(IFERROR(INDEX(tblMoveTypes[Orders?],MATCH($E729,tblMoveTypes[Movement],0)),"?")="No",$G729&lt;&gt;""),"Leave Orders blank",IF(AND(IFERROR(INDEX(tblMoveTypes[Reason?],MATCH($E729,tblMoveTypes[Movement],0)),"?")="Yes",$I729=""),"Reason needed",IF(AND(IFERROR(INDEX(tblMoveTypes[Qty?],MATCH($E729,tblMoveTypes[Movement],0)),"?")="Yes",N($F729)&lt;=0),"Qty needed",IF($A729&lt;_xlfn.MINIFS(tblShipment[Arrival Date],tblShipment[Shipment ID],$C729),"Date before arrival",IF(AND($D729&lt;&gt;"",COUNTIFS(tblShipment[Shipment ID],$C729,tblShipment[Item Code],$D729)=0),"Item not in this shipment",IF(AND($H729&lt;&gt;"",COUNTIFS(tblCouriers[Courier],$H729,tblCouriers[Market],$B729)=0),"Courier not in this market","OK")))))))))))))))</f>
        <v>OK</v>
      </c>
    </row>
    <row r="730" customFormat="false" ht="15" hidden="false" customHeight="false" outlineLevel="0" collapsed="false">
      <c r="A730" s="27" t="n">
        <v>46244</v>
      </c>
      <c r="B730" s="26" t="s">
        <v>70</v>
      </c>
      <c r="C730" s="26" t="s">
        <v>129</v>
      </c>
      <c r="D730" s="26" t="s">
        <v>76</v>
      </c>
      <c r="E730" s="26" t="s">
        <v>73</v>
      </c>
      <c r="F730" s="28" t="n">
        <v>8</v>
      </c>
      <c r="G730" s="28"/>
      <c r="H730" s="26"/>
      <c r="I730" s="26" t="s">
        <v>72</v>
      </c>
      <c r="J730" s="26"/>
      <c r="K730" s="29" t="str">
        <f aca="false">IF($A730="","",IF(COUNTIFS(tblMoveTypes[Movement],$E730)=0,"Unknown movement type",IF(COUNTIF(tblShipment[Shipment ID],$C730)=0,"Unknown shipment",IF(COUNTIFS(tblShipment[Shipment ID],$C730,tblShipment[Market],$B730)=0,"Market does not match shipment",IF(AND(IFERROR(INDEX(tblMoveTypes[Item?],MATCH($E730,tblMoveTypes[Movement],0)),"?")="Yes",$D730=""),"Item needed",IF(AND(IFERROR(INDEX(tblMoveTypes[Item?],MATCH($E730,tblMoveTypes[Movement],0)),"?")="No",$D730&lt;&gt;""),"Leave Item blank",IF(AND(IFERROR(INDEX(tblMoveTypes[Courier?],MATCH($E730,tblMoveTypes[Movement],0)),"?")="Yes",$H730=""),"Courier needed",IF(AND(IFERROR(INDEX(tblMoveTypes[Courier?],MATCH($E730,tblMoveTypes[Movement],0)),"?")="No",$H730&lt;&gt;""),"Leave Courier blank",IF(AND(IFERROR(INDEX(tblMoveTypes[Orders?],MATCH($E730,tblMoveTypes[Movement],0)),"?")="Yes",$G730=""),"Orders needed",IF(AND(IFERROR(INDEX(tblMoveTypes[Orders?],MATCH($E730,tblMoveTypes[Movement],0)),"?")="No",$G730&lt;&gt;""),"Leave Orders blank",IF(AND(IFERROR(INDEX(tblMoveTypes[Reason?],MATCH($E730,tblMoveTypes[Movement],0)),"?")="Yes",$I730=""),"Reason needed",IF(AND(IFERROR(INDEX(tblMoveTypes[Qty?],MATCH($E730,tblMoveTypes[Movement],0)),"?")="Yes",N($F730)&lt;=0),"Qty needed",IF($A730&lt;_xlfn.MINIFS(tblShipment[Arrival Date],tblShipment[Shipment ID],$C730),"Date before arrival",IF(AND($D730&lt;&gt;"",COUNTIFS(tblShipment[Shipment ID],$C730,tblShipment[Item Code],$D730)=0),"Item not in this shipment",IF(AND($H730&lt;&gt;"",COUNTIFS(tblCouriers[Courier],$H730,tblCouriers[Market],$B730)=0),"Courier not in this market","OK")))))))))))))))</f>
        <v>OK</v>
      </c>
    </row>
    <row r="731" customFormat="false" ht="15" hidden="false" customHeight="false" outlineLevel="0" collapsed="false">
      <c r="A731" s="27" t="n">
        <v>46244</v>
      </c>
      <c r="B731" s="26" t="s">
        <v>70</v>
      </c>
      <c r="C731" s="26" t="s">
        <v>129</v>
      </c>
      <c r="D731" s="26" t="s">
        <v>67</v>
      </c>
      <c r="E731" s="26" t="s">
        <v>73</v>
      </c>
      <c r="F731" s="28" t="n">
        <v>2</v>
      </c>
      <c r="G731" s="28"/>
      <c r="H731" s="26"/>
      <c r="I731" s="26" t="s">
        <v>80</v>
      </c>
      <c r="J731" s="26"/>
      <c r="K731" s="29" t="str">
        <f aca="false">IF($A731="","",IF(COUNTIFS(tblMoveTypes[Movement],$E731)=0,"Unknown movement type",IF(COUNTIF(tblShipment[Shipment ID],$C731)=0,"Unknown shipment",IF(COUNTIFS(tblShipment[Shipment ID],$C731,tblShipment[Market],$B731)=0,"Market does not match shipment",IF(AND(IFERROR(INDEX(tblMoveTypes[Item?],MATCH($E731,tblMoveTypes[Movement],0)),"?")="Yes",$D731=""),"Item needed",IF(AND(IFERROR(INDEX(tblMoveTypes[Item?],MATCH($E731,tblMoveTypes[Movement],0)),"?")="No",$D731&lt;&gt;""),"Leave Item blank",IF(AND(IFERROR(INDEX(tblMoveTypes[Courier?],MATCH($E731,tblMoveTypes[Movement],0)),"?")="Yes",$H731=""),"Courier needed",IF(AND(IFERROR(INDEX(tblMoveTypes[Courier?],MATCH($E731,tblMoveTypes[Movement],0)),"?")="No",$H731&lt;&gt;""),"Leave Courier blank",IF(AND(IFERROR(INDEX(tblMoveTypes[Orders?],MATCH($E731,tblMoveTypes[Movement],0)),"?")="Yes",$G731=""),"Orders needed",IF(AND(IFERROR(INDEX(tblMoveTypes[Orders?],MATCH($E731,tblMoveTypes[Movement],0)),"?")="No",$G731&lt;&gt;""),"Leave Orders blank",IF(AND(IFERROR(INDEX(tblMoveTypes[Reason?],MATCH($E731,tblMoveTypes[Movement],0)),"?")="Yes",$I731=""),"Reason needed",IF(AND(IFERROR(INDEX(tblMoveTypes[Qty?],MATCH($E731,tblMoveTypes[Movement],0)),"?")="Yes",N($F731)&lt;=0),"Qty needed",IF($A731&lt;_xlfn.MINIFS(tblShipment[Arrival Date],tblShipment[Shipment ID],$C731),"Date before arrival",IF(AND($D731&lt;&gt;"",COUNTIFS(tblShipment[Shipment ID],$C731,tblShipment[Item Code],$D731)=0),"Item not in this shipment",IF(AND($H731&lt;&gt;"",COUNTIFS(tblCouriers[Courier],$H731,tblCouriers[Market],$B731)=0),"Courier not in this market","OK")))))))))))))))</f>
        <v>OK</v>
      </c>
    </row>
    <row r="732" customFormat="false" ht="15" hidden="false" customHeight="false" outlineLevel="0" collapsed="false">
      <c r="A732" s="27" t="n">
        <v>46244</v>
      </c>
      <c r="B732" s="26" t="s">
        <v>70</v>
      </c>
      <c r="C732" s="26" t="s">
        <v>129</v>
      </c>
      <c r="D732" s="26" t="s">
        <v>83</v>
      </c>
      <c r="E732" s="26" t="s">
        <v>73</v>
      </c>
      <c r="F732" s="28" t="n">
        <v>5</v>
      </c>
      <c r="G732" s="28"/>
      <c r="H732" s="26"/>
      <c r="I732" s="26" t="s">
        <v>80</v>
      </c>
      <c r="J732" s="26"/>
      <c r="K732" s="29" t="str">
        <f aca="false">IF($A732="","",IF(COUNTIFS(tblMoveTypes[Movement],$E732)=0,"Unknown movement type",IF(COUNTIF(tblShipment[Shipment ID],$C732)=0,"Unknown shipment",IF(COUNTIFS(tblShipment[Shipment ID],$C732,tblShipment[Market],$B732)=0,"Market does not match shipment",IF(AND(IFERROR(INDEX(tblMoveTypes[Item?],MATCH($E732,tblMoveTypes[Movement],0)),"?")="Yes",$D732=""),"Item needed",IF(AND(IFERROR(INDEX(tblMoveTypes[Item?],MATCH($E732,tblMoveTypes[Movement],0)),"?")="No",$D732&lt;&gt;""),"Leave Item blank",IF(AND(IFERROR(INDEX(tblMoveTypes[Courier?],MATCH($E732,tblMoveTypes[Movement],0)),"?")="Yes",$H732=""),"Courier needed",IF(AND(IFERROR(INDEX(tblMoveTypes[Courier?],MATCH($E732,tblMoveTypes[Movement],0)),"?")="No",$H732&lt;&gt;""),"Leave Courier blank",IF(AND(IFERROR(INDEX(tblMoveTypes[Orders?],MATCH($E732,tblMoveTypes[Movement],0)),"?")="Yes",$G732=""),"Orders needed",IF(AND(IFERROR(INDEX(tblMoveTypes[Orders?],MATCH($E732,tblMoveTypes[Movement],0)),"?")="No",$G732&lt;&gt;""),"Leave Orders blank",IF(AND(IFERROR(INDEX(tblMoveTypes[Reason?],MATCH($E732,tblMoveTypes[Movement],0)),"?")="Yes",$I732=""),"Reason needed",IF(AND(IFERROR(INDEX(tblMoveTypes[Qty?],MATCH($E732,tblMoveTypes[Movement],0)),"?")="Yes",N($F732)&lt;=0),"Qty needed",IF($A732&lt;_xlfn.MINIFS(tblShipment[Arrival Date],tblShipment[Shipment ID],$C732),"Date before arrival",IF(AND($D732&lt;&gt;"",COUNTIFS(tblShipment[Shipment ID],$C732,tblShipment[Item Code],$D732)=0),"Item not in this shipment",IF(AND($H732&lt;&gt;"",COUNTIFS(tblCouriers[Courier],$H732,tblCouriers[Market],$B732)=0),"Courier not in this market","OK")))))))))))))))</f>
        <v>OK</v>
      </c>
    </row>
    <row r="733" customFormat="false" ht="15" hidden="false" customHeight="false" outlineLevel="0" collapsed="false">
      <c r="A733" s="27" t="n">
        <v>46244</v>
      </c>
      <c r="B733" s="26" t="s">
        <v>70</v>
      </c>
      <c r="C733" s="26" t="s">
        <v>129</v>
      </c>
      <c r="D733" s="26" t="s">
        <v>76</v>
      </c>
      <c r="E733" s="26" t="s">
        <v>93</v>
      </c>
      <c r="F733" s="28" t="n">
        <v>94</v>
      </c>
      <c r="G733" s="28"/>
      <c r="H733" s="26" t="s">
        <v>71</v>
      </c>
      <c r="I733" s="26"/>
      <c r="J733" s="26"/>
      <c r="K733" s="29" t="str">
        <f aca="false">IF($A733="","",IF(COUNTIFS(tblMoveTypes[Movement],$E733)=0,"Unknown movement type",IF(COUNTIF(tblShipment[Shipment ID],$C733)=0,"Unknown shipment",IF(COUNTIFS(tblShipment[Shipment ID],$C733,tblShipment[Market],$B733)=0,"Market does not match shipment",IF(AND(IFERROR(INDEX(tblMoveTypes[Item?],MATCH($E733,tblMoveTypes[Movement],0)),"?")="Yes",$D733=""),"Item needed",IF(AND(IFERROR(INDEX(tblMoveTypes[Item?],MATCH($E733,tblMoveTypes[Movement],0)),"?")="No",$D733&lt;&gt;""),"Leave Item blank",IF(AND(IFERROR(INDEX(tblMoveTypes[Courier?],MATCH($E733,tblMoveTypes[Movement],0)),"?")="Yes",$H733=""),"Courier needed",IF(AND(IFERROR(INDEX(tblMoveTypes[Courier?],MATCH($E733,tblMoveTypes[Movement],0)),"?")="No",$H733&lt;&gt;""),"Leave Courier blank",IF(AND(IFERROR(INDEX(tblMoveTypes[Orders?],MATCH($E733,tblMoveTypes[Movement],0)),"?")="Yes",$G733=""),"Orders needed",IF(AND(IFERROR(INDEX(tblMoveTypes[Orders?],MATCH($E733,tblMoveTypes[Movement],0)),"?")="No",$G733&lt;&gt;""),"Leave Orders blank",IF(AND(IFERROR(INDEX(tblMoveTypes[Reason?],MATCH($E733,tblMoveTypes[Movement],0)),"?")="Yes",$I733=""),"Reason needed",IF(AND(IFERROR(INDEX(tblMoveTypes[Qty?],MATCH($E733,tblMoveTypes[Movement],0)),"?")="Yes",N($F733)&lt;=0),"Qty needed",IF($A733&lt;_xlfn.MINIFS(tblShipment[Arrival Date],tblShipment[Shipment ID],$C733),"Date before arrival",IF(AND($D733&lt;&gt;"",COUNTIFS(tblShipment[Shipment ID],$C733,tblShipment[Item Code],$D733)=0),"Item not in this shipment",IF(AND($H733&lt;&gt;"",COUNTIFS(tblCouriers[Courier],$H733,tblCouriers[Market],$B733)=0),"Courier not in this market","OK")))))))))))))))</f>
        <v>OK</v>
      </c>
    </row>
    <row r="734" customFormat="false" ht="15" hidden="false" customHeight="false" outlineLevel="0" collapsed="false">
      <c r="A734" s="27" t="n">
        <v>46244</v>
      </c>
      <c r="B734" s="26" t="s">
        <v>70</v>
      </c>
      <c r="C734" s="26" t="s">
        <v>129</v>
      </c>
      <c r="D734" s="26" t="s">
        <v>67</v>
      </c>
      <c r="E734" s="26" t="s">
        <v>93</v>
      </c>
      <c r="F734" s="28" t="n">
        <v>49</v>
      </c>
      <c r="G734" s="28"/>
      <c r="H734" s="26" t="s">
        <v>71</v>
      </c>
      <c r="I734" s="26"/>
      <c r="J734" s="26"/>
      <c r="K734" s="29" t="str">
        <f aca="false">IF($A734="","",IF(COUNTIFS(tblMoveTypes[Movement],$E734)=0,"Unknown movement type",IF(COUNTIF(tblShipment[Shipment ID],$C734)=0,"Unknown shipment",IF(COUNTIFS(tblShipment[Shipment ID],$C734,tblShipment[Market],$B734)=0,"Market does not match shipment",IF(AND(IFERROR(INDEX(tblMoveTypes[Item?],MATCH($E734,tblMoveTypes[Movement],0)),"?")="Yes",$D734=""),"Item needed",IF(AND(IFERROR(INDEX(tblMoveTypes[Item?],MATCH($E734,tblMoveTypes[Movement],0)),"?")="No",$D734&lt;&gt;""),"Leave Item blank",IF(AND(IFERROR(INDEX(tblMoveTypes[Courier?],MATCH($E734,tblMoveTypes[Movement],0)),"?")="Yes",$H734=""),"Courier needed",IF(AND(IFERROR(INDEX(tblMoveTypes[Courier?],MATCH($E734,tblMoveTypes[Movement],0)),"?")="No",$H734&lt;&gt;""),"Leave Courier blank",IF(AND(IFERROR(INDEX(tblMoveTypes[Orders?],MATCH($E734,tblMoveTypes[Movement],0)),"?")="Yes",$G734=""),"Orders needed",IF(AND(IFERROR(INDEX(tblMoveTypes[Orders?],MATCH($E734,tblMoveTypes[Movement],0)),"?")="No",$G734&lt;&gt;""),"Leave Orders blank",IF(AND(IFERROR(INDEX(tblMoveTypes[Reason?],MATCH($E734,tblMoveTypes[Movement],0)),"?")="Yes",$I734=""),"Reason needed",IF(AND(IFERROR(INDEX(tblMoveTypes[Qty?],MATCH($E734,tblMoveTypes[Movement],0)),"?")="Yes",N($F734)&lt;=0),"Qty needed",IF($A734&lt;_xlfn.MINIFS(tblShipment[Arrival Date],tblShipment[Shipment ID],$C734),"Date before arrival",IF(AND($D734&lt;&gt;"",COUNTIFS(tblShipment[Shipment ID],$C734,tblShipment[Item Code],$D734)=0),"Item not in this shipment",IF(AND($H734&lt;&gt;"",COUNTIFS(tblCouriers[Courier],$H734,tblCouriers[Market],$B734)=0),"Courier not in this market","OK")))))))))))))))</f>
        <v>OK</v>
      </c>
    </row>
    <row r="735" customFormat="false" ht="15" hidden="false" customHeight="false" outlineLevel="0" collapsed="false">
      <c r="A735" s="27" t="n">
        <v>46244</v>
      </c>
      <c r="B735" s="26" t="s">
        <v>70</v>
      </c>
      <c r="C735" s="26" t="s">
        <v>129</v>
      </c>
      <c r="D735" s="26" t="s">
        <v>83</v>
      </c>
      <c r="E735" s="26" t="s">
        <v>93</v>
      </c>
      <c r="F735" s="28" t="n">
        <v>63</v>
      </c>
      <c r="G735" s="28"/>
      <c r="H735" s="26" t="s">
        <v>71</v>
      </c>
      <c r="I735" s="26"/>
      <c r="J735" s="26"/>
      <c r="K735" s="29" t="str">
        <f aca="false">IF($A735="","",IF(COUNTIFS(tblMoveTypes[Movement],$E735)=0,"Unknown movement type",IF(COUNTIF(tblShipment[Shipment ID],$C735)=0,"Unknown shipment",IF(COUNTIFS(tblShipment[Shipment ID],$C735,tblShipment[Market],$B735)=0,"Market does not match shipment",IF(AND(IFERROR(INDEX(tblMoveTypes[Item?],MATCH($E735,tblMoveTypes[Movement],0)),"?")="Yes",$D735=""),"Item needed",IF(AND(IFERROR(INDEX(tblMoveTypes[Item?],MATCH($E735,tblMoveTypes[Movement],0)),"?")="No",$D735&lt;&gt;""),"Leave Item blank",IF(AND(IFERROR(INDEX(tblMoveTypes[Courier?],MATCH($E735,tblMoveTypes[Movement],0)),"?")="Yes",$H735=""),"Courier needed",IF(AND(IFERROR(INDEX(tblMoveTypes[Courier?],MATCH($E735,tblMoveTypes[Movement],0)),"?")="No",$H735&lt;&gt;""),"Leave Courier blank",IF(AND(IFERROR(INDEX(tblMoveTypes[Orders?],MATCH($E735,tblMoveTypes[Movement],0)),"?")="Yes",$G735=""),"Orders needed",IF(AND(IFERROR(INDEX(tblMoveTypes[Orders?],MATCH($E735,tblMoveTypes[Movement],0)),"?")="No",$G735&lt;&gt;""),"Leave Orders blank",IF(AND(IFERROR(INDEX(tblMoveTypes[Reason?],MATCH($E735,tblMoveTypes[Movement],0)),"?")="Yes",$I735=""),"Reason needed",IF(AND(IFERROR(INDEX(tblMoveTypes[Qty?],MATCH($E735,tblMoveTypes[Movement],0)),"?")="Yes",N($F735)&lt;=0),"Qty needed",IF($A735&lt;_xlfn.MINIFS(tblShipment[Arrival Date],tblShipment[Shipment ID],$C735),"Date before arrival",IF(AND($D735&lt;&gt;"",COUNTIFS(tblShipment[Shipment ID],$C735,tblShipment[Item Code],$D735)=0),"Item not in this shipment",IF(AND($H735&lt;&gt;"",COUNTIFS(tblCouriers[Courier],$H735,tblCouriers[Market],$B735)=0),"Courier not in this market","OK")))))))))))))))</f>
        <v>OK</v>
      </c>
    </row>
    <row r="736" customFormat="false" ht="15" hidden="false" customHeight="false" outlineLevel="0" collapsed="false">
      <c r="A736" s="27" t="n">
        <v>46244</v>
      </c>
      <c r="B736" s="26" t="s">
        <v>70</v>
      </c>
      <c r="C736" s="26" t="s">
        <v>129</v>
      </c>
      <c r="D736" s="26"/>
      <c r="E736" s="26" t="s">
        <v>104</v>
      </c>
      <c r="F736" s="28"/>
      <c r="G736" s="28" t="n">
        <v>37</v>
      </c>
      <c r="H736" s="26" t="s">
        <v>71</v>
      </c>
      <c r="I736" s="26"/>
      <c r="J736" s="26"/>
      <c r="K736" s="29" t="str">
        <f aca="false">IF($A736="","",IF(COUNTIFS(tblMoveTypes[Movement],$E736)=0,"Unknown movement type",IF(COUNTIF(tblShipment[Shipment ID],$C736)=0,"Unknown shipment",IF(COUNTIFS(tblShipment[Shipment ID],$C736,tblShipment[Market],$B736)=0,"Market does not match shipment",IF(AND(IFERROR(INDEX(tblMoveTypes[Item?],MATCH($E736,tblMoveTypes[Movement],0)),"?")="Yes",$D736=""),"Item needed",IF(AND(IFERROR(INDEX(tblMoveTypes[Item?],MATCH($E736,tblMoveTypes[Movement],0)),"?")="No",$D736&lt;&gt;""),"Leave Item blank",IF(AND(IFERROR(INDEX(tblMoveTypes[Courier?],MATCH($E736,tblMoveTypes[Movement],0)),"?")="Yes",$H736=""),"Courier needed",IF(AND(IFERROR(INDEX(tblMoveTypes[Courier?],MATCH($E736,tblMoveTypes[Movement],0)),"?")="No",$H736&lt;&gt;""),"Leave Courier blank",IF(AND(IFERROR(INDEX(tblMoveTypes[Orders?],MATCH($E736,tblMoveTypes[Movement],0)),"?")="Yes",$G736=""),"Orders needed",IF(AND(IFERROR(INDEX(tblMoveTypes[Orders?],MATCH($E736,tblMoveTypes[Movement],0)),"?")="No",$G736&lt;&gt;""),"Leave Orders blank",IF(AND(IFERROR(INDEX(tblMoveTypes[Reason?],MATCH($E736,tblMoveTypes[Movement],0)),"?")="Yes",$I736=""),"Reason needed",IF(AND(IFERROR(INDEX(tblMoveTypes[Qty?],MATCH($E736,tblMoveTypes[Movement],0)),"?")="Yes",N($F736)&lt;=0),"Qty needed",IF($A736&lt;_xlfn.MINIFS(tblShipment[Arrival Date],tblShipment[Shipment ID],$C736),"Date before arrival",IF(AND($D736&lt;&gt;"",COUNTIFS(tblShipment[Shipment ID],$C736,tblShipment[Item Code],$D736)=0),"Item not in this shipment",IF(AND($H736&lt;&gt;"",COUNTIFS(tblCouriers[Courier],$H736,tblCouriers[Market],$B736)=0),"Courier not in this market","OK")))))))))))))))</f>
        <v>OK</v>
      </c>
    </row>
    <row r="737" customFormat="false" ht="15" hidden="false" customHeight="false" outlineLevel="0" collapsed="false">
      <c r="A737" s="27" t="n">
        <v>46244</v>
      </c>
      <c r="B737" s="26" t="s">
        <v>70</v>
      </c>
      <c r="C737" s="26" t="s">
        <v>129</v>
      </c>
      <c r="D737" s="26"/>
      <c r="E737" s="26" t="s">
        <v>106</v>
      </c>
      <c r="F737" s="28" t="n">
        <v>111</v>
      </c>
      <c r="G737" s="28" t="n">
        <v>20</v>
      </c>
      <c r="H737" s="26" t="s">
        <v>71</v>
      </c>
      <c r="I737" s="26"/>
      <c r="J737" s="26"/>
      <c r="K737" s="29" t="str">
        <f aca="false">IF($A737="","",IF(COUNTIFS(tblMoveTypes[Movement],$E737)=0,"Unknown movement type",IF(COUNTIF(tblShipment[Shipment ID],$C737)=0,"Unknown shipment",IF(COUNTIFS(tblShipment[Shipment ID],$C737,tblShipment[Market],$B737)=0,"Market does not match shipment",IF(AND(IFERROR(INDEX(tblMoveTypes[Item?],MATCH($E737,tblMoveTypes[Movement],0)),"?")="Yes",$D737=""),"Item needed",IF(AND(IFERROR(INDEX(tblMoveTypes[Item?],MATCH($E737,tblMoveTypes[Movement],0)),"?")="No",$D737&lt;&gt;""),"Leave Item blank",IF(AND(IFERROR(INDEX(tblMoveTypes[Courier?],MATCH($E737,tblMoveTypes[Movement],0)),"?")="Yes",$H737=""),"Courier needed",IF(AND(IFERROR(INDEX(tblMoveTypes[Courier?],MATCH($E737,tblMoveTypes[Movement],0)),"?")="No",$H737&lt;&gt;""),"Leave Courier blank",IF(AND(IFERROR(INDEX(tblMoveTypes[Orders?],MATCH($E737,tblMoveTypes[Movement],0)),"?")="Yes",$G737=""),"Orders needed",IF(AND(IFERROR(INDEX(tblMoveTypes[Orders?],MATCH($E737,tblMoveTypes[Movement],0)),"?")="No",$G737&lt;&gt;""),"Leave Orders blank",IF(AND(IFERROR(INDEX(tblMoveTypes[Reason?],MATCH($E737,tblMoveTypes[Movement],0)),"?")="Yes",$I737=""),"Reason needed",IF(AND(IFERROR(INDEX(tblMoveTypes[Qty?],MATCH($E737,tblMoveTypes[Movement],0)),"?")="Yes",N($F737)&lt;=0),"Qty needed",IF($A737&lt;_xlfn.MINIFS(tblShipment[Arrival Date],tblShipment[Shipment ID],$C737),"Date before arrival",IF(AND($D737&lt;&gt;"",COUNTIFS(tblShipment[Shipment ID],$C737,tblShipment[Item Code],$D737)=0),"Item not in this shipment",IF(AND($H737&lt;&gt;"",COUNTIFS(tblCouriers[Courier],$H737,tblCouriers[Market],$B737)=0),"Courier not in this market","OK")))))))))))))))</f>
        <v>OK</v>
      </c>
    </row>
    <row r="738" customFormat="false" ht="15" hidden="false" customHeight="false" outlineLevel="0" collapsed="false">
      <c r="A738" s="27" t="n">
        <v>46244</v>
      </c>
      <c r="B738" s="26" t="s">
        <v>85</v>
      </c>
      <c r="C738" s="26" t="s">
        <v>144</v>
      </c>
      <c r="D738" s="26"/>
      <c r="E738" s="26" t="s">
        <v>108</v>
      </c>
      <c r="F738" s="28" t="n">
        <v>7</v>
      </c>
      <c r="G738" s="28" t="n">
        <v>1</v>
      </c>
      <c r="H738" s="26" t="s">
        <v>91</v>
      </c>
      <c r="I738" s="26" t="s">
        <v>102</v>
      </c>
      <c r="J738" s="26"/>
      <c r="K738" s="29" t="str">
        <f aca="false">IF($A738="","",IF(COUNTIFS(tblMoveTypes[Movement],$E738)=0,"Unknown movement type",IF(COUNTIF(tblShipment[Shipment ID],$C738)=0,"Unknown shipment",IF(COUNTIFS(tblShipment[Shipment ID],$C738,tblShipment[Market],$B738)=0,"Market does not match shipment",IF(AND(IFERROR(INDEX(tblMoveTypes[Item?],MATCH($E738,tblMoveTypes[Movement],0)),"?")="Yes",$D738=""),"Item needed",IF(AND(IFERROR(INDEX(tblMoveTypes[Item?],MATCH($E738,tblMoveTypes[Movement],0)),"?")="No",$D738&lt;&gt;""),"Leave Item blank",IF(AND(IFERROR(INDEX(tblMoveTypes[Courier?],MATCH($E738,tblMoveTypes[Movement],0)),"?")="Yes",$H738=""),"Courier needed",IF(AND(IFERROR(INDEX(tblMoveTypes[Courier?],MATCH($E738,tblMoveTypes[Movement],0)),"?")="No",$H738&lt;&gt;""),"Leave Courier blank",IF(AND(IFERROR(INDEX(tblMoveTypes[Orders?],MATCH($E738,tblMoveTypes[Movement],0)),"?")="Yes",$G738=""),"Orders needed",IF(AND(IFERROR(INDEX(tblMoveTypes[Orders?],MATCH($E738,tblMoveTypes[Movement],0)),"?")="No",$G738&lt;&gt;""),"Leave Orders blank",IF(AND(IFERROR(INDEX(tblMoveTypes[Reason?],MATCH($E738,tblMoveTypes[Movement],0)),"?")="Yes",$I738=""),"Reason needed",IF(AND(IFERROR(INDEX(tblMoveTypes[Qty?],MATCH($E738,tblMoveTypes[Movement],0)),"?")="Yes",N($F738)&lt;=0),"Qty needed",IF($A738&lt;_xlfn.MINIFS(tblShipment[Arrival Date],tblShipment[Shipment ID],$C738),"Date before arrival",IF(AND($D738&lt;&gt;"",COUNTIFS(tblShipment[Shipment ID],$C738,tblShipment[Item Code],$D738)=0),"Item not in this shipment",IF(AND($H738&lt;&gt;"",COUNTIFS(tblCouriers[Courier],$H738,tblCouriers[Market],$B738)=0),"Courier not in this market","OK")))))))))))))))</f>
        <v>OK</v>
      </c>
    </row>
    <row r="739" customFormat="false" ht="15" hidden="false" customHeight="false" outlineLevel="0" collapsed="false">
      <c r="A739" s="27" t="n">
        <v>46244</v>
      </c>
      <c r="B739" s="26" t="s">
        <v>85</v>
      </c>
      <c r="C739" s="26" t="s">
        <v>144</v>
      </c>
      <c r="D739" s="26" t="s">
        <v>99</v>
      </c>
      <c r="E739" s="26" t="s">
        <v>110</v>
      </c>
      <c r="F739" s="28" t="n">
        <v>5</v>
      </c>
      <c r="G739" s="28"/>
      <c r="H739" s="26"/>
      <c r="I739" s="26"/>
      <c r="J739" s="26"/>
      <c r="K739" s="29" t="str">
        <f aca="false">IF($A739="","",IF(COUNTIFS(tblMoveTypes[Movement],$E739)=0,"Unknown movement type",IF(COUNTIF(tblShipment[Shipment ID],$C739)=0,"Unknown shipment",IF(COUNTIFS(tblShipment[Shipment ID],$C739,tblShipment[Market],$B739)=0,"Market does not match shipment",IF(AND(IFERROR(INDEX(tblMoveTypes[Item?],MATCH($E739,tblMoveTypes[Movement],0)),"?")="Yes",$D739=""),"Item needed",IF(AND(IFERROR(INDEX(tblMoveTypes[Item?],MATCH($E739,tblMoveTypes[Movement],0)),"?")="No",$D739&lt;&gt;""),"Leave Item blank",IF(AND(IFERROR(INDEX(tblMoveTypes[Courier?],MATCH($E739,tblMoveTypes[Movement],0)),"?")="Yes",$H739=""),"Courier needed",IF(AND(IFERROR(INDEX(tblMoveTypes[Courier?],MATCH($E739,tblMoveTypes[Movement],0)),"?")="No",$H739&lt;&gt;""),"Leave Courier blank",IF(AND(IFERROR(INDEX(tblMoveTypes[Orders?],MATCH($E739,tblMoveTypes[Movement],0)),"?")="Yes",$G739=""),"Orders needed",IF(AND(IFERROR(INDEX(tblMoveTypes[Orders?],MATCH($E739,tblMoveTypes[Movement],0)),"?")="No",$G739&lt;&gt;""),"Leave Orders blank",IF(AND(IFERROR(INDEX(tblMoveTypes[Reason?],MATCH($E739,tblMoveTypes[Movement],0)),"?")="Yes",$I739=""),"Reason needed",IF(AND(IFERROR(INDEX(tblMoveTypes[Qty?],MATCH($E739,tblMoveTypes[Movement],0)),"?")="Yes",N($F739)&lt;=0),"Qty needed",IF($A739&lt;_xlfn.MINIFS(tblShipment[Arrival Date],tblShipment[Shipment ID],$C739),"Date before arrival",IF(AND($D739&lt;&gt;"",COUNTIFS(tblShipment[Shipment ID],$C739,tblShipment[Item Code],$D739)=0),"Item not in this shipment",IF(AND($H739&lt;&gt;"",COUNTIFS(tblCouriers[Courier],$H739,tblCouriers[Market],$B739)=0),"Courier not in this market","OK")))))))))))))))</f>
        <v>OK</v>
      </c>
    </row>
    <row r="740" customFormat="false" ht="15" hidden="false" customHeight="false" outlineLevel="0" collapsed="false">
      <c r="A740" s="27" t="n">
        <v>46244</v>
      </c>
      <c r="B740" s="26" t="s">
        <v>85</v>
      </c>
      <c r="C740" s="26" t="s">
        <v>144</v>
      </c>
      <c r="D740" s="26" t="s">
        <v>99</v>
      </c>
      <c r="E740" s="26" t="s">
        <v>112</v>
      </c>
      <c r="F740" s="28" t="n">
        <v>2</v>
      </c>
      <c r="G740" s="28"/>
      <c r="H740" s="26"/>
      <c r="I740" s="26" t="s">
        <v>80</v>
      </c>
      <c r="J740" s="26"/>
      <c r="K740" s="29" t="str">
        <f aca="false">IF($A740="","",IF(COUNTIFS(tblMoveTypes[Movement],$E740)=0,"Unknown movement type",IF(COUNTIF(tblShipment[Shipment ID],$C740)=0,"Unknown shipment",IF(COUNTIFS(tblShipment[Shipment ID],$C740,tblShipment[Market],$B740)=0,"Market does not match shipment",IF(AND(IFERROR(INDEX(tblMoveTypes[Item?],MATCH($E740,tblMoveTypes[Movement],0)),"?")="Yes",$D740=""),"Item needed",IF(AND(IFERROR(INDEX(tblMoveTypes[Item?],MATCH($E740,tblMoveTypes[Movement],0)),"?")="No",$D740&lt;&gt;""),"Leave Item blank",IF(AND(IFERROR(INDEX(tblMoveTypes[Courier?],MATCH($E740,tblMoveTypes[Movement],0)),"?")="Yes",$H740=""),"Courier needed",IF(AND(IFERROR(INDEX(tblMoveTypes[Courier?],MATCH($E740,tblMoveTypes[Movement],0)),"?")="No",$H740&lt;&gt;""),"Leave Courier blank",IF(AND(IFERROR(INDEX(tblMoveTypes[Orders?],MATCH($E740,tblMoveTypes[Movement],0)),"?")="Yes",$G740=""),"Orders needed",IF(AND(IFERROR(INDEX(tblMoveTypes[Orders?],MATCH($E740,tblMoveTypes[Movement],0)),"?")="No",$G740&lt;&gt;""),"Leave Orders blank",IF(AND(IFERROR(INDEX(tblMoveTypes[Reason?],MATCH($E740,tblMoveTypes[Movement],0)),"?")="Yes",$I740=""),"Reason needed",IF(AND(IFERROR(INDEX(tblMoveTypes[Qty?],MATCH($E740,tblMoveTypes[Movement],0)),"?")="Yes",N($F740)&lt;=0),"Qty needed",IF($A740&lt;_xlfn.MINIFS(tblShipment[Arrival Date],tblShipment[Shipment ID],$C740),"Date before arrival",IF(AND($D740&lt;&gt;"",COUNTIFS(tblShipment[Shipment ID],$C740,tblShipment[Item Code],$D740)=0),"Item not in this shipment",IF(AND($H740&lt;&gt;"",COUNTIFS(tblCouriers[Courier],$H740,tblCouriers[Market],$B740)=0),"Courier not in this market","OK")))))))))))))))</f>
        <v>OK</v>
      </c>
    </row>
    <row r="741" customFormat="false" ht="15" hidden="false" customHeight="false" outlineLevel="0" collapsed="false">
      <c r="A741" s="27" t="n">
        <v>46244</v>
      </c>
      <c r="B741" s="26" t="s">
        <v>85</v>
      </c>
      <c r="C741" s="26" t="s">
        <v>144</v>
      </c>
      <c r="D741" s="26"/>
      <c r="E741" s="26" t="s">
        <v>108</v>
      </c>
      <c r="F741" s="28" t="n">
        <v>4</v>
      </c>
      <c r="G741" s="28" t="n">
        <v>1</v>
      </c>
      <c r="H741" s="26" t="s">
        <v>96</v>
      </c>
      <c r="I741" s="26" t="s">
        <v>102</v>
      </c>
      <c r="J741" s="26"/>
      <c r="K741" s="29" t="str">
        <f aca="false">IF($A741="","",IF(COUNTIFS(tblMoveTypes[Movement],$E741)=0,"Unknown movement type",IF(COUNTIF(tblShipment[Shipment ID],$C741)=0,"Unknown shipment",IF(COUNTIFS(tblShipment[Shipment ID],$C741,tblShipment[Market],$B741)=0,"Market does not match shipment",IF(AND(IFERROR(INDEX(tblMoveTypes[Item?],MATCH($E741,tblMoveTypes[Movement],0)),"?")="Yes",$D741=""),"Item needed",IF(AND(IFERROR(INDEX(tblMoveTypes[Item?],MATCH($E741,tblMoveTypes[Movement],0)),"?")="No",$D741&lt;&gt;""),"Leave Item blank",IF(AND(IFERROR(INDEX(tblMoveTypes[Courier?],MATCH($E741,tblMoveTypes[Movement],0)),"?")="Yes",$H741=""),"Courier needed",IF(AND(IFERROR(INDEX(tblMoveTypes[Courier?],MATCH($E741,tblMoveTypes[Movement],0)),"?")="No",$H741&lt;&gt;""),"Leave Courier blank",IF(AND(IFERROR(INDEX(tblMoveTypes[Orders?],MATCH($E741,tblMoveTypes[Movement],0)),"?")="Yes",$G741=""),"Orders needed",IF(AND(IFERROR(INDEX(tblMoveTypes[Orders?],MATCH($E741,tblMoveTypes[Movement],0)),"?")="No",$G741&lt;&gt;""),"Leave Orders blank",IF(AND(IFERROR(INDEX(tblMoveTypes[Reason?],MATCH($E741,tblMoveTypes[Movement],0)),"?")="Yes",$I741=""),"Reason needed",IF(AND(IFERROR(INDEX(tblMoveTypes[Qty?],MATCH($E741,tblMoveTypes[Movement],0)),"?")="Yes",N($F741)&lt;=0),"Qty needed",IF($A741&lt;_xlfn.MINIFS(tblShipment[Arrival Date],tblShipment[Shipment ID],$C741),"Date before arrival",IF(AND($D741&lt;&gt;"",COUNTIFS(tblShipment[Shipment ID],$C741,tblShipment[Item Code],$D741)=0),"Item not in this shipment",IF(AND($H741&lt;&gt;"",COUNTIFS(tblCouriers[Courier],$H741,tblCouriers[Market],$B741)=0),"Courier not in this market","OK")))))))))))))))</f>
        <v>OK</v>
      </c>
    </row>
    <row r="742" customFormat="false" ht="15" hidden="false" customHeight="false" outlineLevel="0" collapsed="false">
      <c r="A742" s="27" t="n">
        <v>46244</v>
      </c>
      <c r="B742" s="26" t="s">
        <v>85</v>
      </c>
      <c r="C742" s="26" t="s">
        <v>144</v>
      </c>
      <c r="D742" s="26" t="s">
        <v>83</v>
      </c>
      <c r="E742" s="26" t="s">
        <v>110</v>
      </c>
      <c r="F742" s="28" t="n">
        <v>3</v>
      </c>
      <c r="G742" s="28"/>
      <c r="H742" s="26"/>
      <c r="I742" s="26"/>
      <c r="J742" s="26"/>
      <c r="K742" s="29" t="str">
        <f aca="false">IF($A742="","",IF(COUNTIFS(tblMoveTypes[Movement],$E742)=0,"Unknown movement type",IF(COUNTIF(tblShipment[Shipment ID],$C742)=0,"Unknown shipment",IF(COUNTIFS(tblShipment[Shipment ID],$C742,tblShipment[Market],$B742)=0,"Market does not match shipment",IF(AND(IFERROR(INDEX(tblMoveTypes[Item?],MATCH($E742,tblMoveTypes[Movement],0)),"?")="Yes",$D742=""),"Item needed",IF(AND(IFERROR(INDEX(tblMoveTypes[Item?],MATCH($E742,tblMoveTypes[Movement],0)),"?")="No",$D742&lt;&gt;""),"Leave Item blank",IF(AND(IFERROR(INDEX(tblMoveTypes[Courier?],MATCH($E742,tblMoveTypes[Movement],0)),"?")="Yes",$H742=""),"Courier needed",IF(AND(IFERROR(INDEX(tblMoveTypes[Courier?],MATCH($E742,tblMoveTypes[Movement],0)),"?")="No",$H742&lt;&gt;""),"Leave Courier blank",IF(AND(IFERROR(INDEX(tblMoveTypes[Orders?],MATCH($E742,tblMoveTypes[Movement],0)),"?")="Yes",$G742=""),"Orders needed",IF(AND(IFERROR(INDEX(tblMoveTypes[Orders?],MATCH($E742,tblMoveTypes[Movement],0)),"?")="No",$G742&lt;&gt;""),"Leave Orders blank",IF(AND(IFERROR(INDEX(tblMoveTypes[Reason?],MATCH($E742,tblMoveTypes[Movement],0)),"?")="Yes",$I742=""),"Reason needed",IF(AND(IFERROR(INDEX(tblMoveTypes[Qty?],MATCH($E742,tblMoveTypes[Movement],0)),"?")="Yes",N($F742)&lt;=0),"Qty needed",IF($A742&lt;_xlfn.MINIFS(tblShipment[Arrival Date],tblShipment[Shipment ID],$C742),"Date before arrival",IF(AND($D742&lt;&gt;"",COUNTIFS(tblShipment[Shipment ID],$C742,tblShipment[Item Code],$D742)=0),"Item not in this shipment",IF(AND($H742&lt;&gt;"",COUNTIFS(tblCouriers[Courier],$H742,tblCouriers[Market],$B742)=0),"Courier not in this market","OK")))))))))))))))</f>
        <v>OK</v>
      </c>
    </row>
    <row r="743" customFormat="false" ht="15" hidden="false" customHeight="false" outlineLevel="0" collapsed="false">
      <c r="A743" s="27" t="n">
        <v>46244</v>
      </c>
      <c r="B743" s="26" t="s">
        <v>85</v>
      </c>
      <c r="C743" s="26" t="s">
        <v>144</v>
      </c>
      <c r="D743" s="26" t="s">
        <v>83</v>
      </c>
      <c r="E743" s="26" t="s">
        <v>112</v>
      </c>
      <c r="F743" s="28" t="n">
        <v>1</v>
      </c>
      <c r="G743" s="28"/>
      <c r="H743" s="26"/>
      <c r="I743" s="26" t="s">
        <v>80</v>
      </c>
      <c r="J743" s="26"/>
      <c r="K743" s="29" t="str">
        <f aca="false">IF($A743="","",IF(COUNTIFS(tblMoveTypes[Movement],$E743)=0,"Unknown movement type",IF(COUNTIF(tblShipment[Shipment ID],$C743)=0,"Unknown shipment",IF(COUNTIFS(tblShipment[Shipment ID],$C743,tblShipment[Market],$B743)=0,"Market does not match shipment",IF(AND(IFERROR(INDEX(tblMoveTypes[Item?],MATCH($E743,tblMoveTypes[Movement],0)),"?")="Yes",$D743=""),"Item needed",IF(AND(IFERROR(INDEX(tblMoveTypes[Item?],MATCH($E743,tblMoveTypes[Movement],0)),"?")="No",$D743&lt;&gt;""),"Leave Item blank",IF(AND(IFERROR(INDEX(tblMoveTypes[Courier?],MATCH($E743,tblMoveTypes[Movement],0)),"?")="Yes",$H743=""),"Courier needed",IF(AND(IFERROR(INDEX(tblMoveTypes[Courier?],MATCH($E743,tblMoveTypes[Movement],0)),"?")="No",$H743&lt;&gt;""),"Leave Courier blank",IF(AND(IFERROR(INDEX(tblMoveTypes[Orders?],MATCH($E743,tblMoveTypes[Movement],0)),"?")="Yes",$G743=""),"Orders needed",IF(AND(IFERROR(INDEX(tblMoveTypes[Orders?],MATCH($E743,tblMoveTypes[Movement],0)),"?")="No",$G743&lt;&gt;""),"Leave Orders blank",IF(AND(IFERROR(INDEX(tblMoveTypes[Reason?],MATCH($E743,tblMoveTypes[Movement],0)),"?")="Yes",$I743=""),"Reason needed",IF(AND(IFERROR(INDEX(tblMoveTypes[Qty?],MATCH($E743,tblMoveTypes[Movement],0)),"?")="Yes",N($F743)&lt;=0),"Qty needed",IF($A743&lt;_xlfn.MINIFS(tblShipment[Arrival Date],tblShipment[Shipment ID],$C743),"Date before arrival",IF(AND($D743&lt;&gt;"",COUNTIFS(tblShipment[Shipment ID],$C743,tblShipment[Item Code],$D743)=0),"Item not in this shipment",IF(AND($H743&lt;&gt;"",COUNTIFS(tblCouriers[Courier],$H743,tblCouriers[Market],$B743)=0),"Courier not in this market","OK")))))))))))))))</f>
        <v>OK</v>
      </c>
    </row>
    <row r="744" customFormat="false" ht="15" hidden="false" customHeight="false" outlineLevel="0" collapsed="false">
      <c r="A744" s="27" t="n">
        <v>46244</v>
      </c>
      <c r="B744" s="26" t="s">
        <v>85</v>
      </c>
      <c r="C744" s="26" t="s">
        <v>144</v>
      </c>
      <c r="D744" s="26" t="s">
        <v>99</v>
      </c>
      <c r="E744" s="26" t="s">
        <v>93</v>
      </c>
      <c r="F744" s="28" t="n">
        <v>5</v>
      </c>
      <c r="G744" s="28"/>
      <c r="H744" s="26" t="s">
        <v>91</v>
      </c>
      <c r="I744" s="26"/>
      <c r="J744" s="26"/>
      <c r="K744" s="29" t="str">
        <f aca="false">IF($A744="","",IF(COUNTIFS(tblMoveTypes[Movement],$E744)=0,"Unknown movement type",IF(COUNTIF(tblShipment[Shipment ID],$C744)=0,"Unknown shipment",IF(COUNTIFS(tblShipment[Shipment ID],$C744,tblShipment[Market],$B744)=0,"Market does not match shipment",IF(AND(IFERROR(INDEX(tblMoveTypes[Item?],MATCH($E744,tblMoveTypes[Movement],0)),"?")="Yes",$D744=""),"Item needed",IF(AND(IFERROR(INDEX(tblMoveTypes[Item?],MATCH($E744,tblMoveTypes[Movement],0)),"?")="No",$D744&lt;&gt;""),"Leave Item blank",IF(AND(IFERROR(INDEX(tblMoveTypes[Courier?],MATCH($E744,tblMoveTypes[Movement],0)),"?")="Yes",$H744=""),"Courier needed",IF(AND(IFERROR(INDEX(tblMoveTypes[Courier?],MATCH($E744,tblMoveTypes[Movement],0)),"?")="No",$H744&lt;&gt;""),"Leave Courier blank",IF(AND(IFERROR(INDEX(tblMoveTypes[Orders?],MATCH($E744,tblMoveTypes[Movement],0)),"?")="Yes",$G744=""),"Orders needed",IF(AND(IFERROR(INDEX(tblMoveTypes[Orders?],MATCH($E744,tblMoveTypes[Movement],0)),"?")="No",$G744&lt;&gt;""),"Leave Orders blank",IF(AND(IFERROR(INDEX(tblMoveTypes[Reason?],MATCH($E744,tblMoveTypes[Movement],0)),"?")="Yes",$I744=""),"Reason needed",IF(AND(IFERROR(INDEX(tblMoveTypes[Qty?],MATCH($E744,tblMoveTypes[Movement],0)),"?")="Yes",N($F744)&lt;=0),"Qty needed",IF($A744&lt;_xlfn.MINIFS(tblShipment[Arrival Date],tblShipment[Shipment ID],$C744),"Date before arrival",IF(AND($D744&lt;&gt;"",COUNTIFS(tblShipment[Shipment ID],$C744,tblShipment[Item Code],$D744)=0),"Item not in this shipment",IF(AND($H744&lt;&gt;"",COUNTIFS(tblCouriers[Courier],$H744,tblCouriers[Market],$B744)=0),"Courier not in this market","OK")))))))))))))))</f>
        <v>OK</v>
      </c>
    </row>
    <row r="745" customFormat="false" ht="15" hidden="false" customHeight="false" outlineLevel="0" collapsed="false">
      <c r="A745" s="27" t="n">
        <v>46244</v>
      </c>
      <c r="B745" s="26" t="s">
        <v>85</v>
      </c>
      <c r="C745" s="26" t="s">
        <v>144</v>
      </c>
      <c r="D745" s="26"/>
      <c r="E745" s="26" t="s">
        <v>104</v>
      </c>
      <c r="F745" s="28"/>
      <c r="G745" s="28" t="n">
        <v>1</v>
      </c>
      <c r="H745" s="26" t="s">
        <v>91</v>
      </c>
      <c r="I745" s="26"/>
      <c r="J745" s="26"/>
      <c r="K745" s="29" t="str">
        <f aca="false">IF($A745="","",IF(COUNTIFS(tblMoveTypes[Movement],$E745)=0,"Unknown movement type",IF(COUNTIF(tblShipment[Shipment ID],$C745)=0,"Unknown shipment",IF(COUNTIFS(tblShipment[Shipment ID],$C745,tblShipment[Market],$B745)=0,"Market does not match shipment",IF(AND(IFERROR(INDEX(tblMoveTypes[Item?],MATCH($E745,tblMoveTypes[Movement],0)),"?")="Yes",$D745=""),"Item needed",IF(AND(IFERROR(INDEX(tblMoveTypes[Item?],MATCH($E745,tblMoveTypes[Movement],0)),"?")="No",$D745&lt;&gt;""),"Leave Item blank",IF(AND(IFERROR(INDEX(tblMoveTypes[Courier?],MATCH($E745,tblMoveTypes[Movement],0)),"?")="Yes",$H745=""),"Courier needed",IF(AND(IFERROR(INDEX(tblMoveTypes[Courier?],MATCH($E745,tblMoveTypes[Movement],0)),"?")="No",$H745&lt;&gt;""),"Leave Courier blank",IF(AND(IFERROR(INDEX(tblMoveTypes[Orders?],MATCH($E745,tblMoveTypes[Movement],0)),"?")="Yes",$G745=""),"Orders needed",IF(AND(IFERROR(INDEX(tblMoveTypes[Orders?],MATCH($E745,tblMoveTypes[Movement],0)),"?")="No",$G745&lt;&gt;""),"Leave Orders blank",IF(AND(IFERROR(INDEX(tblMoveTypes[Reason?],MATCH($E745,tblMoveTypes[Movement],0)),"?")="Yes",$I745=""),"Reason needed",IF(AND(IFERROR(INDEX(tblMoveTypes[Qty?],MATCH($E745,tblMoveTypes[Movement],0)),"?")="Yes",N($F745)&lt;=0),"Qty needed",IF($A745&lt;_xlfn.MINIFS(tblShipment[Arrival Date],tblShipment[Shipment ID],$C745),"Date before arrival",IF(AND($D745&lt;&gt;"",COUNTIFS(tblShipment[Shipment ID],$C745,tblShipment[Item Code],$D745)=0),"Item not in this shipment",IF(AND($H745&lt;&gt;"",COUNTIFS(tblCouriers[Courier],$H745,tblCouriers[Market],$B745)=0),"Courier not in this market","OK")))))))))))))))</f>
        <v>OK</v>
      </c>
    </row>
    <row r="746" customFormat="false" ht="15" hidden="false" customHeight="false" outlineLevel="0" collapsed="false">
      <c r="A746" s="27" t="n">
        <v>46244</v>
      </c>
      <c r="B746" s="26" t="s">
        <v>85</v>
      </c>
      <c r="C746" s="26" t="s">
        <v>144</v>
      </c>
      <c r="D746" s="26"/>
      <c r="E746" s="26" t="s">
        <v>106</v>
      </c>
      <c r="F746" s="28" t="n">
        <v>3</v>
      </c>
      <c r="G746" s="28" t="n">
        <v>1</v>
      </c>
      <c r="H746" s="26" t="s">
        <v>91</v>
      </c>
      <c r="I746" s="26"/>
      <c r="J746" s="26"/>
      <c r="K746" s="29" t="str">
        <f aca="false">IF($A746="","",IF(COUNTIFS(tblMoveTypes[Movement],$E746)=0,"Unknown movement type",IF(COUNTIF(tblShipment[Shipment ID],$C746)=0,"Unknown shipment",IF(COUNTIFS(tblShipment[Shipment ID],$C746,tblShipment[Market],$B746)=0,"Market does not match shipment",IF(AND(IFERROR(INDEX(tblMoveTypes[Item?],MATCH($E746,tblMoveTypes[Movement],0)),"?")="Yes",$D746=""),"Item needed",IF(AND(IFERROR(INDEX(tblMoveTypes[Item?],MATCH($E746,tblMoveTypes[Movement],0)),"?")="No",$D746&lt;&gt;""),"Leave Item blank",IF(AND(IFERROR(INDEX(tblMoveTypes[Courier?],MATCH($E746,tblMoveTypes[Movement],0)),"?")="Yes",$H746=""),"Courier needed",IF(AND(IFERROR(INDEX(tblMoveTypes[Courier?],MATCH($E746,tblMoveTypes[Movement],0)),"?")="No",$H746&lt;&gt;""),"Leave Courier blank",IF(AND(IFERROR(INDEX(tblMoveTypes[Orders?],MATCH($E746,tblMoveTypes[Movement],0)),"?")="Yes",$G746=""),"Orders needed",IF(AND(IFERROR(INDEX(tblMoveTypes[Orders?],MATCH($E746,tblMoveTypes[Movement],0)),"?")="No",$G746&lt;&gt;""),"Leave Orders blank",IF(AND(IFERROR(INDEX(tblMoveTypes[Reason?],MATCH($E746,tblMoveTypes[Movement],0)),"?")="Yes",$I746=""),"Reason needed",IF(AND(IFERROR(INDEX(tblMoveTypes[Qty?],MATCH($E746,tblMoveTypes[Movement],0)),"?")="Yes",N($F746)&lt;=0),"Qty needed",IF($A746&lt;_xlfn.MINIFS(tblShipment[Arrival Date],tblShipment[Shipment ID],$C746),"Date before arrival",IF(AND($D746&lt;&gt;"",COUNTIFS(tblShipment[Shipment ID],$C746,tblShipment[Item Code],$D746)=0),"Item not in this shipment",IF(AND($H746&lt;&gt;"",COUNTIFS(tblCouriers[Courier],$H746,tblCouriers[Market],$B746)=0),"Courier not in this market","OK")))))))))))))))</f>
        <v>OK</v>
      </c>
    </row>
    <row r="747" customFormat="false" ht="15" hidden="false" customHeight="false" outlineLevel="0" collapsed="false">
      <c r="A747" s="27" t="n">
        <v>46244</v>
      </c>
      <c r="B747" s="26" t="s">
        <v>90</v>
      </c>
      <c r="C747" s="26" t="s">
        <v>151</v>
      </c>
      <c r="D747" s="26"/>
      <c r="E747" s="26" t="s">
        <v>106</v>
      </c>
      <c r="F747" s="28" t="n">
        <v>43</v>
      </c>
      <c r="G747" s="28" t="n">
        <v>6</v>
      </c>
      <c r="H747" s="26" t="s">
        <v>101</v>
      </c>
      <c r="I747" s="26"/>
      <c r="J747" s="26"/>
      <c r="K747" s="29" t="str">
        <f aca="false">IF($A747="","",IF(COUNTIFS(tblMoveTypes[Movement],$E747)=0,"Unknown movement type",IF(COUNTIF(tblShipment[Shipment ID],$C747)=0,"Unknown shipment",IF(COUNTIFS(tblShipment[Shipment ID],$C747,tblShipment[Market],$B747)=0,"Market does not match shipment",IF(AND(IFERROR(INDEX(tblMoveTypes[Item?],MATCH($E747,tblMoveTypes[Movement],0)),"?")="Yes",$D747=""),"Item needed",IF(AND(IFERROR(INDEX(tblMoveTypes[Item?],MATCH($E747,tblMoveTypes[Movement],0)),"?")="No",$D747&lt;&gt;""),"Leave Item blank",IF(AND(IFERROR(INDEX(tblMoveTypes[Courier?],MATCH($E747,tblMoveTypes[Movement],0)),"?")="Yes",$H747=""),"Courier needed",IF(AND(IFERROR(INDEX(tblMoveTypes[Courier?],MATCH($E747,tblMoveTypes[Movement],0)),"?")="No",$H747&lt;&gt;""),"Leave Courier blank",IF(AND(IFERROR(INDEX(tblMoveTypes[Orders?],MATCH($E747,tblMoveTypes[Movement],0)),"?")="Yes",$G747=""),"Orders needed",IF(AND(IFERROR(INDEX(tblMoveTypes[Orders?],MATCH($E747,tblMoveTypes[Movement],0)),"?")="No",$G747&lt;&gt;""),"Leave Orders blank",IF(AND(IFERROR(INDEX(tblMoveTypes[Reason?],MATCH($E747,tblMoveTypes[Movement],0)),"?")="Yes",$I747=""),"Reason needed",IF(AND(IFERROR(INDEX(tblMoveTypes[Qty?],MATCH($E747,tblMoveTypes[Movement],0)),"?")="Yes",N($F747)&lt;=0),"Qty needed",IF($A747&lt;_xlfn.MINIFS(tblShipment[Arrival Date],tblShipment[Shipment ID],$C747),"Date before arrival",IF(AND($D747&lt;&gt;"",COUNTIFS(tblShipment[Shipment ID],$C747,tblShipment[Item Code],$D747)=0),"Item not in this shipment",IF(AND($H747&lt;&gt;"",COUNTIFS(tblCouriers[Courier],$H747,tblCouriers[Market],$B747)=0),"Courier not in this market","OK")))))))))))))))</f>
        <v>OK</v>
      </c>
    </row>
    <row r="748" customFormat="false" ht="15" hidden="false" customHeight="false" outlineLevel="0" collapsed="false">
      <c r="A748" s="27" t="n">
        <v>46244</v>
      </c>
      <c r="B748" s="26" t="s">
        <v>90</v>
      </c>
      <c r="C748" s="26" t="s">
        <v>152</v>
      </c>
      <c r="D748" s="26"/>
      <c r="E748" s="26" t="s">
        <v>106</v>
      </c>
      <c r="F748" s="28" t="n">
        <v>67</v>
      </c>
      <c r="G748" s="28" t="n">
        <v>12</v>
      </c>
      <c r="H748" s="26" t="s">
        <v>101</v>
      </c>
      <c r="I748" s="26"/>
      <c r="J748" s="26"/>
      <c r="K748" s="29" t="str">
        <f aca="false">IF($A748="","",IF(COUNTIFS(tblMoveTypes[Movement],$E748)=0,"Unknown movement type",IF(COUNTIF(tblShipment[Shipment ID],$C748)=0,"Unknown shipment",IF(COUNTIFS(tblShipment[Shipment ID],$C748,tblShipment[Market],$B748)=0,"Market does not match shipment",IF(AND(IFERROR(INDEX(tblMoveTypes[Item?],MATCH($E748,tblMoveTypes[Movement],0)),"?")="Yes",$D748=""),"Item needed",IF(AND(IFERROR(INDEX(tblMoveTypes[Item?],MATCH($E748,tblMoveTypes[Movement],0)),"?")="No",$D748&lt;&gt;""),"Leave Item blank",IF(AND(IFERROR(INDEX(tblMoveTypes[Courier?],MATCH($E748,tblMoveTypes[Movement],0)),"?")="Yes",$H748=""),"Courier needed",IF(AND(IFERROR(INDEX(tblMoveTypes[Courier?],MATCH($E748,tblMoveTypes[Movement],0)),"?")="No",$H748&lt;&gt;""),"Leave Courier blank",IF(AND(IFERROR(INDEX(tblMoveTypes[Orders?],MATCH($E748,tblMoveTypes[Movement],0)),"?")="Yes",$G748=""),"Orders needed",IF(AND(IFERROR(INDEX(tblMoveTypes[Orders?],MATCH($E748,tblMoveTypes[Movement],0)),"?")="No",$G748&lt;&gt;""),"Leave Orders blank",IF(AND(IFERROR(INDEX(tblMoveTypes[Reason?],MATCH($E748,tblMoveTypes[Movement],0)),"?")="Yes",$I748=""),"Reason needed",IF(AND(IFERROR(INDEX(tblMoveTypes[Qty?],MATCH($E748,tblMoveTypes[Movement],0)),"?")="Yes",N($F748)&lt;=0),"Qty needed",IF($A748&lt;_xlfn.MINIFS(tblShipment[Arrival Date],tblShipment[Shipment ID],$C748),"Date before arrival",IF(AND($D748&lt;&gt;"",COUNTIFS(tblShipment[Shipment ID],$C748,tblShipment[Item Code],$D748)=0),"Item not in this shipment",IF(AND($H748&lt;&gt;"",COUNTIFS(tblCouriers[Courier],$H748,tblCouriers[Market],$B748)=0),"Courier not in this market","OK")))))))))))))))</f>
        <v>OK</v>
      </c>
    </row>
    <row r="749" customFormat="false" ht="15" hidden="false" customHeight="false" outlineLevel="0" collapsed="false">
      <c r="A749" s="27" t="n">
        <v>46244</v>
      </c>
      <c r="B749" s="26" t="s">
        <v>78</v>
      </c>
      <c r="C749" s="26" t="s">
        <v>136</v>
      </c>
      <c r="D749" s="26"/>
      <c r="E749" s="26" t="s">
        <v>106</v>
      </c>
      <c r="F749" s="28" t="n">
        <v>16</v>
      </c>
      <c r="G749" s="28" t="n">
        <v>2</v>
      </c>
      <c r="H749" s="26" t="s">
        <v>79</v>
      </c>
      <c r="I749" s="26"/>
      <c r="J749" s="26"/>
      <c r="K749" s="29" t="str">
        <f aca="false">IF($A749="","",IF(COUNTIFS(tblMoveTypes[Movement],$E749)=0,"Unknown movement type",IF(COUNTIF(tblShipment[Shipment ID],$C749)=0,"Unknown shipment",IF(COUNTIFS(tblShipment[Shipment ID],$C749,tblShipment[Market],$B749)=0,"Market does not match shipment",IF(AND(IFERROR(INDEX(tblMoveTypes[Item?],MATCH($E749,tblMoveTypes[Movement],0)),"?")="Yes",$D749=""),"Item needed",IF(AND(IFERROR(INDEX(tblMoveTypes[Item?],MATCH($E749,tblMoveTypes[Movement],0)),"?")="No",$D749&lt;&gt;""),"Leave Item blank",IF(AND(IFERROR(INDEX(tblMoveTypes[Courier?],MATCH($E749,tblMoveTypes[Movement],0)),"?")="Yes",$H749=""),"Courier needed",IF(AND(IFERROR(INDEX(tblMoveTypes[Courier?],MATCH($E749,tblMoveTypes[Movement],0)),"?")="No",$H749&lt;&gt;""),"Leave Courier blank",IF(AND(IFERROR(INDEX(tblMoveTypes[Orders?],MATCH($E749,tblMoveTypes[Movement],0)),"?")="Yes",$G749=""),"Orders needed",IF(AND(IFERROR(INDEX(tblMoveTypes[Orders?],MATCH($E749,tblMoveTypes[Movement],0)),"?")="No",$G749&lt;&gt;""),"Leave Orders blank",IF(AND(IFERROR(INDEX(tblMoveTypes[Reason?],MATCH($E749,tblMoveTypes[Movement],0)),"?")="Yes",$I749=""),"Reason needed",IF(AND(IFERROR(INDEX(tblMoveTypes[Qty?],MATCH($E749,tblMoveTypes[Movement],0)),"?")="Yes",N($F749)&lt;=0),"Qty needed",IF($A749&lt;_xlfn.MINIFS(tblShipment[Arrival Date],tblShipment[Shipment ID],$C749),"Date before arrival",IF(AND($D749&lt;&gt;"",COUNTIFS(tblShipment[Shipment ID],$C749,tblShipment[Item Code],$D749)=0),"Item not in this shipment",IF(AND($H749&lt;&gt;"",COUNTIFS(tblCouriers[Courier],$H749,tblCouriers[Market],$B749)=0),"Courier not in this market","OK")))))))))))))))</f>
        <v>OK</v>
      </c>
    </row>
    <row r="750" customFormat="false" ht="15" hidden="false" customHeight="false" outlineLevel="0" collapsed="false">
      <c r="A750" s="27" t="n">
        <v>46244</v>
      </c>
      <c r="B750" s="26" t="s">
        <v>78</v>
      </c>
      <c r="C750" s="26" t="s">
        <v>136</v>
      </c>
      <c r="D750" s="26"/>
      <c r="E750" s="26" t="s">
        <v>106</v>
      </c>
      <c r="F750" s="28" t="n">
        <v>13</v>
      </c>
      <c r="G750" s="28" t="n">
        <v>1</v>
      </c>
      <c r="H750" s="26" t="s">
        <v>86</v>
      </c>
      <c r="I750" s="26"/>
      <c r="J750" s="26"/>
      <c r="K750" s="29" t="str">
        <f aca="false">IF($A750="","",IF(COUNTIFS(tblMoveTypes[Movement],$E750)=0,"Unknown movement type",IF(COUNTIF(tblShipment[Shipment ID],$C750)=0,"Unknown shipment",IF(COUNTIFS(tblShipment[Shipment ID],$C750,tblShipment[Market],$B750)=0,"Market does not match shipment",IF(AND(IFERROR(INDEX(tblMoveTypes[Item?],MATCH($E750,tblMoveTypes[Movement],0)),"?")="Yes",$D750=""),"Item needed",IF(AND(IFERROR(INDEX(tblMoveTypes[Item?],MATCH($E750,tblMoveTypes[Movement],0)),"?")="No",$D750&lt;&gt;""),"Leave Item blank",IF(AND(IFERROR(INDEX(tblMoveTypes[Courier?],MATCH($E750,tblMoveTypes[Movement],0)),"?")="Yes",$H750=""),"Courier needed",IF(AND(IFERROR(INDEX(tblMoveTypes[Courier?],MATCH($E750,tblMoveTypes[Movement],0)),"?")="No",$H750&lt;&gt;""),"Leave Courier blank",IF(AND(IFERROR(INDEX(tblMoveTypes[Orders?],MATCH($E750,tblMoveTypes[Movement],0)),"?")="Yes",$G750=""),"Orders needed",IF(AND(IFERROR(INDEX(tblMoveTypes[Orders?],MATCH($E750,tblMoveTypes[Movement],0)),"?")="No",$G750&lt;&gt;""),"Leave Orders blank",IF(AND(IFERROR(INDEX(tblMoveTypes[Reason?],MATCH($E750,tblMoveTypes[Movement],0)),"?")="Yes",$I750=""),"Reason needed",IF(AND(IFERROR(INDEX(tblMoveTypes[Qty?],MATCH($E750,tblMoveTypes[Movement],0)),"?")="Yes",N($F750)&lt;=0),"Qty needed",IF($A750&lt;_xlfn.MINIFS(tblShipment[Arrival Date],tblShipment[Shipment ID],$C750),"Date before arrival",IF(AND($D750&lt;&gt;"",COUNTIFS(tblShipment[Shipment ID],$C750,tblShipment[Item Code],$D750)=0),"Item not in this shipment",IF(AND($H750&lt;&gt;"",COUNTIFS(tblCouriers[Courier],$H750,tblCouriers[Market],$B750)=0),"Courier not in this market","OK")))))))))))))))</f>
        <v>OK</v>
      </c>
    </row>
    <row r="751" customFormat="false" ht="15" hidden="false" customHeight="false" outlineLevel="0" collapsed="false">
      <c r="A751" s="27" t="n">
        <v>46244</v>
      </c>
      <c r="B751" s="26" t="s">
        <v>78</v>
      </c>
      <c r="C751" s="26" t="s">
        <v>136</v>
      </c>
      <c r="D751" s="26" t="s">
        <v>99</v>
      </c>
      <c r="E751" s="26" t="s">
        <v>93</v>
      </c>
      <c r="F751" s="28" t="n">
        <v>1</v>
      </c>
      <c r="G751" s="28"/>
      <c r="H751" s="26" t="s">
        <v>79</v>
      </c>
      <c r="I751" s="26"/>
      <c r="J751" s="26"/>
      <c r="K751" s="29" t="str">
        <f aca="false">IF($A751="","",IF(COUNTIFS(tblMoveTypes[Movement],$E751)=0,"Unknown movement type",IF(COUNTIF(tblShipment[Shipment ID],$C751)=0,"Unknown shipment",IF(COUNTIFS(tblShipment[Shipment ID],$C751,tblShipment[Market],$B751)=0,"Market does not match shipment",IF(AND(IFERROR(INDEX(tblMoveTypes[Item?],MATCH($E751,tblMoveTypes[Movement],0)),"?")="Yes",$D751=""),"Item needed",IF(AND(IFERROR(INDEX(tblMoveTypes[Item?],MATCH($E751,tblMoveTypes[Movement],0)),"?")="No",$D751&lt;&gt;""),"Leave Item blank",IF(AND(IFERROR(INDEX(tblMoveTypes[Courier?],MATCH($E751,tblMoveTypes[Movement],0)),"?")="Yes",$H751=""),"Courier needed",IF(AND(IFERROR(INDEX(tblMoveTypes[Courier?],MATCH($E751,tblMoveTypes[Movement],0)),"?")="No",$H751&lt;&gt;""),"Leave Courier blank",IF(AND(IFERROR(INDEX(tblMoveTypes[Orders?],MATCH($E751,tblMoveTypes[Movement],0)),"?")="Yes",$G751=""),"Orders needed",IF(AND(IFERROR(INDEX(tblMoveTypes[Orders?],MATCH($E751,tblMoveTypes[Movement],0)),"?")="No",$G751&lt;&gt;""),"Leave Orders blank",IF(AND(IFERROR(INDEX(tblMoveTypes[Reason?],MATCH($E751,tblMoveTypes[Movement],0)),"?")="Yes",$I751=""),"Reason needed",IF(AND(IFERROR(INDEX(tblMoveTypes[Qty?],MATCH($E751,tblMoveTypes[Movement],0)),"?")="Yes",N($F751)&lt;=0),"Qty needed",IF($A751&lt;_xlfn.MINIFS(tblShipment[Arrival Date],tblShipment[Shipment ID],$C751),"Date before arrival",IF(AND($D751&lt;&gt;"",COUNTIFS(tblShipment[Shipment ID],$C751,tblShipment[Item Code],$D751)=0),"Item not in this shipment",IF(AND($H751&lt;&gt;"",COUNTIFS(tblCouriers[Courier],$H751,tblCouriers[Market],$B751)=0),"Courier not in this market","OK")))))))))))))))</f>
        <v>OK</v>
      </c>
    </row>
    <row r="752" customFormat="false" ht="15" hidden="false" customHeight="false" outlineLevel="0" collapsed="false">
      <c r="A752" s="27" t="n">
        <v>46244</v>
      </c>
      <c r="B752" s="26" t="s">
        <v>78</v>
      </c>
      <c r="C752" s="26" t="s">
        <v>136</v>
      </c>
      <c r="D752" s="26"/>
      <c r="E752" s="26" t="s">
        <v>104</v>
      </c>
      <c r="F752" s="28"/>
      <c r="G752" s="28" t="n">
        <v>1</v>
      </c>
      <c r="H752" s="26" t="s">
        <v>79</v>
      </c>
      <c r="I752" s="26"/>
      <c r="J752" s="26"/>
      <c r="K752" s="29" t="str">
        <f aca="false">IF($A752="","",IF(COUNTIFS(tblMoveTypes[Movement],$E752)=0,"Unknown movement type",IF(COUNTIF(tblShipment[Shipment ID],$C752)=0,"Unknown shipment",IF(COUNTIFS(tblShipment[Shipment ID],$C752,tblShipment[Market],$B752)=0,"Market does not match shipment",IF(AND(IFERROR(INDEX(tblMoveTypes[Item?],MATCH($E752,tblMoveTypes[Movement],0)),"?")="Yes",$D752=""),"Item needed",IF(AND(IFERROR(INDEX(tblMoveTypes[Item?],MATCH($E752,tblMoveTypes[Movement],0)),"?")="No",$D752&lt;&gt;""),"Leave Item blank",IF(AND(IFERROR(INDEX(tblMoveTypes[Courier?],MATCH($E752,tblMoveTypes[Movement],0)),"?")="Yes",$H752=""),"Courier needed",IF(AND(IFERROR(INDEX(tblMoveTypes[Courier?],MATCH($E752,tblMoveTypes[Movement],0)),"?")="No",$H752&lt;&gt;""),"Leave Courier blank",IF(AND(IFERROR(INDEX(tblMoveTypes[Orders?],MATCH($E752,tblMoveTypes[Movement],0)),"?")="Yes",$G752=""),"Orders needed",IF(AND(IFERROR(INDEX(tblMoveTypes[Orders?],MATCH($E752,tblMoveTypes[Movement],0)),"?")="No",$G752&lt;&gt;""),"Leave Orders blank",IF(AND(IFERROR(INDEX(tblMoveTypes[Reason?],MATCH($E752,tblMoveTypes[Movement],0)),"?")="Yes",$I752=""),"Reason needed",IF(AND(IFERROR(INDEX(tblMoveTypes[Qty?],MATCH($E752,tblMoveTypes[Movement],0)),"?")="Yes",N($F752)&lt;=0),"Qty needed",IF($A752&lt;_xlfn.MINIFS(tblShipment[Arrival Date],tblShipment[Shipment ID],$C752),"Date before arrival",IF(AND($D752&lt;&gt;"",COUNTIFS(tblShipment[Shipment ID],$C752,tblShipment[Item Code],$D752)=0),"Item not in this shipment",IF(AND($H752&lt;&gt;"",COUNTIFS(tblCouriers[Courier],$H752,tblCouriers[Market],$B752)=0),"Courier not in this market","OK")))))))))))))))</f>
        <v>OK</v>
      </c>
    </row>
    <row r="753" customFormat="false" ht="15" hidden="false" customHeight="false" outlineLevel="0" collapsed="false">
      <c r="A753" s="27" t="n">
        <v>46245</v>
      </c>
      <c r="B753" s="26" t="s">
        <v>70</v>
      </c>
      <c r="C753" s="26" t="s">
        <v>128</v>
      </c>
      <c r="D753" s="26"/>
      <c r="E753" s="26" t="s">
        <v>106</v>
      </c>
      <c r="F753" s="28" t="n">
        <v>47</v>
      </c>
      <c r="G753" s="28" t="n">
        <v>7</v>
      </c>
      <c r="H753" s="26" t="s">
        <v>71</v>
      </c>
      <c r="I753" s="26"/>
      <c r="J753" s="26"/>
      <c r="K753" s="29" t="str">
        <f aca="false">IF($A753="","",IF(COUNTIFS(tblMoveTypes[Movement],$E753)=0,"Unknown movement type",IF(COUNTIF(tblShipment[Shipment ID],$C753)=0,"Unknown shipment",IF(COUNTIFS(tblShipment[Shipment ID],$C753,tblShipment[Market],$B753)=0,"Market does not match shipment",IF(AND(IFERROR(INDEX(tblMoveTypes[Item?],MATCH($E753,tblMoveTypes[Movement],0)),"?")="Yes",$D753=""),"Item needed",IF(AND(IFERROR(INDEX(tblMoveTypes[Item?],MATCH($E753,tblMoveTypes[Movement],0)),"?")="No",$D753&lt;&gt;""),"Leave Item blank",IF(AND(IFERROR(INDEX(tblMoveTypes[Courier?],MATCH($E753,tblMoveTypes[Movement],0)),"?")="Yes",$H753=""),"Courier needed",IF(AND(IFERROR(INDEX(tblMoveTypes[Courier?],MATCH($E753,tblMoveTypes[Movement],0)),"?")="No",$H753&lt;&gt;""),"Leave Courier blank",IF(AND(IFERROR(INDEX(tblMoveTypes[Orders?],MATCH($E753,tblMoveTypes[Movement],0)),"?")="Yes",$G753=""),"Orders needed",IF(AND(IFERROR(INDEX(tblMoveTypes[Orders?],MATCH($E753,tblMoveTypes[Movement],0)),"?")="No",$G753&lt;&gt;""),"Leave Orders blank",IF(AND(IFERROR(INDEX(tblMoveTypes[Reason?],MATCH($E753,tblMoveTypes[Movement],0)),"?")="Yes",$I753=""),"Reason needed",IF(AND(IFERROR(INDEX(tblMoveTypes[Qty?],MATCH($E753,tblMoveTypes[Movement],0)),"?")="Yes",N($F753)&lt;=0),"Qty needed",IF($A753&lt;_xlfn.MINIFS(tblShipment[Arrival Date],tblShipment[Shipment ID],$C753),"Date before arrival",IF(AND($D753&lt;&gt;"",COUNTIFS(tblShipment[Shipment ID],$C753,tblShipment[Item Code],$D753)=0),"Item not in this shipment",IF(AND($H753&lt;&gt;"",COUNTIFS(tblCouriers[Courier],$H753,tblCouriers[Market],$B753)=0),"Courier not in this market","OK")))))))))))))))</f>
        <v>OK</v>
      </c>
    </row>
    <row r="754" customFormat="false" ht="15" hidden="false" customHeight="false" outlineLevel="0" collapsed="false">
      <c r="A754" s="27" t="n">
        <v>46245</v>
      </c>
      <c r="B754" s="26" t="s">
        <v>70</v>
      </c>
      <c r="C754" s="26" t="s">
        <v>128</v>
      </c>
      <c r="D754" s="26"/>
      <c r="E754" s="26" t="s">
        <v>108</v>
      </c>
      <c r="F754" s="28" t="n">
        <v>9</v>
      </c>
      <c r="G754" s="28" t="n">
        <v>1</v>
      </c>
      <c r="H754" s="26" t="s">
        <v>71</v>
      </c>
      <c r="I754" s="26" t="s">
        <v>111</v>
      </c>
      <c r="J754" s="26"/>
      <c r="K754" s="29" t="str">
        <f aca="false">IF($A754="","",IF(COUNTIFS(tblMoveTypes[Movement],$E754)=0,"Unknown movement type",IF(COUNTIF(tblShipment[Shipment ID],$C754)=0,"Unknown shipment",IF(COUNTIFS(tblShipment[Shipment ID],$C754,tblShipment[Market],$B754)=0,"Market does not match shipment",IF(AND(IFERROR(INDEX(tblMoveTypes[Item?],MATCH($E754,tblMoveTypes[Movement],0)),"?")="Yes",$D754=""),"Item needed",IF(AND(IFERROR(INDEX(tblMoveTypes[Item?],MATCH($E754,tblMoveTypes[Movement],0)),"?")="No",$D754&lt;&gt;""),"Leave Item blank",IF(AND(IFERROR(INDEX(tblMoveTypes[Courier?],MATCH($E754,tblMoveTypes[Movement],0)),"?")="Yes",$H754=""),"Courier needed",IF(AND(IFERROR(INDEX(tblMoveTypes[Courier?],MATCH($E754,tblMoveTypes[Movement],0)),"?")="No",$H754&lt;&gt;""),"Leave Courier blank",IF(AND(IFERROR(INDEX(tblMoveTypes[Orders?],MATCH($E754,tblMoveTypes[Movement],0)),"?")="Yes",$G754=""),"Orders needed",IF(AND(IFERROR(INDEX(tblMoveTypes[Orders?],MATCH($E754,tblMoveTypes[Movement],0)),"?")="No",$G754&lt;&gt;""),"Leave Orders blank",IF(AND(IFERROR(INDEX(tblMoveTypes[Reason?],MATCH($E754,tblMoveTypes[Movement],0)),"?")="Yes",$I754=""),"Reason needed",IF(AND(IFERROR(INDEX(tblMoveTypes[Qty?],MATCH($E754,tblMoveTypes[Movement],0)),"?")="Yes",N($F754)&lt;=0),"Qty needed",IF($A754&lt;_xlfn.MINIFS(tblShipment[Arrival Date],tblShipment[Shipment ID],$C754),"Date before arrival",IF(AND($D754&lt;&gt;"",COUNTIFS(tblShipment[Shipment ID],$C754,tblShipment[Item Code],$D754)=0),"Item not in this shipment",IF(AND($H754&lt;&gt;"",COUNTIFS(tblCouriers[Courier],$H754,tblCouriers[Market],$B754)=0),"Courier not in this market","OK")))))))))))))))</f>
        <v>OK</v>
      </c>
    </row>
    <row r="755" customFormat="false" ht="15" hidden="false" customHeight="false" outlineLevel="0" collapsed="false">
      <c r="A755" s="27" t="n">
        <v>46245</v>
      </c>
      <c r="B755" s="26" t="s">
        <v>70</v>
      </c>
      <c r="C755" s="26" t="s">
        <v>128</v>
      </c>
      <c r="D755" s="26" t="s">
        <v>76</v>
      </c>
      <c r="E755" s="26" t="s">
        <v>110</v>
      </c>
      <c r="F755" s="28" t="n">
        <v>6</v>
      </c>
      <c r="G755" s="28"/>
      <c r="H755" s="26"/>
      <c r="I755" s="26"/>
      <c r="J755" s="26"/>
      <c r="K755" s="29" t="str">
        <f aca="false">IF($A755="","",IF(COUNTIFS(tblMoveTypes[Movement],$E755)=0,"Unknown movement type",IF(COUNTIF(tblShipment[Shipment ID],$C755)=0,"Unknown shipment",IF(COUNTIFS(tblShipment[Shipment ID],$C755,tblShipment[Market],$B755)=0,"Market does not match shipment",IF(AND(IFERROR(INDEX(tblMoveTypes[Item?],MATCH($E755,tblMoveTypes[Movement],0)),"?")="Yes",$D755=""),"Item needed",IF(AND(IFERROR(INDEX(tblMoveTypes[Item?],MATCH($E755,tblMoveTypes[Movement],0)),"?")="No",$D755&lt;&gt;""),"Leave Item blank",IF(AND(IFERROR(INDEX(tblMoveTypes[Courier?],MATCH($E755,tblMoveTypes[Movement],0)),"?")="Yes",$H755=""),"Courier needed",IF(AND(IFERROR(INDEX(tblMoveTypes[Courier?],MATCH($E755,tblMoveTypes[Movement],0)),"?")="No",$H755&lt;&gt;""),"Leave Courier blank",IF(AND(IFERROR(INDEX(tblMoveTypes[Orders?],MATCH($E755,tblMoveTypes[Movement],0)),"?")="Yes",$G755=""),"Orders needed",IF(AND(IFERROR(INDEX(tblMoveTypes[Orders?],MATCH($E755,tblMoveTypes[Movement],0)),"?")="No",$G755&lt;&gt;""),"Leave Orders blank",IF(AND(IFERROR(INDEX(tblMoveTypes[Reason?],MATCH($E755,tblMoveTypes[Movement],0)),"?")="Yes",$I755=""),"Reason needed",IF(AND(IFERROR(INDEX(tblMoveTypes[Qty?],MATCH($E755,tblMoveTypes[Movement],0)),"?")="Yes",N($F755)&lt;=0),"Qty needed",IF($A755&lt;_xlfn.MINIFS(tblShipment[Arrival Date],tblShipment[Shipment ID],$C755),"Date before arrival",IF(AND($D755&lt;&gt;"",COUNTIFS(tblShipment[Shipment ID],$C755,tblShipment[Item Code],$D755)=0),"Item not in this shipment",IF(AND($H755&lt;&gt;"",COUNTIFS(tblCouriers[Courier],$H755,tblCouriers[Market],$B755)=0),"Courier not in this market","OK")))))))))))))))</f>
        <v>OK</v>
      </c>
    </row>
    <row r="756" customFormat="false" ht="15" hidden="false" customHeight="false" outlineLevel="0" collapsed="false">
      <c r="A756" s="27" t="n">
        <v>46245</v>
      </c>
      <c r="B756" s="26" t="s">
        <v>70</v>
      </c>
      <c r="C756" s="26" t="s">
        <v>128</v>
      </c>
      <c r="D756" s="26" t="s">
        <v>76</v>
      </c>
      <c r="E756" s="26" t="s">
        <v>112</v>
      </c>
      <c r="F756" s="28" t="n">
        <v>3</v>
      </c>
      <c r="G756" s="28"/>
      <c r="H756" s="26"/>
      <c r="I756" s="26" t="s">
        <v>72</v>
      </c>
      <c r="J756" s="26"/>
      <c r="K756" s="29" t="str">
        <f aca="false">IF($A756="","",IF(COUNTIFS(tblMoveTypes[Movement],$E756)=0,"Unknown movement type",IF(COUNTIF(tblShipment[Shipment ID],$C756)=0,"Unknown shipment",IF(COUNTIFS(tblShipment[Shipment ID],$C756,tblShipment[Market],$B756)=0,"Market does not match shipment",IF(AND(IFERROR(INDEX(tblMoveTypes[Item?],MATCH($E756,tblMoveTypes[Movement],0)),"?")="Yes",$D756=""),"Item needed",IF(AND(IFERROR(INDEX(tblMoveTypes[Item?],MATCH($E756,tblMoveTypes[Movement],0)),"?")="No",$D756&lt;&gt;""),"Leave Item blank",IF(AND(IFERROR(INDEX(tblMoveTypes[Courier?],MATCH($E756,tblMoveTypes[Movement],0)),"?")="Yes",$H756=""),"Courier needed",IF(AND(IFERROR(INDEX(tblMoveTypes[Courier?],MATCH($E756,tblMoveTypes[Movement],0)),"?")="No",$H756&lt;&gt;""),"Leave Courier blank",IF(AND(IFERROR(INDEX(tblMoveTypes[Orders?],MATCH($E756,tblMoveTypes[Movement],0)),"?")="Yes",$G756=""),"Orders needed",IF(AND(IFERROR(INDEX(tblMoveTypes[Orders?],MATCH($E756,tblMoveTypes[Movement],0)),"?")="No",$G756&lt;&gt;""),"Leave Orders blank",IF(AND(IFERROR(INDEX(tblMoveTypes[Reason?],MATCH($E756,tblMoveTypes[Movement],0)),"?")="Yes",$I756=""),"Reason needed",IF(AND(IFERROR(INDEX(tblMoveTypes[Qty?],MATCH($E756,tblMoveTypes[Movement],0)),"?")="Yes",N($F756)&lt;=0),"Qty needed",IF($A756&lt;_xlfn.MINIFS(tblShipment[Arrival Date],tblShipment[Shipment ID],$C756),"Date before arrival",IF(AND($D756&lt;&gt;"",COUNTIFS(tblShipment[Shipment ID],$C756,tblShipment[Item Code],$D756)=0),"Item not in this shipment",IF(AND($H756&lt;&gt;"",COUNTIFS(tblCouriers[Courier],$H756,tblCouriers[Market],$B756)=0),"Courier not in this market","OK")))))))))))))))</f>
        <v>OK</v>
      </c>
    </row>
    <row r="757" customFormat="false" ht="15" hidden="false" customHeight="false" outlineLevel="0" collapsed="false">
      <c r="A757" s="27" t="n">
        <v>46245</v>
      </c>
      <c r="B757" s="26" t="s">
        <v>70</v>
      </c>
      <c r="C757" s="26" t="s">
        <v>128</v>
      </c>
      <c r="D757" s="26"/>
      <c r="E757" s="26" t="s">
        <v>106</v>
      </c>
      <c r="F757" s="28" t="n">
        <v>6</v>
      </c>
      <c r="G757" s="28" t="n">
        <v>1</v>
      </c>
      <c r="H757" s="26" t="s">
        <v>71</v>
      </c>
      <c r="I757" s="26"/>
      <c r="J757" s="26"/>
      <c r="K757" s="29" t="str">
        <f aca="false">IF($A757="","",IF(COUNTIFS(tblMoveTypes[Movement],$E757)=0,"Unknown movement type",IF(COUNTIF(tblShipment[Shipment ID],$C757)=0,"Unknown shipment",IF(COUNTIFS(tblShipment[Shipment ID],$C757,tblShipment[Market],$B757)=0,"Market does not match shipment",IF(AND(IFERROR(INDEX(tblMoveTypes[Item?],MATCH($E757,tblMoveTypes[Movement],0)),"?")="Yes",$D757=""),"Item needed",IF(AND(IFERROR(INDEX(tblMoveTypes[Item?],MATCH($E757,tblMoveTypes[Movement],0)),"?")="No",$D757&lt;&gt;""),"Leave Item blank",IF(AND(IFERROR(INDEX(tblMoveTypes[Courier?],MATCH($E757,tblMoveTypes[Movement],0)),"?")="Yes",$H757=""),"Courier needed",IF(AND(IFERROR(INDEX(tblMoveTypes[Courier?],MATCH($E757,tblMoveTypes[Movement],0)),"?")="No",$H757&lt;&gt;""),"Leave Courier blank",IF(AND(IFERROR(INDEX(tblMoveTypes[Orders?],MATCH($E757,tblMoveTypes[Movement],0)),"?")="Yes",$G757=""),"Orders needed",IF(AND(IFERROR(INDEX(tblMoveTypes[Orders?],MATCH($E757,tblMoveTypes[Movement],0)),"?")="No",$G757&lt;&gt;""),"Leave Orders blank",IF(AND(IFERROR(INDEX(tblMoveTypes[Reason?],MATCH($E757,tblMoveTypes[Movement],0)),"?")="Yes",$I757=""),"Reason needed",IF(AND(IFERROR(INDEX(tblMoveTypes[Qty?],MATCH($E757,tblMoveTypes[Movement],0)),"?")="Yes",N($F757)&lt;=0),"Qty needed",IF($A757&lt;_xlfn.MINIFS(tblShipment[Arrival Date],tblShipment[Shipment ID],$C757),"Date before arrival",IF(AND($D757&lt;&gt;"",COUNTIFS(tblShipment[Shipment ID],$C757,tblShipment[Item Code],$D757)=0),"Item not in this shipment",IF(AND($H757&lt;&gt;"",COUNTIFS(tblCouriers[Courier],$H757,tblCouriers[Market],$B757)=0),"Courier not in this market","OK")))))))))))))))</f>
        <v>OK</v>
      </c>
    </row>
    <row r="758" customFormat="false" ht="15" hidden="false" customHeight="false" outlineLevel="0" collapsed="false">
      <c r="A758" s="27" t="n">
        <v>46245</v>
      </c>
      <c r="B758" s="26" t="s">
        <v>85</v>
      </c>
      <c r="C758" s="26" t="s">
        <v>144</v>
      </c>
      <c r="D758" s="26"/>
      <c r="E758" s="26" t="s">
        <v>106</v>
      </c>
      <c r="F758" s="28" t="n">
        <v>28</v>
      </c>
      <c r="G758" s="28" t="n">
        <v>4</v>
      </c>
      <c r="H758" s="26" t="s">
        <v>91</v>
      </c>
      <c r="I758" s="26"/>
      <c r="J758" s="26"/>
      <c r="K758" s="29" t="str">
        <f aca="false">IF($A758="","",IF(COUNTIFS(tblMoveTypes[Movement],$E758)=0,"Unknown movement type",IF(COUNTIF(tblShipment[Shipment ID],$C758)=0,"Unknown shipment",IF(COUNTIFS(tblShipment[Shipment ID],$C758,tblShipment[Market],$B758)=0,"Market does not match shipment",IF(AND(IFERROR(INDEX(tblMoveTypes[Item?],MATCH($E758,tblMoveTypes[Movement],0)),"?")="Yes",$D758=""),"Item needed",IF(AND(IFERROR(INDEX(tblMoveTypes[Item?],MATCH($E758,tblMoveTypes[Movement],0)),"?")="No",$D758&lt;&gt;""),"Leave Item blank",IF(AND(IFERROR(INDEX(tblMoveTypes[Courier?],MATCH($E758,tblMoveTypes[Movement],0)),"?")="Yes",$H758=""),"Courier needed",IF(AND(IFERROR(INDEX(tblMoveTypes[Courier?],MATCH($E758,tblMoveTypes[Movement],0)),"?")="No",$H758&lt;&gt;""),"Leave Courier blank",IF(AND(IFERROR(INDEX(tblMoveTypes[Orders?],MATCH($E758,tblMoveTypes[Movement],0)),"?")="Yes",$G758=""),"Orders needed",IF(AND(IFERROR(INDEX(tblMoveTypes[Orders?],MATCH($E758,tblMoveTypes[Movement],0)),"?")="No",$G758&lt;&gt;""),"Leave Orders blank",IF(AND(IFERROR(INDEX(tblMoveTypes[Reason?],MATCH($E758,tblMoveTypes[Movement],0)),"?")="Yes",$I758=""),"Reason needed",IF(AND(IFERROR(INDEX(tblMoveTypes[Qty?],MATCH($E758,tblMoveTypes[Movement],0)),"?")="Yes",N($F758)&lt;=0),"Qty needed",IF($A758&lt;_xlfn.MINIFS(tblShipment[Arrival Date],tblShipment[Shipment ID],$C758),"Date before arrival",IF(AND($D758&lt;&gt;"",COUNTIFS(tblShipment[Shipment ID],$C758,tblShipment[Item Code],$D758)=0),"Item not in this shipment",IF(AND($H758&lt;&gt;"",COUNTIFS(tblCouriers[Courier],$H758,tblCouriers[Market],$B758)=0),"Courier not in this market","OK")))))))))))))))</f>
        <v>OK</v>
      </c>
    </row>
    <row r="759" customFormat="false" ht="15" hidden="false" customHeight="false" outlineLevel="0" collapsed="false">
      <c r="A759" s="27" t="n">
        <v>46245</v>
      </c>
      <c r="B759" s="26" t="s">
        <v>85</v>
      </c>
      <c r="C759" s="26" t="s">
        <v>144</v>
      </c>
      <c r="D759" s="26"/>
      <c r="E759" s="26" t="s">
        <v>106</v>
      </c>
      <c r="F759" s="28" t="n">
        <v>25</v>
      </c>
      <c r="G759" s="28" t="n">
        <v>4</v>
      </c>
      <c r="H759" s="26" t="s">
        <v>96</v>
      </c>
      <c r="I759" s="26"/>
      <c r="J759" s="26"/>
      <c r="K759" s="29" t="str">
        <f aca="false">IF($A759="","",IF(COUNTIFS(tblMoveTypes[Movement],$E759)=0,"Unknown movement type",IF(COUNTIF(tblShipment[Shipment ID],$C759)=0,"Unknown shipment",IF(COUNTIFS(tblShipment[Shipment ID],$C759,tblShipment[Market],$B759)=0,"Market does not match shipment",IF(AND(IFERROR(INDEX(tblMoveTypes[Item?],MATCH($E759,tblMoveTypes[Movement],0)),"?")="Yes",$D759=""),"Item needed",IF(AND(IFERROR(INDEX(tblMoveTypes[Item?],MATCH($E759,tblMoveTypes[Movement],0)),"?")="No",$D759&lt;&gt;""),"Leave Item blank",IF(AND(IFERROR(INDEX(tblMoveTypes[Courier?],MATCH($E759,tblMoveTypes[Movement],0)),"?")="Yes",$H759=""),"Courier needed",IF(AND(IFERROR(INDEX(tblMoveTypes[Courier?],MATCH($E759,tblMoveTypes[Movement],0)),"?")="No",$H759&lt;&gt;""),"Leave Courier blank",IF(AND(IFERROR(INDEX(tblMoveTypes[Orders?],MATCH($E759,tblMoveTypes[Movement],0)),"?")="Yes",$G759=""),"Orders needed",IF(AND(IFERROR(INDEX(tblMoveTypes[Orders?],MATCH($E759,tblMoveTypes[Movement],0)),"?")="No",$G759&lt;&gt;""),"Leave Orders blank",IF(AND(IFERROR(INDEX(tblMoveTypes[Reason?],MATCH($E759,tblMoveTypes[Movement],0)),"?")="Yes",$I759=""),"Reason needed",IF(AND(IFERROR(INDEX(tblMoveTypes[Qty?],MATCH($E759,tblMoveTypes[Movement],0)),"?")="Yes",N($F759)&lt;=0),"Qty needed",IF($A759&lt;_xlfn.MINIFS(tblShipment[Arrival Date],tblShipment[Shipment ID],$C759),"Date before arrival",IF(AND($D759&lt;&gt;"",COUNTIFS(tblShipment[Shipment ID],$C759,tblShipment[Item Code],$D759)=0),"Item not in this shipment",IF(AND($H759&lt;&gt;"",COUNTIFS(tblCouriers[Courier],$H759,tblCouriers[Market],$B759)=0),"Courier not in this market","OK")))))))))))))))</f>
        <v>OK</v>
      </c>
    </row>
    <row r="760" customFormat="false" ht="15" hidden="false" customHeight="false" outlineLevel="0" collapsed="false">
      <c r="A760" s="27" t="n">
        <v>46245</v>
      </c>
      <c r="B760" s="26" t="s">
        <v>85</v>
      </c>
      <c r="C760" s="26" t="s">
        <v>144</v>
      </c>
      <c r="D760" s="26"/>
      <c r="E760" s="26" t="s">
        <v>106</v>
      </c>
      <c r="F760" s="28" t="n">
        <v>5</v>
      </c>
      <c r="G760" s="28" t="n">
        <v>1</v>
      </c>
      <c r="H760" s="26" t="s">
        <v>91</v>
      </c>
      <c r="I760" s="26"/>
      <c r="J760" s="26"/>
      <c r="K760" s="29" t="str">
        <f aca="false">IF($A760="","",IF(COUNTIFS(tblMoveTypes[Movement],$E760)=0,"Unknown movement type",IF(COUNTIF(tblShipment[Shipment ID],$C760)=0,"Unknown shipment",IF(COUNTIFS(tblShipment[Shipment ID],$C760,tblShipment[Market],$B760)=0,"Market does not match shipment",IF(AND(IFERROR(INDEX(tblMoveTypes[Item?],MATCH($E760,tblMoveTypes[Movement],0)),"?")="Yes",$D760=""),"Item needed",IF(AND(IFERROR(INDEX(tblMoveTypes[Item?],MATCH($E760,tblMoveTypes[Movement],0)),"?")="No",$D760&lt;&gt;""),"Leave Item blank",IF(AND(IFERROR(INDEX(tblMoveTypes[Courier?],MATCH($E760,tblMoveTypes[Movement],0)),"?")="Yes",$H760=""),"Courier needed",IF(AND(IFERROR(INDEX(tblMoveTypes[Courier?],MATCH($E760,tblMoveTypes[Movement],0)),"?")="No",$H760&lt;&gt;""),"Leave Courier blank",IF(AND(IFERROR(INDEX(tblMoveTypes[Orders?],MATCH($E760,tblMoveTypes[Movement],0)),"?")="Yes",$G760=""),"Orders needed",IF(AND(IFERROR(INDEX(tblMoveTypes[Orders?],MATCH($E760,tblMoveTypes[Movement],0)),"?")="No",$G760&lt;&gt;""),"Leave Orders blank",IF(AND(IFERROR(INDEX(tblMoveTypes[Reason?],MATCH($E760,tblMoveTypes[Movement],0)),"?")="Yes",$I760=""),"Reason needed",IF(AND(IFERROR(INDEX(tblMoveTypes[Qty?],MATCH($E760,tblMoveTypes[Movement],0)),"?")="Yes",N($F760)&lt;=0),"Qty needed",IF($A760&lt;_xlfn.MINIFS(tblShipment[Arrival Date],tblShipment[Shipment ID],$C760),"Date before arrival",IF(AND($D760&lt;&gt;"",COUNTIFS(tblShipment[Shipment ID],$C760,tblShipment[Item Code],$D760)=0),"Item not in this shipment",IF(AND($H760&lt;&gt;"",COUNTIFS(tblCouriers[Courier],$H760,tblCouriers[Market],$B760)=0),"Courier not in this market","OK")))))))))))))))</f>
        <v>OK</v>
      </c>
    </row>
    <row r="761" customFormat="false" ht="15" hidden="false" customHeight="false" outlineLevel="0" collapsed="false">
      <c r="A761" s="27" t="n">
        <v>46245</v>
      </c>
      <c r="B761" s="26" t="s">
        <v>85</v>
      </c>
      <c r="C761" s="26" t="s">
        <v>145</v>
      </c>
      <c r="D761" s="26"/>
      <c r="E761" s="26" t="s">
        <v>106</v>
      </c>
      <c r="F761" s="28" t="n">
        <v>26</v>
      </c>
      <c r="G761" s="28" t="n">
        <v>5</v>
      </c>
      <c r="H761" s="26" t="s">
        <v>91</v>
      </c>
      <c r="I761" s="26"/>
      <c r="J761" s="26"/>
      <c r="K761" s="29" t="str">
        <f aca="false">IF($A761="","",IF(COUNTIFS(tblMoveTypes[Movement],$E761)=0,"Unknown movement type",IF(COUNTIF(tblShipment[Shipment ID],$C761)=0,"Unknown shipment",IF(COUNTIFS(tblShipment[Shipment ID],$C761,tblShipment[Market],$B761)=0,"Market does not match shipment",IF(AND(IFERROR(INDEX(tblMoveTypes[Item?],MATCH($E761,tblMoveTypes[Movement],0)),"?")="Yes",$D761=""),"Item needed",IF(AND(IFERROR(INDEX(tblMoveTypes[Item?],MATCH($E761,tblMoveTypes[Movement],0)),"?")="No",$D761&lt;&gt;""),"Leave Item blank",IF(AND(IFERROR(INDEX(tblMoveTypes[Courier?],MATCH($E761,tblMoveTypes[Movement],0)),"?")="Yes",$H761=""),"Courier needed",IF(AND(IFERROR(INDEX(tblMoveTypes[Courier?],MATCH($E761,tblMoveTypes[Movement],0)),"?")="No",$H761&lt;&gt;""),"Leave Courier blank",IF(AND(IFERROR(INDEX(tblMoveTypes[Orders?],MATCH($E761,tblMoveTypes[Movement],0)),"?")="Yes",$G761=""),"Orders needed",IF(AND(IFERROR(INDEX(tblMoveTypes[Orders?],MATCH($E761,tblMoveTypes[Movement],0)),"?")="No",$G761&lt;&gt;""),"Leave Orders blank",IF(AND(IFERROR(INDEX(tblMoveTypes[Reason?],MATCH($E761,tblMoveTypes[Movement],0)),"?")="Yes",$I761=""),"Reason needed",IF(AND(IFERROR(INDEX(tblMoveTypes[Qty?],MATCH($E761,tblMoveTypes[Movement],0)),"?")="Yes",N($F761)&lt;=0),"Qty needed",IF($A761&lt;_xlfn.MINIFS(tblShipment[Arrival Date],tblShipment[Shipment ID],$C761),"Date before arrival",IF(AND($D761&lt;&gt;"",COUNTIFS(tblShipment[Shipment ID],$C761,tblShipment[Item Code],$D761)=0),"Item not in this shipment",IF(AND($H761&lt;&gt;"",COUNTIFS(tblCouriers[Courier],$H761,tblCouriers[Market],$B761)=0),"Courier not in this market","OK")))))))))))))))</f>
        <v>OK</v>
      </c>
    </row>
    <row r="762" customFormat="false" ht="15" hidden="false" customHeight="false" outlineLevel="0" collapsed="false">
      <c r="A762" s="27" t="n">
        <v>46245</v>
      </c>
      <c r="B762" s="26" t="s">
        <v>85</v>
      </c>
      <c r="C762" s="26" t="s">
        <v>145</v>
      </c>
      <c r="D762" s="26"/>
      <c r="E762" s="26" t="s">
        <v>106</v>
      </c>
      <c r="F762" s="28" t="n">
        <v>10</v>
      </c>
      <c r="G762" s="28" t="n">
        <v>2</v>
      </c>
      <c r="H762" s="26" t="s">
        <v>96</v>
      </c>
      <c r="I762" s="26"/>
      <c r="J762" s="26"/>
      <c r="K762" s="29" t="str">
        <f aca="false">IF($A762="","",IF(COUNTIFS(tblMoveTypes[Movement],$E762)=0,"Unknown movement type",IF(COUNTIF(tblShipment[Shipment ID],$C762)=0,"Unknown shipment",IF(COUNTIFS(tblShipment[Shipment ID],$C762,tblShipment[Market],$B762)=0,"Market does not match shipment",IF(AND(IFERROR(INDEX(tblMoveTypes[Item?],MATCH($E762,tblMoveTypes[Movement],0)),"?")="Yes",$D762=""),"Item needed",IF(AND(IFERROR(INDEX(tblMoveTypes[Item?],MATCH($E762,tblMoveTypes[Movement],0)),"?")="No",$D762&lt;&gt;""),"Leave Item blank",IF(AND(IFERROR(INDEX(tblMoveTypes[Courier?],MATCH($E762,tblMoveTypes[Movement],0)),"?")="Yes",$H762=""),"Courier needed",IF(AND(IFERROR(INDEX(tblMoveTypes[Courier?],MATCH($E762,tblMoveTypes[Movement],0)),"?")="No",$H762&lt;&gt;""),"Leave Courier blank",IF(AND(IFERROR(INDEX(tblMoveTypes[Orders?],MATCH($E762,tblMoveTypes[Movement],0)),"?")="Yes",$G762=""),"Orders needed",IF(AND(IFERROR(INDEX(tblMoveTypes[Orders?],MATCH($E762,tblMoveTypes[Movement],0)),"?")="No",$G762&lt;&gt;""),"Leave Orders blank",IF(AND(IFERROR(INDEX(tblMoveTypes[Reason?],MATCH($E762,tblMoveTypes[Movement],0)),"?")="Yes",$I762=""),"Reason needed",IF(AND(IFERROR(INDEX(tblMoveTypes[Qty?],MATCH($E762,tblMoveTypes[Movement],0)),"?")="Yes",N($F762)&lt;=0),"Qty needed",IF($A762&lt;_xlfn.MINIFS(tblShipment[Arrival Date],tblShipment[Shipment ID],$C762),"Date before arrival",IF(AND($D762&lt;&gt;"",COUNTIFS(tblShipment[Shipment ID],$C762,tblShipment[Item Code],$D762)=0),"Item not in this shipment",IF(AND($H762&lt;&gt;"",COUNTIFS(tblCouriers[Courier],$H762,tblCouriers[Market],$B762)=0),"Courier not in this market","OK")))))))))))))))</f>
        <v>OK</v>
      </c>
    </row>
    <row r="763" customFormat="false" ht="15" hidden="false" customHeight="false" outlineLevel="0" collapsed="false">
      <c r="A763" s="27" t="n">
        <v>46245</v>
      </c>
      <c r="B763" s="26" t="s">
        <v>90</v>
      </c>
      <c r="C763" s="26" t="s">
        <v>152</v>
      </c>
      <c r="D763" s="26"/>
      <c r="E763" s="26" t="s">
        <v>108</v>
      </c>
      <c r="F763" s="28" t="n">
        <v>8</v>
      </c>
      <c r="G763" s="28" t="n">
        <v>1</v>
      </c>
      <c r="H763" s="26" t="s">
        <v>101</v>
      </c>
      <c r="I763" s="26" t="s">
        <v>107</v>
      </c>
      <c r="J763" s="26"/>
      <c r="K763" s="29" t="str">
        <f aca="false">IF($A763="","",IF(COUNTIFS(tblMoveTypes[Movement],$E763)=0,"Unknown movement type",IF(COUNTIF(tblShipment[Shipment ID],$C763)=0,"Unknown shipment",IF(COUNTIFS(tblShipment[Shipment ID],$C763,tblShipment[Market],$B763)=0,"Market does not match shipment",IF(AND(IFERROR(INDEX(tblMoveTypes[Item?],MATCH($E763,tblMoveTypes[Movement],0)),"?")="Yes",$D763=""),"Item needed",IF(AND(IFERROR(INDEX(tblMoveTypes[Item?],MATCH($E763,tblMoveTypes[Movement],0)),"?")="No",$D763&lt;&gt;""),"Leave Item blank",IF(AND(IFERROR(INDEX(tblMoveTypes[Courier?],MATCH($E763,tblMoveTypes[Movement],0)),"?")="Yes",$H763=""),"Courier needed",IF(AND(IFERROR(INDEX(tblMoveTypes[Courier?],MATCH($E763,tblMoveTypes[Movement],0)),"?")="No",$H763&lt;&gt;""),"Leave Courier blank",IF(AND(IFERROR(INDEX(tblMoveTypes[Orders?],MATCH($E763,tblMoveTypes[Movement],0)),"?")="Yes",$G763=""),"Orders needed",IF(AND(IFERROR(INDEX(tblMoveTypes[Orders?],MATCH($E763,tblMoveTypes[Movement],0)),"?")="No",$G763&lt;&gt;""),"Leave Orders blank",IF(AND(IFERROR(INDEX(tblMoveTypes[Reason?],MATCH($E763,tblMoveTypes[Movement],0)),"?")="Yes",$I763=""),"Reason needed",IF(AND(IFERROR(INDEX(tblMoveTypes[Qty?],MATCH($E763,tblMoveTypes[Movement],0)),"?")="Yes",N($F763)&lt;=0),"Qty needed",IF($A763&lt;_xlfn.MINIFS(tblShipment[Arrival Date],tblShipment[Shipment ID],$C763),"Date before arrival",IF(AND($D763&lt;&gt;"",COUNTIFS(tblShipment[Shipment ID],$C763,tblShipment[Item Code],$D763)=0),"Item not in this shipment",IF(AND($H763&lt;&gt;"",COUNTIFS(tblCouriers[Courier],$H763,tblCouriers[Market],$B763)=0),"Courier not in this market","OK")))))))))))))))</f>
        <v>OK</v>
      </c>
    </row>
    <row r="764" customFormat="false" ht="15" hidden="false" customHeight="false" outlineLevel="0" collapsed="false">
      <c r="A764" s="27" t="n">
        <v>46245</v>
      </c>
      <c r="B764" s="26" t="s">
        <v>90</v>
      </c>
      <c r="C764" s="26" t="s">
        <v>152</v>
      </c>
      <c r="D764" s="26" t="s">
        <v>67</v>
      </c>
      <c r="E764" s="26" t="s">
        <v>110</v>
      </c>
      <c r="F764" s="28" t="n">
        <v>6</v>
      </c>
      <c r="G764" s="28"/>
      <c r="H764" s="26"/>
      <c r="I764" s="26"/>
      <c r="J764" s="26"/>
      <c r="K764" s="29" t="str">
        <f aca="false">IF($A764="","",IF(COUNTIFS(tblMoveTypes[Movement],$E764)=0,"Unknown movement type",IF(COUNTIF(tblShipment[Shipment ID],$C764)=0,"Unknown shipment",IF(COUNTIFS(tblShipment[Shipment ID],$C764,tblShipment[Market],$B764)=0,"Market does not match shipment",IF(AND(IFERROR(INDEX(tblMoveTypes[Item?],MATCH($E764,tblMoveTypes[Movement],0)),"?")="Yes",$D764=""),"Item needed",IF(AND(IFERROR(INDEX(tblMoveTypes[Item?],MATCH($E764,tblMoveTypes[Movement],0)),"?")="No",$D764&lt;&gt;""),"Leave Item blank",IF(AND(IFERROR(INDEX(tblMoveTypes[Courier?],MATCH($E764,tblMoveTypes[Movement],0)),"?")="Yes",$H764=""),"Courier needed",IF(AND(IFERROR(INDEX(tblMoveTypes[Courier?],MATCH($E764,tblMoveTypes[Movement],0)),"?")="No",$H764&lt;&gt;""),"Leave Courier blank",IF(AND(IFERROR(INDEX(tblMoveTypes[Orders?],MATCH($E764,tblMoveTypes[Movement],0)),"?")="Yes",$G764=""),"Orders needed",IF(AND(IFERROR(INDEX(tblMoveTypes[Orders?],MATCH($E764,tblMoveTypes[Movement],0)),"?")="No",$G764&lt;&gt;""),"Leave Orders blank",IF(AND(IFERROR(INDEX(tblMoveTypes[Reason?],MATCH($E764,tblMoveTypes[Movement],0)),"?")="Yes",$I764=""),"Reason needed",IF(AND(IFERROR(INDEX(tblMoveTypes[Qty?],MATCH($E764,tblMoveTypes[Movement],0)),"?")="Yes",N($F764)&lt;=0),"Qty needed",IF($A764&lt;_xlfn.MINIFS(tblShipment[Arrival Date],tblShipment[Shipment ID],$C764),"Date before arrival",IF(AND($D764&lt;&gt;"",COUNTIFS(tblShipment[Shipment ID],$C764,tblShipment[Item Code],$D764)=0),"Item not in this shipment",IF(AND($H764&lt;&gt;"",COUNTIFS(tblCouriers[Courier],$H764,tblCouriers[Market],$B764)=0),"Courier not in this market","OK")))))))))))))))</f>
        <v>OK</v>
      </c>
    </row>
    <row r="765" customFormat="false" ht="15" hidden="false" customHeight="false" outlineLevel="0" collapsed="false">
      <c r="A765" s="27" t="n">
        <v>46245</v>
      </c>
      <c r="B765" s="26" t="s">
        <v>90</v>
      </c>
      <c r="C765" s="26" t="s">
        <v>152</v>
      </c>
      <c r="D765" s="26" t="s">
        <v>67</v>
      </c>
      <c r="E765" s="26" t="s">
        <v>112</v>
      </c>
      <c r="F765" s="28" t="n">
        <v>2</v>
      </c>
      <c r="G765" s="28"/>
      <c r="H765" s="26"/>
      <c r="I765" s="26" t="s">
        <v>72</v>
      </c>
      <c r="J765" s="26"/>
      <c r="K765" s="29" t="str">
        <f aca="false">IF($A765="","",IF(COUNTIFS(tblMoveTypes[Movement],$E765)=0,"Unknown movement type",IF(COUNTIF(tblShipment[Shipment ID],$C765)=0,"Unknown shipment",IF(COUNTIFS(tblShipment[Shipment ID],$C765,tblShipment[Market],$B765)=0,"Market does not match shipment",IF(AND(IFERROR(INDEX(tblMoveTypes[Item?],MATCH($E765,tblMoveTypes[Movement],0)),"?")="Yes",$D765=""),"Item needed",IF(AND(IFERROR(INDEX(tblMoveTypes[Item?],MATCH($E765,tblMoveTypes[Movement],0)),"?")="No",$D765&lt;&gt;""),"Leave Item blank",IF(AND(IFERROR(INDEX(tblMoveTypes[Courier?],MATCH($E765,tblMoveTypes[Movement],0)),"?")="Yes",$H765=""),"Courier needed",IF(AND(IFERROR(INDEX(tblMoveTypes[Courier?],MATCH($E765,tblMoveTypes[Movement],0)),"?")="No",$H765&lt;&gt;""),"Leave Courier blank",IF(AND(IFERROR(INDEX(tblMoveTypes[Orders?],MATCH($E765,tblMoveTypes[Movement],0)),"?")="Yes",$G765=""),"Orders needed",IF(AND(IFERROR(INDEX(tblMoveTypes[Orders?],MATCH($E765,tblMoveTypes[Movement],0)),"?")="No",$G765&lt;&gt;""),"Leave Orders blank",IF(AND(IFERROR(INDEX(tblMoveTypes[Reason?],MATCH($E765,tblMoveTypes[Movement],0)),"?")="Yes",$I765=""),"Reason needed",IF(AND(IFERROR(INDEX(tblMoveTypes[Qty?],MATCH($E765,tblMoveTypes[Movement],0)),"?")="Yes",N($F765)&lt;=0),"Qty needed",IF($A765&lt;_xlfn.MINIFS(tblShipment[Arrival Date],tblShipment[Shipment ID],$C765),"Date before arrival",IF(AND($D765&lt;&gt;"",COUNTIFS(tblShipment[Shipment ID],$C765,tblShipment[Item Code],$D765)=0),"Item not in this shipment",IF(AND($H765&lt;&gt;"",COUNTIFS(tblCouriers[Courier],$H765,tblCouriers[Market],$B765)=0),"Courier not in this market","OK")))))))))))))))</f>
        <v>OK</v>
      </c>
    </row>
    <row r="766" customFormat="false" ht="15" hidden="false" customHeight="false" outlineLevel="0" collapsed="false">
      <c r="A766" s="27" t="n">
        <v>46245</v>
      </c>
      <c r="B766" s="26" t="s">
        <v>78</v>
      </c>
      <c r="C766" s="26" t="s">
        <v>136</v>
      </c>
      <c r="D766" s="26"/>
      <c r="E766" s="26" t="s">
        <v>106</v>
      </c>
      <c r="F766" s="28" t="n">
        <v>1</v>
      </c>
      <c r="G766" s="28" t="n">
        <v>1</v>
      </c>
      <c r="H766" s="26" t="s">
        <v>79</v>
      </c>
      <c r="I766" s="26"/>
      <c r="J766" s="26"/>
      <c r="K766" s="29" t="str">
        <f aca="false">IF($A766="","",IF(COUNTIFS(tblMoveTypes[Movement],$E766)=0,"Unknown movement type",IF(COUNTIF(tblShipment[Shipment ID],$C766)=0,"Unknown shipment",IF(COUNTIFS(tblShipment[Shipment ID],$C766,tblShipment[Market],$B766)=0,"Market does not match shipment",IF(AND(IFERROR(INDEX(tblMoveTypes[Item?],MATCH($E766,tblMoveTypes[Movement],0)),"?")="Yes",$D766=""),"Item needed",IF(AND(IFERROR(INDEX(tblMoveTypes[Item?],MATCH($E766,tblMoveTypes[Movement],0)),"?")="No",$D766&lt;&gt;""),"Leave Item blank",IF(AND(IFERROR(INDEX(tblMoveTypes[Courier?],MATCH($E766,tblMoveTypes[Movement],0)),"?")="Yes",$H766=""),"Courier needed",IF(AND(IFERROR(INDEX(tblMoveTypes[Courier?],MATCH($E766,tblMoveTypes[Movement],0)),"?")="No",$H766&lt;&gt;""),"Leave Courier blank",IF(AND(IFERROR(INDEX(tblMoveTypes[Orders?],MATCH($E766,tblMoveTypes[Movement],0)),"?")="Yes",$G766=""),"Orders needed",IF(AND(IFERROR(INDEX(tblMoveTypes[Orders?],MATCH($E766,tblMoveTypes[Movement],0)),"?")="No",$G766&lt;&gt;""),"Leave Orders blank",IF(AND(IFERROR(INDEX(tblMoveTypes[Reason?],MATCH($E766,tblMoveTypes[Movement],0)),"?")="Yes",$I766=""),"Reason needed",IF(AND(IFERROR(INDEX(tblMoveTypes[Qty?],MATCH($E766,tblMoveTypes[Movement],0)),"?")="Yes",N($F766)&lt;=0),"Qty needed",IF($A766&lt;_xlfn.MINIFS(tblShipment[Arrival Date],tblShipment[Shipment ID],$C766),"Date before arrival",IF(AND($D766&lt;&gt;"",COUNTIFS(tblShipment[Shipment ID],$C766,tblShipment[Item Code],$D766)=0),"Item not in this shipment",IF(AND($H766&lt;&gt;"",COUNTIFS(tblCouriers[Courier],$H766,tblCouriers[Market],$B766)=0),"Courier not in this market","OK")))))))))))))))</f>
        <v>OK</v>
      </c>
    </row>
    <row r="767" customFormat="false" ht="15" hidden="false" customHeight="false" outlineLevel="0" collapsed="false">
      <c r="A767" s="27" t="n">
        <v>46245</v>
      </c>
      <c r="B767" s="26" t="s">
        <v>78</v>
      </c>
      <c r="C767" s="26" t="s">
        <v>137</v>
      </c>
      <c r="D767" s="26" t="s">
        <v>76</v>
      </c>
      <c r="E767" s="26" t="s">
        <v>93</v>
      </c>
      <c r="F767" s="28" t="n">
        <v>14</v>
      </c>
      <c r="G767" s="28"/>
      <c r="H767" s="26" t="s">
        <v>79</v>
      </c>
      <c r="I767" s="26"/>
      <c r="J767" s="26"/>
      <c r="K767" s="29" t="str">
        <f aca="false">IF($A767="","",IF(COUNTIFS(tblMoveTypes[Movement],$E767)=0,"Unknown movement type",IF(COUNTIF(tblShipment[Shipment ID],$C767)=0,"Unknown shipment",IF(COUNTIFS(tblShipment[Shipment ID],$C767,tblShipment[Market],$B767)=0,"Market does not match shipment",IF(AND(IFERROR(INDEX(tblMoveTypes[Item?],MATCH($E767,tblMoveTypes[Movement],0)),"?")="Yes",$D767=""),"Item needed",IF(AND(IFERROR(INDEX(tblMoveTypes[Item?],MATCH($E767,tblMoveTypes[Movement],0)),"?")="No",$D767&lt;&gt;""),"Leave Item blank",IF(AND(IFERROR(INDEX(tblMoveTypes[Courier?],MATCH($E767,tblMoveTypes[Movement],0)),"?")="Yes",$H767=""),"Courier needed",IF(AND(IFERROR(INDEX(tblMoveTypes[Courier?],MATCH($E767,tblMoveTypes[Movement],0)),"?")="No",$H767&lt;&gt;""),"Leave Courier blank",IF(AND(IFERROR(INDEX(tblMoveTypes[Orders?],MATCH($E767,tblMoveTypes[Movement],0)),"?")="Yes",$G767=""),"Orders needed",IF(AND(IFERROR(INDEX(tblMoveTypes[Orders?],MATCH($E767,tblMoveTypes[Movement],0)),"?")="No",$G767&lt;&gt;""),"Leave Orders blank",IF(AND(IFERROR(INDEX(tblMoveTypes[Reason?],MATCH($E767,tblMoveTypes[Movement],0)),"?")="Yes",$I767=""),"Reason needed",IF(AND(IFERROR(INDEX(tblMoveTypes[Qty?],MATCH($E767,tblMoveTypes[Movement],0)),"?")="Yes",N($F767)&lt;=0),"Qty needed",IF($A767&lt;_xlfn.MINIFS(tblShipment[Arrival Date],tblShipment[Shipment ID],$C767),"Date before arrival",IF(AND($D767&lt;&gt;"",COUNTIFS(tblShipment[Shipment ID],$C767,tblShipment[Item Code],$D767)=0),"Item not in this shipment",IF(AND($H767&lt;&gt;"",COUNTIFS(tblCouriers[Courier],$H767,tblCouriers[Market],$B767)=0),"Courier not in this market","OK")))))))))))))))</f>
        <v>OK</v>
      </c>
    </row>
    <row r="768" customFormat="false" ht="15" hidden="false" customHeight="false" outlineLevel="0" collapsed="false">
      <c r="A768" s="27" t="n">
        <v>46245</v>
      </c>
      <c r="B768" s="26" t="s">
        <v>78</v>
      </c>
      <c r="C768" s="26" t="s">
        <v>137</v>
      </c>
      <c r="D768" s="26"/>
      <c r="E768" s="26" t="s">
        <v>104</v>
      </c>
      <c r="F768" s="28"/>
      <c r="G768" s="28" t="n">
        <v>2</v>
      </c>
      <c r="H768" s="26" t="s">
        <v>79</v>
      </c>
      <c r="I768" s="26"/>
      <c r="J768" s="26"/>
      <c r="K768" s="29" t="str">
        <f aca="false">IF($A768="","",IF(COUNTIFS(tblMoveTypes[Movement],$E768)=0,"Unknown movement type",IF(COUNTIF(tblShipment[Shipment ID],$C768)=0,"Unknown shipment",IF(COUNTIFS(tblShipment[Shipment ID],$C768,tblShipment[Market],$B768)=0,"Market does not match shipment",IF(AND(IFERROR(INDEX(tblMoveTypes[Item?],MATCH($E768,tblMoveTypes[Movement],0)),"?")="Yes",$D768=""),"Item needed",IF(AND(IFERROR(INDEX(tblMoveTypes[Item?],MATCH($E768,tblMoveTypes[Movement],0)),"?")="No",$D768&lt;&gt;""),"Leave Item blank",IF(AND(IFERROR(INDEX(tblMoveTypes[Courier?],MATCH($E768,tblMoveTypes[Movement],0)),"?")="Yes",$H768=""),"Courier needed",IF(AND(IFERROR(INDEX(tblMoveTypes[Courier?],MATCH($E768,tblMoveTypes[Movement],0)),"?")="No",$H768&lt;&gt;""),"Leave Courier blank",IF(AND(IFERROR(INDEX(tblMoveTypes[Orders?],MATCH($E768,tblMoveTypes[Movement],0)),"?")="Yes",$G768=""),"Orders needed",IF(AND(IFERROR(INDEX(tblMoveTypes[Orders?],MATCH($E768,tblMoveTypes[Movement],0)),"?")="No",$G768&lt;&gt;""),"Leave Orders blank",IF(AND(IFERROR(INDEX(tblMoveTypes[Reason?],MATCH($E768,tblMoveTypes[Movement],0)),"?")="Yes",$I768=""),"Reason needed",IF(AND(IFERROR(INDEX(tblMoveTypes[Qty?],MATCH($E768,tblMoveTypes[Movement],0)),"?")="Yes",N($F768)&lt;=0),"Qty needed",IF($A768&lt;_xlfn.MINIFS(tblShipment[Arrival Date],tblShipment[Shipment ID],$C768),"Date before arrival",IF(AND($D768&lt;&gt;"",COUNTIFS(tblShipment[Shipment ID],$C768,tblShipment[Item Code],$D768)=0),"Item not in this shipment",IF(AND($H768&lt;&gt;"",COUNTIFS(tblCouriers[Courier],$H768,tblCouriers[Market],$B768)=0),"Courier not in this market","OK")))))))))))))))</f>
        <v>OK</v>
      </c>
    </row>
    <row r="769" customFormat="false" ht="15" hidden="false" customHeight="false" outlineLevel="0" collapsed="false">
      <c r="A769" s="27" t="n">
        <v>46245</v>
      </c>
      <c r="B769" s="26" t="s">
        <v>78</v>
      </c>
      <c r="C769" s="26" t="s">
        <v>137</v>
      </c>
      <c r="D769" s="26" t="s">
        <v>88</v>
      </c>
      <c r="E769" s="26" t="s">
        <v>93</v>
      </c>
      <c r="F769" s="28" t="n">
        <v>6</v>
      </c>
      <c r="G769" s="28"/>
      <c r="H769" s="26" t="s">
        <v>79</v>
      </c>
      <c r="I769" s="26"/>
      <c r="J769" s="26"/>
      <c r="K769" s="29" t="str">
        <f aca="false">IF($A769="","",IF(COUNTIFS(tblMoveTypes[Movement],$E769)=0,"Unknown movement type",IF(COUNTIF(tblShipment[Shipment ID],$C769)=0,"Unknown shipment",IF(COUNTIFS(tblShipment[Shipment ID],$C769,tblShipment[Market],$B769)=0,"Market does not match shipment",IF(AND(IFERROR(INDEX(tblMoveTypes[Item?],MATCH($E769,tblMoveTypes[Movement],0)),"?")="Yes",$D769=""),"Item needed",IF(AND(IFERROR(INDEX(tblMoveTypes[Item?],MATCH($E769,tblMoveTypes[Movement],0)),"?")="No",$D769&lt;&gt;""),"Leave Item blank",IF(AND(IFERROR(INDEX(tblMoveTypes[Courier?],MATCH($E769,tblMoveTypes[Movement],0)),"?")="Yes",$H769=""),"Courier needed",IF(AND(IFERROR(INDEX(tblMoveTypes[Courier?],MATCH($E769,tblMoveTypes[Movement],0)),"?")="No",$H769&lt;&gt;""),"Leave Courier blank",IF(AND(IFERROR(INDEX(tblMoveTypes[Orders?],MATCH($E769,tblMoveTypes[Movement],0)),"?")="Yes",$G769=""),"Orders needed",IF(AND(IFERROR(INDEX(tblMoveTypes[Orders?],MATCH($E769,tblMoveTypes[Movement],0)),"?")="No",$G769&lt;&gt;""),"Leave Orders blank",IF(AND(IFERROR(INDEX(tblMoveTypes[Reason?],MATCH($E769,tblMoveTypes[Movement],0)),"?")="Yes",$I769=""),"Reason needed",IF(AND(IFERROR(INDEX(tblMoveTypes[Qty?],MATCH($E769,tblMoveTypes[Movement],0)),"?")="Yes",N($F769)&lt;=0),"Qty needed",IF($A769&lt;_xlfn.MINIFS(tblShipment[Arrival Date],tblShipment[Shipment ID],$C769),"Date before arrival",IF(AND($D769&lt;&gt;"",COUNTIFS(tblShipment[Shipment ID],$C769,tblShipment[Item Code],$D769)=0),"Item not in this shipment",IF(AND($H769&lt;&gt;"",COUNTIFS(tblCouriers[Courier],$H769,tblCouriers[Market],$B769)=0),"Courier not in this market","OK")))))))))))))))</f>
        <v>OK</v>
      </c>
    </row>
    <row r="770" customFormat="false" ht="15" hidden="false" customHeight="false" outlineLevel="0" collapsed="false">
      <c r="A770" s="27" t="n">
        <v>46245</v>
      </c>
      <c r="B770" s="26" t="s">
        <v>78</v>
      </c>
      <c r="C770" s="26" t="s">
        <v>137</v>
      </c>
      <c r="D770" s="26"/>
      <c r="E770" s="26" t="s">
        <v>104</v>
      </c>
      <c r="F770" s="28"/>
      <c r="G770" s="28" t="n">
        <v>1</v>
      </c>
      <c r="H770" s="26" t="s">
        <v>79</v>
      </c>
      <c r="I770" s="26"/>
      <c r="J770" s="26"/>
      <c r="K770" s="29" t="str">
        <f aca="false">IF($A770="","",IF(COUNTIFS(tblMoveTypes[Movement],$E770)=0,"Unknown movement type",IF(COUNTIF(tblShipment[Shipment ID],$C770)=0,"Unknown shipment",IF(COUNTIFS(tblShipment[Shipment ID],$C770,tblShipment[Market],$B770)=0,"Market does not match shipment",IF(AND(IFERROR(INDEX(tblMoveTypes[Item?],MATCH($E770,tblMoveTypes[Movement],0)),"?")="Yes",$D770=""),"Item needed",IF(AND(IFERROR(INDEX(tblMoveTypes[Item?],MATCH($E770,tblMoveTypes[Movement],0)),"?")="No",$D770&lt;&gt;""),"Leave Item blank",IF(AND(IFERROR(INDEX(tblMoveTypes[Courier?],MATCH($E770,tblMoveTypes[Movement],0)),"?")="Yes",$H770=""),"Courier needed",IF(AND(IFERROR(INDEX(tblMoveTypes[Courier?],MATCH($E770,tblMoveTypes[Movement],0)),"?")="No",$H770&lt;&gt;""),"Leave Courier blank",IF(AND(IFERROR(INDEX(tblMoveTypes[Orders?],MATCH($E770,tblMoveTypes[Movement],0)),"?")="Yes",$G770=""),"Orders needed",IF(AND(IFERROR(INDEX(tblMoveTypes[Orders?],MATCH($E770,tblMoveTypes[Movement],0)),"?")="No",$G770&lt;&gt;""),"Leave Orders blank",IF(AND(IFERROR(INDEX(tblMoveTypes[Reason?],MATCH($E770,tblMoveTypes[Movement],0)),"?")="Yes",$I770=""),"Reason needed",IF(AND(IFERROR(INDEX(tblMoveTypes[Qty?],MATCH($E770,tblMoveTypes[Movement],0)),"?")="Yes",N($F770)&lt;=0),"Qty needed",IF($A770&lt;_xlfn.MINIFS(tblShipment[Arrival Date],tblShipment[Shipment ID],$C770),"Date before arrival",IF(AND($D770&lt;&gt;"",COUNTIFS(tblShipment[Shipment ID],$C770,tblShipment[Item Code],$D770)=0),"Item not in this shipment",IF(AND($H770&lt;&gt;"",COUNTIFS(tblCouriers[Courier],$H770,tblCouriers[Market],$B770)=0),"Courier not in this market","OK")))))))))))))))</f>
        <v>OK</v>
      </c>
    </row>
    <row r="771" customFormat="false" ht="15" hidden="false" customHeight="false" outlineLevel="0" collapsed="false">
      <c r="A771" s="27" t="n">
        <v>46246</v>
      </c>
      <c r="B771" s="26" t="s">
        <v>70</v>
      </c>
      <c r="C771" s="26" t="s">
        <v>129</v>
      </c>
      <c r="D771" s="26"/>
      <c r="E771" s="26" t="s">
        <v>106</v>
      </c>
      <c r="F771" s="28" t="n">
        <v>59</v>
      </c>
      <c r="G771" s="28" t="n">
        <v>11</v>
      </c>
      <c r="H771" s="26" t="s">
        <v>71</v>
      </c>
      <c r="I771" s="26"/>
      <c r="J771" s="26"/>
      <c r="K771" s="29" t="str">
        <f aca="false">IF($A771="","",IF(COUNTIFS(tblMoveTypes[Movement],$E771)=0,"Unknown movement type",IF(COUNTIF(tblShipment[Shipment ID],$C771)=0,"Unknown shipment",IF(COUNTIFS(tblShipment[Shipment ID],$C771,tblShipment[Market],$B771)=0,"Market does not match shipment",IF(AND(IFERROR(INDEX(tblMoveTypes[Item?],MATCH($E771,tblMoveTypes[Movement],0)),"?")="Yes",$D771=""),"Item needed",IF(AND(IFERROR(INDEX(tblMoveTypes[Item?],MATCH($E771,tblMoveTypes[Movement],0)),"?")="No",$D771&lt;&gt;""),"Leave Item blank",IF(AND(IFERROR(INDEX(tblMoveTypes[Courier?],MATCH($E771,tblMoveTypes[Movement],0)),"?")="Yes",$H771=""),"Courier needed",IF(AND(IFERROR(INDEX(tblMoveTypes[Courier?],MATCH($E771,tblMoveTypes[Movement],0)),"?")="No",$H771&lt;&gt;""),"Leave Courier blank",IF(AND(IFERROR(INDEX(tblMoveTypes[Orders?],MATCH($E771,tblMoveTypes[Movement],0)),"?")="Yes",$G771=""),"Orders needed",IF(AND(IFERROR(INDEX(tblMoveTypes[Orders?],MATCH($E771,tblMoveTypes[Movement],0)),"?")="No",$G771&lt;&gt;""),"Leave Orders blank",IF(AND(IFERROR(INDEX(tblMoveTypes[Reason?],MATCH($E771,tblMoveTypes[Movement],0)),"?")="Yes",$I771=""),"Reason needed",IF(AND(IFERROR(INDEX(tblMoveTypes[Qty?],MATCH($E771,tblMoveTypes[Movement],0)),"?")="Yes",N($F771)&lt;=0),"Qty needed",IF($A771&lt;_xlfn.MINIFS(tblShipment[Arrival Date],tblShipment[Shipment ID],$C771),"Date before arrival",IF(AND($D771&lt;&gt;"",COUNTIFS(tblShipment[Shipment ID],$C771,tblShipment[Item Code],$D771)=0),"Item not in this shipment",IF(AND($H771&lt;&gt;"",COUNTIFS(tblCouriers[Courier],$H771,tblCouriers[Market],$B771)=0),"Courier not in this market","OK")))))))))))))))</f>
        <v>OK</v>
      </c>
    </row>
    <row r="772" customFormat="false" ht="15" hidden="false" customHeight="false" outlineLevel="0" collapsed="false">
      <c r="A772" s="27" t="n">
        <v>46246</v>
      </c>
      <c r="B772" s="26" t="s">
        <v>85</v>
      </c>
      <c r="C772" s="26" t="s">
        <v>139</v>
      </c>
      <c r="D772" s="26" t="s">
        <v>76</v>
      </c>
      <c r="E772" s="26" t="s">
        <v>73</v>
      </c>
      <c r="F772" s="28" t="n">
        <v>1</v>
      </c>
      <c r="G772" s="28"/>
      <c r="H772" s="26"/>
      <c r="I772" s="26" t="s">
        <v>87</v>
      </c>
      <c r="J772" s="26"/>
      <c r="K772" s="29" t="str">
        <f aca="false">IF($A772="","",IF(COUNTIFS(tblMoveTypes[Movement],$E772)=0,"Unknown movement type",IF(COUNTIF(tblShipment[Shipment ID],$C772)=0,"Unknown shipment",IF(COUNTIFS(tblShipment[Shipment ID],$C772,tblShipment[Market],$B772)=0,"Market does not match shipment",IF(AND(IFERROR(INDEX(tblMoveTypes[Item?],MATCH($E772,tblMoveTypes[Movement],0)),"?")="Yes",$D772=""),"Item needed",IF(AND(IFERROR(INDEX(tblMoveTypes[Item?],MATCH($E772,tblMoveTypes[Movement],0)),"?")="No",$D772&lt;&gt;""),"Leave Item blank",IF(AND(IFERROR(INDEX(tblMoveTypes[Courier?],MATCH($E772,tblMoveTypes[Movement],0)),"?")="Yes",$H772=""),"Courier needed",IF(AND(IFERROR(INDEX(tblMoveTypes[Courier?],MATCH($E772,tblMoveTypes[Movement],0)),"?")="No",$H772&lt;&gt;""),"Leave Courier blank",IF(AND(IFERROR(INDEX(tblMoveTypes[Orders?],MATCH($E772,tblMoveTypes[Movement],0)),"?")="Yes",$G772=""),"Orders needed",IF(AND(IFERROR(INDEX(tblMoveTypes[Orders?],MATCH($E772,tblMoveTypes[Movement],0)),"?")="No",$G772&lt;&gt;""),"Leave Orders blank",IF(AND(IFERROR(INDEX(tblMoveTypes[Reason?],MATCH($E772,tblMoveTypes[Movement],0)),"?")="Yes",$I772=""),"Reason needed",IF(AND(IFERROR(INDEX(tblMoveTypes[Qty?],MATCH($E772,tblMoveTypes[Movement],0)),"?")="Yes",N($F772)&lt;=0),"Qty needed",IF($A772&lt;_xlfn.MINIFS(tblShipment[Arrival Date],tblShipment[Shipment ID],$C772),"Date before arrival",IF(AND($D772&lt;&gt;"",COUNTIFS(tblShipment[Shipment ID],$C772,tblShipment[Item Code],$D772)=0),"Item not in this shipment",IF(AND($H772&lt;&gt;"",COUNTIFS(tblCouriers[Courier],$H772,tblCouriers[Market],$B772)=0),"Courier not in this market","OK")))))))))))))))</f>
        <v>OK</v>
      </c>
    </row>
    <row r="773" customFormat="false" ht="15" hidden="false" customHeight="false" outlineLevel="0" collapsed="false">
      <c r="A773" s="27" t="n">
        <v>46246</v>
      </c>
      <c r="B773" s="26" t="s">
        <v>85</v>
      </c>
      <c r="C773" s="26" t="s">
        <v>141</v>
      </c>
      <c r="D773" s="26" t="s">
        <v>88</v>
      </c>
      <c r="E773" s="26" t="s">
        <v>73</v>
      </c>
      <c r="F773" s="28" t="n">
        <v>4</v>
      </c>
      <c r="G773" s="28"/>
      <c r="H773" s="26"/>
      <c r="I773" s="26" t="s">
        <v>87</v>
      </c>
      <c r="J773" s="26"/>
      <c r="K773" s="29" t="str">
        <f aca="false">IF($A773="","",IF(COUNTIFS(tblMoveTypes[Movement],$E773)=0,"Unknown movement type",IF(COUNTIF(tblShipment[Shipment ID],$C773)=0,"Unknown shipment",IF(COUNTIFS(tblShipment[Shipment ID],$C773,tblShipment[Market],$B773)=0,"Market does not match shipment",IF(AND(IFERROR(INDEX(tblMoveTypes[Item?],MATCH($E773,tblMoveTypes[Movement],0)),"?")="Yes",$D773=""),"Item needed",IF(AND(IFERROR(INDEX(tblMoveTypes[Item?],MATCH($E773,tblMoveTypes[Movement],0)),"?")="No",$D773&lt;&gt;""),"Leave Item blank",IF(AND(IFERROR(INDEX(tblMoveTypes[Courier?],MATCH($E773,tblMoveTypes[Movement],0)),"?")="Yes",$H773=""),"Courier needed",IF(AND(IFERROR(INDEX(tblMoveTypes[Courier?],MATCH($E773,tblMoveTypes[Movement],0)),"?")="No",$H773&lt;&gt;""),"Leave Courier blank",IF(AND(IFERROR(INDEX(tblMoveTypes[Orders?],MATCH($E773,tblMoveTypes[Movement],0)),"?")="Yes",$G773=""),"Orders needed",IF(AND(IFERROR(INDEX(tblMoveTypes[Orders?],MATCH($E773,tblMoveTypes[Movement],0)),"?")="No",$G773&lt;&gt;""),"Leave Orders blank",IF(AND(IFERROR(INDEX(tblMoveTypes[Reason?],MATCH($E773,tblMoveTypes[Movement],0)),"?")="Yes",$I773=""),"Reason needed",IF(AND(IFERROR(INDEX(tblMoveTypes[Qty?],MATCH($E773,tblMoveTypes[Movement],0)),"?")="Yes",N($F773)&lt;=0),"Qty needed",IF($A773&lt;_xlfn.MINIFS(tblShipment[Arrival Date],tblShipment[Shipment ID],$C773),"Date before arrival",IF(AND($D773&lt;&gt;"",COUNTIFS(tblShipment[Shipment ID],$C773,tblShipment[Item Code],$D773)=0),"Item not in this shipment",IF(AND($H773&lt;&gt;"",COUNTIFS(tblCouriers[Courier],$H773,tblCouriers[Market],$B773)=0),"Courier not in this market","OK")))))))))))))))</f>
        <v>OK</v>
      </c>
    </row>
    <row r="774" customFormat="false" ht="15" hidden="false" customHeight="false" outlineLevel="0" collapsed="false">
      <c r="A774" s="27" t="n">
        <v>46246</v>
      </c>
      <c r="B774" s="26" t="s">
        <v>85</v>
      </c>
      <c r="C774" s="26" t="s">
        <v>142</v>
      </c>
      <c r="D774" s="26" t="s">
        <v>94</v>
      </c>
      <c r="E774" s="26" t="s">
        <v>73</v>
      </c>
      <c r="F774" s="28" t="n">
        <v>4</v>
      </c>
      <c r="G774" s="28"/>
      <c r="H774" s="26"/>
      <c r="I774" s="26" t="s">
        <v>87</v>
      </c>
      <c r="J774" s="26"/>
      <c r="K774" s="29" t="str">
        <f aca="false">IF($A774="","",IF(COUNTIFS(tblMoveTypes[Movement],$E774)=0,"Unknown movement type",IF(COUNTIF(tblShipment[Shipment ID],$C774)=0,"Unknown shipment",IF(COUNTIFS(tblShipment[Shipment ID],$C774,tblShipment[Market],$B774)=0,"Market does not match shipment",IF(AND(IFERROR(INDEX(tblMoveTypes[Item?],MATCH($E774,tblMoveTypes[Movement],0)),"?")="Yes",$D774=""),"Item needed",IF(AND(IFERROR(INDEX(tblMoveTypes[Item?],MATCH($E774,tblMoveTypes[Movement],0)),"?")="No",$D774&lt;&gt;""),"Leave Item blank",IF(AND(IFERROR(INDEX(tblMoveTypes[Courier?],MATCH($E774,tblMoveTypes[Movement],0)),"?")="Yes",$H774=""),"Courier needed",IF(AND(IFERROR(INDEX(tblMoveTypes[Courier?],MATCH($E774,tblMoveTypes[Movement],0)),"?")="No",$H774&lt;&gt;""),"Leave Courier blank",IF(AND(IFERROR(INDEX(tblMoveTypes[Orders?],MATCH($E774,tblMoveTypes[Movement],0)),"?")="Yes",$G774=""),"Orders needed",IF(AND(IFERROR(INDEX(tblMoveTypes[Orders?],MATCH($E774,tblMoveTypes[Movement],0)),"?")="No",$G774&lt;&gt;""),"Leave Orders blank",IF(AND(IFERROR(INDEX(tblMoveTypes[Reason?],MATCH($E774,tblMoveTypes[Movement],0)),"?")="Yes",$I774=""),"Reason needed",IF(AND(IFERROR(INDEX(tblMoveTypes[Qty?],MATCH($E774,tblMoveTypes[Movement],0)),"?")="Yes",N($F774)&lt;=0),"Qty needed",IF($A774&lt;_xlfn.MINIFS(tblShipment[Arrival Date],tblShipment[Shipment ID],$C774),"Date before arrival",IF(AND($D774&lt;&gt;"",COUNTIFS(tblShipment[Shipment ID],$C774,tblShipment[Item Code],$D774)=0),"Item not in this shipment",IF(AND($H774&lt;&gt;"",COUNTIFS(tblCouriers[Courier],$H774,tblCouriers[Market],$B774)=0),"Courier not in this market","OK")))))))))))))))</f>
        <v>OK</v>
      </c>
    </row>
    <row r="775" customFormat="false" ht="15" hidden="false" customHeight="false" outlineLevel="0" collapsed="false">
      <c r="A775" s="27" t="n">
        <v>46246</v>
      </c>
      <c r="B775" s="26" t="s">
        <v>85</v>
      </c>
      <c r="C775" s="26" t="s">
        <v>145</v>
      </c>
      <c r="D775" s="26"/>
      <c r="E775" s="26" t="s">
        <v>106</v>
      </c>
      <c r="F775" s="28" t="n">
        <v>11</v>
      </c>
      <c r="G775" s="28" t="n">
        <v>2</v>
      </c>
      <c r="H775" s="26" t="s">
        <v>91</v>
      </c>
      <c r="I775" s="26"/>
      <c r="J775" s="26"/>
      <c r="K775" s="29" t="str">
        <f aca="false">IF($A775="","",IF(COUNTIFS(tblMoveTypes[Movement],$E775)=0,"Unknown movement type",IF(COUNTIF(tblShipment[Shipment ID],$C775)=0,"Unknown shipment",IF(COUNTIFS(tblShipment[Shipment ID],$C775,tblShipment[Market],$B775)=0,"Market does not match shipment",IF(AND(IFERROR(INDEX(tblMoveTypes[Item?],MATCH($E775,tblMoveTypes[Movement],0)),"?")="Yes",$D775=""),"Item needed",IF(AND(IFERROR(INDEX(tblMoveTypes[Item?],MATCH($E775,tblMoveTypes[Movement],0)),"?")="No",$D775&lt;&gt;""),"Leave Item blank",IF(AND(IFERROR(INDEX(tblMoveTypes[Courier?],MATCH($E775,tblMoveTypes[Movement],0)),"?")="Yes",$H775=""),"Courier needed",IF(AND(IFERROR(INDEX(tblMoveTypes[Courier?],MATCH($E775,tblMoveTypes[Movement],0)),"?")="No",$H775&lt;&gt;""),"Leave Courier blank",IF(AND(IFERROR(INDEX(tblMoveTypes[Orders?],MATCH($E775,tblMoveTypes[Movement],0)),"?")="Yes",$G775=""),"Orders needed",IF(AND(IFERROR(INDEX(tblMoveTypes[Orders?],MATCH($E775,tblMoveTypes[Movement],0)),"?")="No",$G775&lt;&gt;""),"Leave Orders blank",IF(AND(IFERROR(INDEX(tblMoveTypes[Reason?],MATCH($E775,tblMoveTypes[Movement],0)),"?")="Yes",$I775=""),"Reason needed",IF(AND(IFERROR(INDEX(tblMoveTypes[Qty?],MATCH($E775,tblMoveTypes[Movement],0)),"?")="Yes",N($F775)&lt;=0),"Qty needed",IF($A775&lt;_xlfn.MINIFS(tblShipment[Arrival Date],tblShipment[Shipment ID],$C775),"Date before arrival",IF(AND($D775&lt;&gt;"",COUNTIFS(tblShipment[Shipment ID],$C775,tblShipment[Item Code],$D775)=0),"Item not in this shipment",IF(AND($H775&lt;&gt;"",COUNTIFS(tblCouriers[Courier],$H775,tblCouriers[Market],$B775)=0),"Courier not in this market","OK")))))))))))))))</f>
        <v>OK</v>
      </c>
    </row>
    <row r="776" customFormat="false" ht="15" hidden="false" customHeight="false" outlineLevel="0" collapsed="false">
      <c r="A776" s="27" t="n">
        <v>46246</v>
      </c>
      <c r="B776" s="26" t="s">
        <v>85</v>
      </c>
      <c r="C776" s="26" t="s">
        <v>145</v>
      </c>
      <c r="D776" s="26"/>
      <c r="E776" s="26" t="s">
        <v>106</v>
      </c>
      <c r="F776" s="28" t="n">
        <v>12</v>
      </c>
      <c r="G776" s="28" t="n">
        <v>1</v>
      </c>
      <c r="H776" s="26" t="s">
        <v>96</v>
      </c>
      <c r="I776" s="26"/>
      <c r="J776" s="26"/>
      <c r="K776" s="29" t="str">
        <f aca="false">IF($A776="","",IF(COUNTIFS(tblMoveTypes[Movement],$E776)=0,"Unknown movement type",IF(COUNTIF(tblShipment[Shipment ID],$C776)=0,"Unknown shipment",IF(COUNTIFS(tblShipment[Shipment ID],$C776,tblShipment[Market],$B776)=0,"Market does not match shipment",IF(AND(IFERROR(INDEX(tblMoveTypes[Item?],MATCH($E776,tblMoveTypes[Movement],0)),"?")="Yes",$D776=""),"Item needed",IF(AND(IFERROR(INDEX(tblMoveTypes[Item?],MATCH($E776,tblMoveTypes[Movement],0)),"?")="No",$D776&lt;&gt;""),"Leave Item blank",IF(AND(IFERROR(INDEX(tblMoveTypes[Courier?],MATCH($E776,tblMoveTypes[Movement],0)),"?")="Yes",$H776=""),"Courier needed",IF(AND(IFERROR(INDEX(tblMoveTypes[Courier?],MATCH($E776,tblMoveTypes[Movement],0)),"?")="No",$H776&lt;&gt;""),"Leave Courier blank",IF(AND(IFERROR(INDEX(tblMoveTypes[Orders?],MATCH($E776,tblMoveTypes[Movement],0)),"?")="Yes",$G776=""),"Orders needed",IF(AND(IFERROR(INDEX(tblMoveTypes[Orders?],MATCH($E776,tblMoveTypes[Movement],0)),"?")="No",$G776&lt;&gt;""),"Leave Orders blank",IF(AND(IFERROR(INDEX(tblMoveTypes[Reason?],MATCH($E776,tblMoveTypes[Movement],0)),"?")="Yes",$I776=""),"Reason needed",IF(AND(IFERROR(INDEX(tblMoveTypes[Qty?],MATCH($E776,tblMoveTypes[Movement],0)),"?")="Yes",N($F776)&lt;=0),"Qty needed",IF($A776&lt;_xlfn.MINIFS(tblShipment[Arrival Date],tblShipment[Shipment ID],$C776),"Date before arrival",IF(AND($D776&lt;&gt;"",COUNTIFS(tblShipment[Shipment ID],$C776,tblShipment[Item Code],$D776)=0),"Item not in this shipment",IF(AND($H776&lt;&gt;"",COUNTIFS(tblCouriers[Courier],$H776,tblCouriers[Market],$B776)=0),"Courier not in this market","OK")))))))))))))))</f>
        <v>OK</v>
      </c>
    </row>
    <row r="777" customFormat="false" ht="15" hidden="false" customHeight="false" outlineLevel="0" collapsed="false">
      <c r="A777" s="27" t="n">
        <v>46246</v>
      </c>
      <c r="B777" s="26" t="s">
        <v>85</v>
      </c>
      <c r="C777" s="26" t="s">
        <v>145</v>
      </c>
      <c r="D777" s="26"/>
      <c r="E777" s="26" t="s">
        <v>108</v>
      </c>
      <c r="F777" s="28" t="n">
        <v>2</v>
      </c>
      <c r="G777" s="28" t="n">
        <v>1</v>
      </c>
      <c r="H777" s="26" t="s">
        <v>96</v>
      </c>
      <c r="I777" s="26" t="s">
        <v>111</v>
      </c>
      <c r="J777" s="26"/>
      <c r="K777" s="29" t="str">
        <f aca="false">IF($A777="","",IF(COUNTIFS(tblMoveTypes[Movement],$E777)=0,"Unknown movement type",IF(COUNTIF(tblShipment[Shipment ID],$C777)=0,"Unknown shipment",IF(COUNTIFS(tblShipment[Shipment ID],$C777,tblShipment[Market],$B777)=0,"Market does not match shipment",IF(AND(IFERROR(INDEX(tblMoveTypes[Item?],MATCH($E777,tblMoveTypes[Movement],0)),"?")="Yes",$D777=""),"Item needed",IF(AND(IFERROR(INDEX(tblMoveTypes[Item?],MATCH($E777,tblMoveTypes[Movement],0)),"?")="No",$D777&lt;&gt;""),"Leave Item blank",IF(AND(IFERROR(INDEX(tblMoveTypes[Courier?],MATCH($E777,tblMoveTypes[Movement],0)),"?")="Yes",$H777=""),"Courier needed",IF(AND(IFERROR(INDEX(tblMoveTypes[Courier?],MATCH($E777,tblMoveTypes[Movement],0)),"?")="No",$H777&lt;&gt;""),"Leave Courier blank",IF(AND(IFERROR(INDEX(tblMoveTypes[Orders?],MATCH($E777,tblMoveTypes[Movement],0)),"?")="Yes",$G777=""),"Orders needed",IF(AND(IFERROR(INDEX(tblMoveTypes[Orders?],MATCH($E777,tblMoveTypes[Movement],0)),"?")="No",$G777&lt;&gt;""),"Leave Orders blank",IF(AND(IFERROR(INDEX(tblMoveTypes[Reason?],MATCH($E777,tblMoveTypes[Movement],0)),"?")="Yes",$I777=""),"Reason needed",IF(AND(IFERROR(INDEX(tblMoveTypes[Qty?],MATCH($E777,tblMoveTypes[Movement],0)),"?")="Yes",N($F777)&lt;=0),"Qty needed",IF($A777&lt;_xlfn.MINIFS(tblShipment[Arrival Date],tblShipment[Shipment ID],$C777),"Date before arrival",IF(AND($D777&lt;&gt;"",COUNTIFS(tblShipment[Shipment ID],$C777,tblShipment[Item Code],$D777)=0),"Item not in this shipment",IF(AND($H777&lt;&gt;"",COUNTIFS(tblCouriers[Courier],$H777,tblCouriers[Market],$B777)=0),"Courier not in this market","OK")))))))))))))))</f>
        <v>OK</v>
      </c>
    </row>
    <row r="778" customFormat="false" ht="15" hidden="false" customHeight="false" outlineLevel="0" collapsed="false">
      <c r="A778" s="27" t="n">
        <v>46246</v>
      </c>
      <c r="B778" s="26" t="s">
        <v>85</v>
      </c>
      <c r="C778" s="26" t="s">
        <v>145</v>
      </c>
      <c r="D778" s="26" t="s">
        <v>76</v>
      </c>
      <c r="E778" s="26" t="s">
        <v>110</v>
      </c>
      <c r="F778" s="28" t="n">
        <v>1</v>
      </c>
      <c r="G778" s="28"/>
      <c r="H778" s="26"/>
      <c r="I778" s="26"/>
      <c r="J778" s="26"/>
      <c r="K778" s="29" t="str">
        <f aca="false">IF($A778="","",IF(COUNTIFS(tblMoveTypes[Movement],$E778)=0,"Unknown movement type",IF(COUNTIF(tblShipment[Shipment ID],$C778)=0,"Unknown shipment",IF(COUNTIFS(tblShipment[Shipment ID],$C778,tblShipment[Market],$B778)=0,"Market does not match shipment",IF(AND(IFERROR(INDEX(tblMoveTypes[Item?],MATCH($E778,tblMoveTypes[Movement],0)),"?")="Yes",$D778=""),"Item needed",IF(AND(IFERROR(INDEX(tblMoveTypes[Item?],MATCH($E778,tblMoveTypes[Movement],0)),"?")="No",$D778&lt;&gt;""),"Leave Item blank",IF(AND(IFERROR(INDEX(tblMoveTypes[Courier?],MATCH($E778,tblMoveTypes[Movement],0)),"?")="Yes",$H778=""),"Courier needed",IF(AND(IFERROR(INDEX(tblMoveTypes[Courier?],MATCH($E778,tblMoveTypes[Movement],0)),"?")="No",$H778&lt;&gt;""),"Leave Courier blank",IF(AND(IFERROR(INDEX(tblMoveTypes[Orders?],MATCH($E778,tblMoveTypes[Movement],0)),"?")="Yes",$G778=""),"Orders needed",IF(AND(IFERROR(INDEX(tblMoveTypes[Orders?],MATCH($E778,tblMoveTypes[Movement],0)),"?")="No",$G778&lt;&gt;""),"Leave Orders blank",IF(AND(IFERROR(INDEX(tblMoveTypes[Reason?],MATCH($E778,tblMoveTypes[Movement],0)),"?")="Yes",$I778=""),"Reason needed",IF(AND(IFERROR(INDEX(tblMoveTypes[Qty?],MATCH($E778,tblMoveTypes[Movement],0)),"?")="Yes",N($F778)&lt;=0),"Qty needed",IF($A778&lt;_xlfn.MINIFS(tblShipment[Arrival Date],tblShipment[Shipment ID],$C778),"Date before arrival",IF(AND($D778&lt;&gt;"",COUNTIFS(tblShipment[Shipment ID],$C778,tblShipment[Item Code],$D778)=0),"Item not in this shipment",IF(AND($H778&lt;&gt;"",COUNTIFS(tblCouriers[Courier],$H778,tblCouriers[Market],$B778)=0),"Courier not in this market","OK")))))))))))))))</f>
        <v>OK</v>
      </c>
    </row>
    <row r="779" customFormat="false" ht="15" hidden="false" customHeight="false" outlineLevel="0" collapsed="false">
      <c r="A779" s="27" t="n">
        <v>46246</v>
      </c>
      <c r="B779" s="26" t="s">
        <v>85</v>
      </c>
      <c r="C779" s="26" t="s">
        <v>145</v>
      </c>
      <c r="D779" s="26" t="s">
        <v>76</v>
      </c>
      <c r="E779" s="26" t="s">
        <v>112</v>
      </c>
      <c r="F779" s="28" t="n">
        <v>1</v>
      </c>
      <c r="G779" s="28"/>
      <c r="H779" s="26"/>
      <c r="I779" s="26" t="s">
        <v>72</v>
      </c>
      <c r="J779" s="26"/>
      <c r="K779" s="29" t="str">
        <f aca="false">IF($A779="","",IF(COUNTIFS(tblMoveTypes[Movement],$E779)=0,"Unknown movement type",IF(COUNTIF(tblShipment[Shipment ID],$C779)=0,"Unknown shipment",IF(COUNTIFS(tblShipment[Shipment ID],$C779,tblShipment[Market],$B779)=0,"Market does not match shipment",IF(AND(IFERROR(INDEX(tblMoveTypes[Item?],MATCH($E779,tblMoveTypes[Movement],0)),"?")="Yes",$D779=""),"Item needed",IF(AND(IFERROR(INDEX(tblMoveTypes[Item?],MATCH($E779,tblMoveTypes[Movement],0)),"?")="No",$D779&lt;&gt;""),"Leave Item blank",IF(AND(IFERROR(INDEX(tblMoveTypes[Courier?],MATCH($E779,tblMoveTypes[Movement],0)),"?")="Yes",$H779=""),"Courier needed",IF(AND(IFERROR(INDEX(tblMoveTypes[Courier?],MATCH($E779,tblMoveTypes[Movement],0)),"?")="No",$H779&lt;&gt;""),"Leave Courier blank",IF(AND(IFERROR(INDEX(tblMoveTypes[Orders?],MATCH($E779,tblMoveTypes[Movement],0)),"?")="Yes",$G779=""),"Orders needed",IF(AND(IFERROR(INDEX(tblMoveTypes[Orders?],MATCH($E779,tblMoveTypes[Movement],0)),"?")="No",$G779&lt;&gt;""),"Leave Orders blank",IF(AND(IFERROR(INDEX(tblMoveTypes[Reason?],MATCH($E779,tblMoveTypes[Movement],0)),"?")="Yes",$I779=""),"Reason needed",IF(AND(IFERROR(INDEX(tblMoveTypes[Qty?],MATCH($E779,tblMoveTypes[Movement],0)),"?")="Yes",N($F779)&lt;=0),"Qty needed",IF($A779&lt;_xlfn.MINIFS(tblShipment[Arrival Date],tblShipment[Shipment ID],$C779),"Date before arrival",IF(AND($D779&lt;&gt;"",COUNTIFS(tblShipment[Shipment ID],$C779,tblShipment[Item Code],$D779)=0),"Item not in this shipment",IF(AND($H779&lt;&gt;"",COUNTIFS(tblCouriers[Courier],$H779,tblCouriers[Market],$B779)=0),"Courier not in this market","OK")))))))))))))))</f>
        <v>OK</v>
      </c>
    </row>
    <row r="780" customFormat="false" ht="15" hidden="false" customHeight="false" outlineLevel="0" collapsed="false">
      <c r="A780" s="27" t="n">
        <v>46246</v>
      </c>
      <c r="B780" s="26" t="s">
        <v>85</v>
      </c>
      <c r="C780" s="26" t="s">
        <v>145</v>
      </c>
      <c r="D780" s="26" t="s">
        <v>99</v>
      </c>
      <c r="E780" s="26" t="s">
        <v>93</v>
      </c>
      <c r="F780" s="28" t="n">
        <v>15</v>
      </c>
      <c r="G780" s="28"/>
      <c r="H780" s="26" t="s">
        <v>91</v>
      </c>
      <c r="I780" s="26"/>
      <c r="J780" s="26"/>
      <c r="K780" s="29" t="str">
        <f aca="false">IF($A780="","",IF(COUNTIFS(tblMoveTypes[Movement],$E780)=0,"Unknown movement type",IF(COUNTIF(tblShipment[Shipment ID],$C780)=0,"Unknown shipment",IF(COUNTIFS(tblShipment[Shipment ID],$C780,tblShipment[Market],$B780)=0,"Market does not match shipment",IF(AND(IFERROR(INDEX(tblMoveTypes[Item?],MATCH($E780,tblMoveTypes[Movement],0)),"?")="Yes",$D780=""),"Item needed",IF(AND(IFERROR(INDEX(tblMoveTypes[Item?],MATCH($E780,tblMoveTypes[Movement],0)),"?")="No",$D780&lt;&gt;""),"Leave Item blank",IF(AND(IFERROR(INDEX(tblMoveTypes[Courier?],MATCH($E780,tblMoveTypes[Movement],0)),"?")="Yes",$H780=""),"Courier needed",IF(AND(IFERROR(INDEX(tblMoveTypes[Courier?],MATCH($E780,tblMoveTypes[Movement],0)),"?")="No",$H780&lt;&gt;""),"Leave Courier blank",IF(AND(IFERROR(INDEX(tblMoveTypes[Orders?],MATCH($E780,tblMoveTypes[Movement],0)),"?")="Yes",$G780=""),"Orders needed",IF(AND(IFERROR(INDEX(tblMoveTypes[Orders?],MATCH($E780,tblMoveTypes[Movement],0)),"?")="No",$G780&lt;&gt;""),"Leave Orders blank",IF(AND(IFERROR(INDEX(tblMoveTypes[Reason?],MATCH($E780,tblMoveTypes[Movement],0)),"?")="Yes",$I780=""),"Reason needed",IF(AND(IFERROR(INDEX(tblMoveTypes[Qty?],MATCH($E780,tblMoveTypes[Movement],0)),"?")="Yes",N($F780)&lt;=0),"Qty needed",IF($A780&lt;_xlfn.MINIFS(tblShipment[Arrival Date],tblShipment[Shipment ID],$C780),"Date before arrival",IF(AND($D780&lt;&gt;"",COUNTIFS(tblShipment[Shipment ID],$C780,tblShipment[Item Code],$D780)=0),"Item not in this shipment",IF(AND($H780&lt;&gt;"",COUNTIFS(tblCouriers[Courier],$H780,tblCouriers[Market],$B780)=0),"Courier not in this market","OK")))))))))))))))</f>
        <v>OK</v>
      </c>
    </row>
    <row r="781" customFormat="false" ht="15" hidden="false" customHeight="false" outlineLevel="0" collapsed="false">
      <c r="A781" s="27" t="n">
        <v>46246</v>
      </c>
      <c r="B781" s="26" t="s">
        <v>85</v>
      </c>
      <c r="C781" s="26" t="s">
        <v>145</v>
      </c>
      <c r="D781" s="26"/>
      <c r="E781" s="26" t="s">
        <v>104</v>
      </c>
      <c r="F781" s="28"/>
      <c r="G781" s="28" t="n">
        <v>2</v>
      </c>
      <c r="H781" s="26" t="s">
        <v>91</v>
      </c>
      <c r="I781" s="26"/>
      <c r="J781" s="26"/>
      <c r="K781" s="29" t="str">
        <f aca="false">IF($A781="","",IF(COUNTIFS(tblMoveTypes[Movement],$E781)=0,"Unknown movement type",IF(COUNTIF(tblShipment[Shipment ID],$C781)=0,"Unknown shipment",IF(COUNTIFS(tblShipment[Shipment ID],$C781,tblShipment[Market],$B781)=0,"Market does not match shipment",IF(AND(IFERROR(INDEX(tblMoveTypes[Item?],MATCH($E781,tblMoveTypes[Movement],0)),"?")="Yes",$D781=""),"Item needed",IF(AND(IFERROR(INDEX(tblMoveTypes[Item?],MATCH($E781,tblMoveTypes[Movement],0)),"?")="No",$D781&lt;&gt;""),"Leave Item blank",IF(AND(IFERROR(INDEX(tblMoveTypes[Courier?],MATCH($E781,tblMoveTypes[Movement],0)),"?")="Yes",$H781=""),"Courier needed",IF(AND(IFERROR(INDEX(tblMoveTypes[Courier?],MATCH($E781,tblMoveTypes[Movement],0)),"?")="No",$H781&lt;&gt;""),"Leave Courier blank",IF(AND(IFERROR(INDEX(tblMoveTypes[Orders?],MATCH($E781,tblMoveTypes[Movement],0)),"?")="Yes",$G781=""),"Orders needed",IF(AND(IFERROR(INDEX(tblMoveTypes[Orders?],MATCH($E781,tblMoveTypes[Movement],0)),"?")="No",$G781&lt;&gt;""),"Leave Orders blank",IF(AND(IFERROR(INDEX(tblMoveTypes[Reason?],MATCH($E781,tblMoveTypes[Movement],0)),"?")="Yes",$I781=""),"Reason needed",IF(AND(IFERROR(INDEX(tblMoveTypes[Qty?],MATCH($E781,tblMoveTypes[Movement],0)),"?")="Yes",N($F781)&lt;=0),"Qty needed",IF($A781&lt;_xlfn.MINIFS(tblShipment[Arrival Date],tblShipment[Shipment ID],$C781),"Date before arrival",IF(AND($D781&lt;&gt;"",COUNTIFS(tblShipment[Shipment ID],$C781,tblShipment[Item Code],$D781)=0),"Item not in this shipment",IF(AND($H781&lt;&gt;"",COUNTIFS(tblCouriers[Courier],$H781,tblCouriers[Market],$B781)=0),"Courier not in this market","OK")))))))))))))))</f>
        <v>OK</v>
      </c>
    </row>
    <row r="782" customFormat="false" ht="15" hidden="false" customHeight="false" outlineLevel="0" collapsed="false">
      <c r="A782" s="27" t="n">
        <v>46246</v>
      </c>
      <c r="B782" s="26" t="s">
        <v>90</v>
      </c>
      <c r="C782" s="26" t="s">
        <v>152</v>
      </c>
      <c r="D782" s="26" t="s">
        <v>88</v>
      </c>
      <c r="E782" s="26" t="s">
        <v>93</v>
      </c>
      <c r="F782" s="28" t="n">
        <v>18</v>
      </c>
      <c r="G782" s="28"/>
      <c r="H782" s="26" t="s">
        <v>101</v>
      </c>
      <c r="I782" s="26"/>
      <c r="J782" s="26"/>
      <c r="K782" s="29" t="str">
        <f aca="false">IF($A782="","",IF(COUNTIFS(tblMoveTypes[Movement],$E782)=0,"Unknown movement type",IF(COUNTIF(tblShipment[Shipment ID],$C782)=0,"Unknown shipment",IF(COUNTIFS(tblShipment[Shipment ID],$C782,tblShipment[Market],$B782)=0,"Market does not match shipment",IF(AND(IFERROR(INDEX(tblMoveTypes[Item?],MATCH($E782,tblMoveTypes[Movement],0)),"?")="Yes",$D782=""),"Item needed",IF(AND(IFERROR(INDEX(tblMoveTypes[Item?],MATCH($E782,tblMoveTypes[Movement],0)),"?")="No",$D782&lt;&gt;""),"Leave Item blank",IF(AND(IFERROR(INDEX(tblMoveTypes[Courier?],MATCH($E782,tblMoveTypes[Movement],0)),"?")="Yes",$H782=""),"Courier needed",IF(AND(IFERROR(INDEX(tblMoveTypes[Courier?],MATCH($E782,tblMoveTypes[Movement],0)),"?")="No",$H782&lt;&gt;""),"Leave Courier blank",IF(AND(IFERROR(INDEX(tblMoveTypes[Orders?],MATCH($E782,tblMoveTypes[Movement],0)),"?")="Yes",$G782=""),"Orders needed",IF(AND(IFERROR(INDEX(tblMoveTypes[Orders?],MATCH($E782,tblMoveTypes[Movement],0)),"?")="No",$G782&lt;&gt;""),"Leave Orders blank",IF(AND(IFERROR(INDEX(tblMoveTypes[Reason?],MATCH($E782,tblMoveTypes[Movement],0)),"?")="Yes",$I782=""),"Reason needed",IF(AND(IFERROR(INDEX(tblMoveTypes[Qty?],MATCH($E782,tblMoveTypes[Movement],0)),"?")="Yes",N($F782)&lt;=0),"Qty needed",IF($A782&lt;_xlfn.MINIFS(tblShipment[Arrival Date],tblShipment[Shipment ID],$C782),"Date before arrival",IF(AND($D782&lt;&gt;"",COUNTIFS(tblShipment[Shipment ID],$C782,tblShipment[Item Code],$D782)=0),"Item not in this shipment",IF(AND($H782&lt;&gt;"",COUNTIFS(tblCouriers[Courier],$H782,tblCouriers[Market],$B782)=0),"Courier not in this market","OK")))))))))))))))</f>
        <v>OK</v>
      </c>
    </row>
    <row r="783" customFormat="false" ht="15" hidden="false" customHeight="false" outlineLevel="0" collapsed="false">
      <c r="A783" s="27" t="n">
        <v>46246</v>
      </c>
      <c r="B783" s="26" t="s">
        <v>90</v>
      </c>
      <c r="C783" s="26" t="s">
        <v>152</v>
      </c>
      <c r="D783" s="26"/>
      <c r="E783" s="26" t="s">
        <v>104</v>
      </c>
      <c r="F783" s="28"/>
      <c r="G783" s="28" t="n">
        <v>3</v>
      </c>
      <c r="H783" s="26" t="s">
        <v>101</v>
      </c>
      <c r="I783" s="26"/>
      <c r="J783" s="26"/>
      <c r="K783" s="29" t="str">
        <f aca="false">IF($A783="","",IF(COUNTIFS(tblMoveTypes[Movement],$E783)=0,"Unknown movement type",IF(COUNTIF(tblShipment[Shipment ID],$C783)=0,"Unknown shipment",IF(COUNTIFS(tblShipment[Shipment ID],$C783,tblShipment[Market],$B783)=0,"Market does not match shipment",IF(AND(IFERROR(INDEX(tblMoveTypes[Item?],MATCH($E783,tblMoveTypes[Movement],0)),"?")="Yes",$D783=""),"Item needed",IF(AND(IFERROR(INDEX(tblMoveTypes[Item?],MATCH($E783,tblMoveTypes[Movement],0)),"?")="No",$D783&lt;&gt;""),"Leave Item blank",IF(AND(IFERROR(INDEX(tblMoveTypes[Courier?],MATCH($E783,tblMoveTypes[Movement],0)),"?")="Yes",$H783=""),"Courier needed",IF(AND(IFERROR(INDEX(tblMoveTypes[Courier?],MATCH($E783,tblMoveTypes[Movement],0)),"?")="No",$H783&lt;&gt;""),"Leave Courier blank",IF(AND(IFERROR(INDEX(tblMoveTypes[Orders?],MATCH($E783,tblMoveTypes[Movement],0)),"?")="Yes",$G783=""),"Orders needed",IF(AND(IFERROR(INDEX(tblMoveTypes[Orders?],MATCH($E783,tblMoveTypes[Movement],0)),"?")="No",$G783&lt;&gt;""),"Leave Orders blank",IF(AND(IFERROR(INDEX(tblMoveTypes[Reason?],MATCH($E783,tblMoveTypes[Movement],0)),"?")="Yes",$I783=""),"Reason needed",IF(AND(IFERROR(INDEX(tblMoveTypes[Qty?],MATCH($E783,tblMoveTypes[Movement],0)),"?")="Yes",N($F783)&lt;=0),"Qty needed",IF($A783&lt;_xlfn.MINIFS(tblShipment[Arrival Date],tblShipment[Shipment ID],$C783),"Date before arrival",IF(AND($D783&lt;&gt;"",COUNTIFS(tblShipment[Shipment ID],$C783,tblShipment[Item Code],$D783)=0),"Item not in this shipment",IF(AND($H783&lt;&gt;"",COUNTIFS(tblCouriers[Courier],$H783,tblCouriers[Market],$B783)=0),"Courier not in this market","OK")))))))))))))))</f>
        <v>OK</v>
      </c>
    </row>
    <row r="784" customFormat="false" ht="15" hidden="false" customHeight="false" outlineLevel="0" collapsed="false">
      <c r="A784" s="27" t="n">
        <v>46246</v>
      </c>
      <c r="B784" s="26" t="s">
        <v>90</v>
      </c>
      <c r="C784" s="26" t="s">
        <v>152</v>
      </c>
      <c r="D784" s="26" t="s">
        <v>99</v>
      </c>
      <c r="E784" s="26" t="s">
        <v>93</v>
      </c>
      <c r="F784" s="28" t="n">
        <v>8</v>
      </c>
      <c r="G784" s="28"/>
      <c r="H784" s="26" t="s">
        <v>101</v>
      </c>
      <c r="I784" s="26"/>
      <c r="J784" s="26"/>
      <c r="K784" s="29" t="str">
        <f aca="false">IF($A784="","",IF(COUNTIFS(tblMoveTypes[Movement],$E784)=0,"Unknown movement type",IF(COUNTIF(tblShipment[Shipment ID],$C784)=0,"Unknown shipment",IF(COUNTIFS(tblShipment[Shipment ID],$C784,tblShipment[Market],$B784)=0,"Market does not match shipment",IF(AND(IFERROR(INDEX(tblMoveTypes[Item?],MATCH($E784,tblMoveTypes[Movement],0)),"?")="Yes",$D784=""),"Item needed",IF(AND(IFERROR(INDEX(tblMoveTypes[Item?],MATCH($E784,tblMoveTypes[Movement],0)),"?")="No",$D784&lt;&gt;""),"Leave Item blank",IF(AND(IFERROR(INDEX(tblMoveTypes[Courier?],MATCH($E784,tblMoveTypes[Movement],0)),"?")="Yes",$H784=""),"Courier needed",IF(AND(IFERROR(INDEX(tblMoveTypes[Courier?],MATCH($E784,tblMoveTypes[Movement],0)),"?")="No",$H784&lt;&gt;""),"Leave Courier blank",IF(AND(IFERROR(INDEX(tblMoveTypes[Orders?],MATCH($E784,tblMoveTypes[Movement],0)),"?")="Yes",$G784=""),"Orders needed",IF(AND(IFERROR(INDEX(tblMoveTypes[Orders?],MATCH($E784,tblMoveTypes[Movement],0)),"?")="No",$G784&lt;&gt;""),"Leave Orders blank",IF(AND(IFERROR(INDEX(tblMoveTypes[Reason?],MATCH($E784,tblMoveTypes[Movement],0)),"?")="Yes",$I784=""),"Reason needed",IF(AND(IFERROR(INDEX(tblMoveTypes[Qty?],MATCH($E784,tblMoveTypes[Movement],0)),"?")="Yes",N($F784)&lt;=0),"Qty needed",IF($A784&lt;_xlfn.MINIFS(tblShipment[Arrival Date],tblShipment[Shipment ID],$C784),"Date before arrival",IF(AND($D784&lt;&gt;"",COUNTIFS(tblShipment[Shipment ID],$C784,tblShipment[Item Code],$D784)=0),"Item not in this shipment",IF(AND($H784&lt;&gt;"",COUNTIFS(tblCouriers[Courier],$H784,tblCouriers[Market],$B784)=0),"Courier not in this market","OK")))))))))))))))</f>
        <v>OK</v>
      </c>
    </row>
    <row r="785" customFormat="false" ht="15" hidden="false" customHeight="false" outlineLevel="0" collapsed="false">
      <c r="A785" s="27" t="n">
        <v>46246</v>
      </c>
      <c r="B785" s="26" t="s">
        <v>90</v>
      </c>
      <c r="C785" s="26" t="s">
        <v>152</v>
      </c>
      <c r="D785" s="26"/>
      <c r="E785" s="26" t="s">
        <v>104</v>
      </c>
      <c r="F785" s="28"/>
      <c r="G785" s="28" t="n">
        <v>1</v>
      </c>
      <c r="H785" s="26" t="s">
        <v>101</v>
      </c>
      <c r="I785" s="26"/>
      <c r="J785" s="26"/>
      <c r="K785" s="29" t="str">
        <f aca="false">IF($A785="","",IF(COUNTIFS(tblMoveTypes[Movement],$E785)=0,"Unknown movement type",IF(COUNTIF(tblShipment[Shipment ID],$C785)=0,"Unknown shipment",IF(COUNTIFS(tblShipment[Shipment ID],$C785,tblShipment[Market],$B785)=0,"Market does not match shipment",IF(AND(IFERROR(INDEX(tblMoveTypes[Item?],MATCH($E785,tblMoveTypes[Movement],0)),"?")="Yes",$D785=""),"Item needed",IF(AND(IFERROR(INDEX(tblMoveTypes[Item?],MATCH($E785,tblMoveTypes[Movement],0)),"?")="No",$D785&lt;&gt;""),"Leave Item blank",IF(AND(IFERROR(INDEX(tblMoveTypes[Courier?],MATCH($E785,tblMoveTypes[Movement],0)),"?")="Yes",$H785=""),"Courier needed",IF(AND(IFERROR(INDEX(tblMoveTypes[Courier?],MATCH($E785,tblMoveTypes[Movement],0)),"?")="No",$H785&lt;&gt;""),"Leave Courier blank",IF(AND(IFERROR(INDEX(tblMoveTypes[Orders?],MATCH($E785,tblMoveTypes[Movement],0)),"?")="Yes",$G785=""),"Orders needed",IF(AND(IFERROR(INDEX(tblMoveTypes[Orders?],MATCH($E785,tblMoveTypes[Movement],0)),"?")="No",$G785&lt;&gt;""),"Leave Orders blank",IF(AND(IFERROR(INDEX(tblMoveTypes[Reason?],MATCH($E785,tblMoveTypes[Movement],0)),"?")="Yes",$I785=""),"Reason needed",IF(AND(IFERROR(INDEX(tblMoveTypes[Qty?],MATCH($E785,tblMoveTypes[Movement],0)),"?")="Yes",N($F785)&lt;=0),"Qty needed",IF($A785&lt;_xlfn.MINIFS(tblShipment[Arrival Date],tblShipment[Shipment ID],$C785),"Date before arrival",IF(AND($D785&lt;&gt;"",COUNTIFS(tblShipment[Shipment ID],$C785,tblShipment[Item Code],$D785)=0),"Item not in this shipment",IF(AND($H785&lt;&gt;"",COUNTIFS(tblCouriers[Courier],$H785,tblCouriers[Market],$B785)=0),"Courier not in this market","OK")))))))))))))))</f>
        <v>OK</v>
      </c>
    </row>
    <row r="786" customFormat="false" ht="15" hidden="false" customHeight="false" outlineLevel="0" collapsed="false">
      <c r="A786" s="27" t="n">
        <v>46246</v>
      </c>
      <c r="B786" s="26" t="s">
        <v>78</v>
      </c>
      <c r="C786" s="26" t="s">
        <v>135</v>
      </c>
      <c r="D786" s="26" t="s">
        <v>67</v>
      </c>
      <c r="E786" s="26" t="s">
        <v>73</v>
      </c>
      <c r="F786" s="28" t="n">
        <v>3</v>
      </c>
      <c r="G786" s="28"/>
      <c r="H786" s="26"/>
      <c r="I786" s="26" t="s">
        <v>87</v>
      </c>
      <c r="J786" s="26"/>
      <c r="K786" s="29" t="str">
        <f aca="false">IF($A786="","",IF(COUNTIFS(tblMoveTypes[Movement],$E786)=0,"Unknown movement type",IF(COUNTIF(tblShipment[Shipment ID],$C786)=0,"Unknown shipment",IF(COUNTIFS(tblShipment[Shipment ID],$C786,tblShipment[Market],$B786)=0,"Market does not match shipment",IF(AND(IFERROR(INDEX(tblMoveTypes[Item?],MATCH($E786,tblMoveTypes[Movement],0)),"?")="Yes",$D786=""),"Item needed",IF(AND(IFERROR(INDEX(tblMoveTypes[Item?],MATCH($E786,tblMoveTypes[Movement],0)),"?")="No",$D786&lt;&gt;""),"Leave Item blank",IF(AND(IFERROR(INDEX(tblMoveTypes[Courier?],MATCH($E786,tblMoveTypes[Movement],0)),"?")="Yes",$H786=""),"Courier needed",IF(AND(IFERROR(INDEX(tblMoveTypes[Courier?],MATCH($E786,tblMoveTypes[Movement],0)),"?")="No",$H786&lt;&gt;""),"Leave Courier blank",IF(AND(IFERROR(INDEX(tblMoveTypes[Orders?],MATCH($E786,tblMoveTypes[Movement],0)),"?")="Yes",$G786=""),"Orders needed",IF(AND(IFERROR(INDEX(tblMoveTypes[Orders?],MATCH($E786,tblMoveTypes[Movement],0)),"?")="No",$G786&lt;&gt;""),"Leave Orders blank",IF(AND(IFERROR(INDEX(tblMoveTypes[Reason?],MATCH($E786,tblMoveTypes[Movement],0)),"?")="Yes",$I786=""),"Reason needed",IF(AND(IFERROR(INDEX(tblMoveTypes[Qty?],MATCH($E786,tblMoveTypes[Movement],0)),"?")="Yes",N($F786)&lt;=0),"Qty needed",IF($A786&lt;_xlfn.MINIFS(tblShipment[Arrival Date],tblShipment[Shipment ID],$C786),"Date before arrival",IF(AND($D786&lt;&gt;"",COUNTIFS(tblShipment[Shipment ID],$C786,tblShipment[Item Code],$D786)=0),"Item not in this shipment",IF(AND($H786&lt;&gt;"",COUNTIFS(tblCouriers[Courier],$H786,tblCouriers[Market],$B786)=0),"Courier not in this market","OK")))))))))))))))</f>
        <v>OK</v>
      </c>
    </row>
    <row r="787" customFormat="false" ht="15" hidden="false" customHeight="false" outlineLevel="0" collapsed="false">
      <c r="A787" s="27" t="n">
        <v>46246</v>
      </c>
      <c r="B787" s="26" t="s">
        <v>78</v>
      </c>
      <c r="C787" s="26" t="s">
        <v>137</v>
      </c>
      <c r="D787" s="26"/>
      <c r="E787" s="26" t="s">
        <v>106</v>
      </c>
      <c r="F787" s="28" t="n">
        <v>39</v>
      </c>
      <c r="G787" s="28" t="n">
        <v>7</v>
      </c>
      <c r="H787" s="26" t="s">
        <v>79</v>
      </c>
      <c r="I787" s="26"/>
      <c r="J787" s="26"/>
      <c r="K787" s="29" t="str">
        <f aca="false">IF($A787="","",IF(COUNTIFS(tblMoveTypes[Movement],$E787)=0,"Unknown movement type",IF(COUNTIF(tblShipment[Shipment ID],$C787)=0,"Unknown shipment",IF(COUNTIFS(tblShipment[Shipment ID],$C787,tblShipment[Market],$B787)=0,"Market does not match shipment",IF(AND(IFERROR(INDEX(tblMoveTypes[Item?],MATCH($E787,tblMoveTypes[Movement],0)),"?")="Yes",$D787=""),"Item needed",IF(AND(IFERROR(INDEX(tblMoveTypes[Item?],MATCH($E787,tblMoveTypes[Movement],0)),"?")="No",$D787&lt;&gt;""),"Leave Item blank",IF(AND(IFERROR(INDEX(tblMoveTypes[Courier?],MATCH($E787,tblMoveTypes[Movement],0)),"?")="Yes",$H787=""),"Courier needed",IF(AND(IFERROR(INDEX(tblMoveTypes[Courier?],MATCH($E787,tblMoveTypes[Movement],0)),"?")="No",$H787&lt;&gt;""),"Leave Courier blank",IF(AND(IFERROR(INDEX(tblMoveTypes[Orders?],MATCH($E787,tblMoveTypes[Movement],0)),"?")="Yes",$G787=""),"Orders needed",IF(AND(IFERROR(INDEX(tblMoveTypes[Orders?],MATCH($E787,tblMoveTypes[Movement],0)),"?")="No",$G787&lt;&gt;""),"Leave Orders blank",IF(AND(IFERROR(INDEX(tblMoveTypes[Reason?],MATCH($E787,tblMoveTypes[Movement],0)),"?")="Yes",$I787=""),"Reason needed",IF(AND(IFERROR(INDEX(tblMoveTypes[Qty?],MATCH($E787,tblMoveTypes[Movement],0)),"?")="Yes",N($F787)&lt;=0),"Qty needed",IF($A787&lt;_xlfn.MINIFS(tblShipment[Arrival Date],tblShipment[Shipment ID],$C787),"Date before arrival",IF(AND($D787&lt;&gt;"",COUNTIFS(tblShipment[Shipment ID],$C787,tblShipment[Item Code],$D787)=0),"Item not in this shipment",IF(AND($H787&lt;&gt;"",COUNTIFS(tblCouriers[Courier],$H787,tblCouriers[Market],$B787)=0),"Courier not in this market","OK")))))))))))))))</f>
        <v>OK</v>
      </c>
    </row>
    <row r="788" customFormat="false" ht="15" hidden="false" customHeight="false" outlineLevel="0" collapsed="false">
      <c r="A788" s="27" t="n">
        <v>46246</v>
      </c>
      <c r="B788" s="26" t="s">
        <v>78</v>
      </c>
      <c r="C788" s="26" t="s">
        <v>137</v>
      </c>
      <c r="D788" s="26"/>
      <c r="E788" s="26" t="s">
        <v>106</v>
      </c>
      <c r="F788" s="28" t="n">
        <v>22</v>
      </c>
      <c r="G788" s="28" t="n">
        <v>4</v>
      </c>
      <c r="H788" s="26" t="s">
        <v>86</v>
      </c>
      <c r="I788" s="26"/>
      <c r="J788" s="26"/>
      <c r="K788" s="29" t="str">
        <f aca="false">IF($A788="","",IF(COUNTIFS(tblMoveTypes[Movement],$E788)=0,"Unknown movement type",IF(COUNTIF(tblShipment[Shipment ID],$C788)=0,"Unknown shipment",IF(COUNTIFS(tblShipment[Shipment ID],$C788,tblShipment[Market],$B788)=0,"Market does not match shipment",IF(AND(IFERROR(INDEX(tblMoveTypes[Item?],MATCH($E788,tblMoveTypes[Movement],0)),"?")="Yes",$D788=""),"Item needed",IF(AND(IFERROR(INDEX(tblMoveTypes[Item?],MATCH($E788,tblMoveTypes[Movement],0)),"?")="No",$D788&lt;&gt;""),"Leave Item blank",IF(AND(IFERROR(INDEX(tblMoveTypes[Courier?],MATCH($E788,tblMoveTypes[Movement],0)),"?")="Yes",$H788=""),"Courier needed",IF(AND(IFERROR(INDEX(tblMoveTypes[Courier?],MATCH($E788,tblMoveTypes[Movement],0)),"?")="No",$H788&lt;&gt;""),"Leave Courier blank",IF(AND(IFERROR(INDEX(tblMoveTypes[Orders?],MATCH($E788,tblMoveTypes[Movement],0)),"?")="Yes",$G788=""),"Orders needed",IF(AND(IFERROR(INDEX(tblMoveTypes[Orders?],MATCH($E788,tblMoveTypes[Movement],0)),"?")="No",$G788&lt;&gt;""),"Leave Orders blank",IF(AND(IFERROR(INDEX(tblMoveTypes[Reason?],MATCH($E788,tblMoveTypes[Movement],0)),"?")="Yes",$I788=""),"Reason needed",IF(AND(IFERROR(INDEX(tblMoveTypes[Qty?],MATCH($E788,tblMoveTypes[Movement],0)),"?")="Yes",N($F788)&lt;=0),"Qty needed",IF($A788&lt;_xlfn.MINIFS(tblShipment[Arrival Date],tblShipment[Shipment ID],$C788),"Date before arrival",IF(AND($D788&lt;&gt;"",COUNTIFS(tblShipment[Shipment ID],$C788,tblShipment[Item Code],$D788)=0),"Item not in this shipment",IF(AND($H788&lt;&gt;"",COUNTIFS(tblCouriers[Courier],$H788,tblCouriers[Market],$B788)=0),"Courier not in this market","OK")))))))))))))))</f>
        <v>OK</v>
      </c>
    </row>
    <row r="789" customFormat="false" ht="15" hidden="false" customHeight="false" outlineLevel="0" collapsed="false">
      <c r="A789" s="27" t="n">
        <v>46246</v>
      </c>
      <c r="B789" s="26" t="s">
        <v>78</v>
      </c>
      <c r="C789" s="26" t="s">
        <v>137</v>
      </c>
      <c r="D789" s="26"/>
      <c r="E789" s="26" t="s">
        <v>108</v>
      </c>
      <c r="F789" s="28" t="n">
        <v>4</v>
      </c>
      <c r="G789" s="28" t="n">
        <v>1</v>
      </c>
      <c r="H789" s="26" t="s">
        <v>86</v>
      </c>
      <c r="I789" s="26" t="s">
        <v>102</v>
      </c>
      <c r="J789" s="26"/>
      <c r="K789" s="29" t="str">
        <f aca="false">IF($A789="","",IF(COUNTIFS(tblMoveTypes[Movement],$E789)=0,"Unknown movement type",IF(COUNTIF(tblShipment[Shipment ID],$C789)=0,"Unknown shipment",IF(COUNTIFS(tblShipment[Shipment ID],$C789,tblShipment[Market],$B789)=0,"Market does not match shipment",IF(AND(IFERROR(INDEX(tblMoveTypes[Item?],MATCH($E789,tblMoveTypes[Movement],0)),"?")="Yes",$D789=""),"Item needed",IF(AND(IFERROR(INDEX(tblMoveTypes[Item?],MATCH($E789,tblMoveTypes[Movement],0)),"?")="No",$D789&lt;&gt;""),"Leave Item blank",IF(AND(IFERROR(INDEX(tblMoveTypes[Courier?],MATCH($E789,tblMoveTypes[Movement],0)),"?")="Yes",$H789=""),"Courier needed",IF(AND(IFERROR(INDEX(tblMoveTypes[Courier?],MATCH($E789,tblMoveTypes[Movement],0)),"?")="No",$H789&lt;&gt;""),"Leave Courier blank",IF(AND(IFERROR(INDEX(tblMoveTypes[Orders?],MATCH($E789,tblMoveTypes[Movement],0)),"?")="Yes",$G789=""),"Orders needed",IF(AND(IFERROR(INDEX(tblMoveTypes[Orders?],MATCH($E789,tblMoveTypes[Movement],0)),"?")="No",$G789&lt;&gt;""),"Leave Orders blank",IF(AND(IFERROR(INDEX(tblMoveTypes[Reason?],MATCH($E789,tblMoveTypes[Movement],0)),"?")="Yes",$I789=""),"Reason needed",IF(AND(IFERROR(INDEX(tblMoveTypes[Qty?],MATCH($E789,tblMoveTypes[Movement],0)),"?")="Yes",N($F789)&lt;=0),"Qty needed",IF($A789&lt;_xlfn.MINIFS(tblShipment[Arrival Date],tblShipment[Shipment ID],$C789),"Date before arrival",IF(AND($D789&lt;&gt;"",COUNTIFS(tblShipment[Shipment ID],$C789,tblShipment[Item Code],$D789)=0),"Item not in this shipment",IF(AND($H789&lt;&gt;"",COUNTIFS(tblCouriers[Courier],$H789,tblCouriers[Market],$B789)=0),"Courier not in this market","OK")))))))))))))))</f>
        <v>OK</v>
      </c>
    </row>
    <row r="790" customFormat="false" ht="15" hidden="false" customHeight="false" outlineLevel="0" collapsed="false">
      <c r="A790" s="27" t="n">
        <v>46246</v>
      </c>
      <c r="B790" s="26" t="s">
        <v>78</v>
      </c>
      <c r="C790" s="26" t="s">
        <v>137</v>
      </c>
      <c r="D790" s="26" t="s">
        <v>83</v>
      </c>
      <c r="E790" s="26" t="s">
        <v>110</v>
      </c>
      <c r="F790" s="28" t="n">
        <v>3</v>
      </c>
      <c r="G790" s="28"/>
      <c r="H790" s="26"/>
      <c r="I790" s="26"/>
      <c r="J790" s="26"/>
      <c r="K790" s="29" t="str">
        <f aca="false">IF($A790="","",IF(COUNTIFS(tblMoveTypes[Movement],$E790)=0,"Unknown movement type",IF(COUNTIF(tblShipment[Shipment ID],$C790)=0,"Unknown shipment",IF(COUNTIFS(tblShipment[Shipment ID],$C790,tblShipment[Market],$B790)=0,"Market does not match shipment",IF(AND(IFERROR(INDEX(tblMoveTypes[Item?],MATCH($E790,tblMoveTypes[Movement],0)),"?")="Yes",$D790=""),"Item needed",IF(AND(IFERROR(INDEX(tblMoveTypes[Item?],MATCH($E790,tblMoveTypes[Movement],0)),"?")="No",$D790&lt;&gt;""),"Leave Item blank",IF(AND(IFERROR(INDEX(tblMoveTypes[Courier?],MATCH($E790,tblMoveTypes[Movement],0)),"?")="Yes",$H790=""),"Courier needed",IF(AND(IFERROR(INDEX(tblMoveTypes[Courier?],MATCH($E790,tblMoveTypes[Movement],0)),"?")="No",$H790&lt;&gt;""),"Leave Courier blank",IF(AND(IFERROR(INDEX(tblMoveTypes[Orders?],MATCH($E790,tblMoveTypes[Movement],0)),"?")="Yes",$G790=""),"Orders needed",IF(AND(IFERROR(INDEX(tblMoveTypes[Orders?],MATCH($E790,tblMoveTypes[Movement],0)),"?")="No",$G790&lt;&gt;""),"Leave Orders blank",IF(AND(IFERROR(INDEX(tblMoveTypes[Reason?],MATCH($E790,tblMoveTypes[Movement],0)),"?")="Yes",$I790=""),"Reason needed",IF(AND(IFERROR(INDEX(tblMoveTypes[Qty?],MATCH($E790,tblMoveTypes[Movement],0)),"?")="Yes",N($F790)&lt;=0),"Qty needed",IF($A790&lt;_xlfn.MINIFS(tblShipment[Arrival Date],tblShipment[Shipment ID],$C790),"Date before arrival",IF(AND($D790&lt;&gt;"",COUNTIFS(tblShipment[Shipment ID],$C790,tblShipment[Item Code],$D790)=0),"Item not in this shipment",IF(AND($H790&lt;&gt;"",COUNTIFS(tblCouriers[Courier],$H790,tblCouriers[Market],$B790)=0),"Courier not in this market","OK")))))))))))))))</f>
        <v>OK</v>
      </c>
    </row>
    <row r="791" customFormat="false" ht="15" hidden="false" customHeight="false" outlineLevel="0" collapsed="false">
      <c r="A791" s="27" t="n">
        <v>46246</v>
      </c>
      <c r="B791" s="26" t="s">
        <v>78</v>
      </c>
      <c r="C791" s="26" t="s">
        <v>137</v>
      </c>
      <c r="D791" s="26" t="s">
        <v>83</v>
      </c>
      <c r="E791" s="26" t="s">
        <v>112</v>
      </c>
      <c r="F791" s="28" t="n">
        <v>1</v>
      </c>
      <c r="G791" s="28"/>
      <c r="H791" s="26"/>
      <c r="I791" s="26" t="s">
        <v>72</v>
      </c>
      <c r="J791" s="26"/>
      <c r="K791" s="29" t="str">
        <f aca="false">IF($A791="","",IF(COUNTIFS(tblMoveTypes[Movement],$E791)=0,"Unknown movement type",IF(COUNTIF(tblShipment[Shipment ID],$C791)=0,"Unknown shipment",IF(COUNTIFS(tblShipment[Shipment ID],$C791,tblShipment[Market],$B791)=0,"Market does not match shipment",IF(AND(IFERROR(INDEX(tblMoveTypes[Item?],MATCH($E791,tblMoveTypes[Movement],0)),"?")="Yes",$D791=""),"Item needed",IF(AND(IFERROR(INDEX(tblMoveTypes[Item?],MATCH($E791,tblMoveTypes[Movement],0)),"?")="No",$D791&lt;&gt;""),"Leave Item blank",IF(AND(IFERROR(INDEX(tblMoveTypes[Courier?],MATCH($E791,tblMoveTypes[Movement],0)),"?")="Yes",$H791=""),"Courier needed",IF(AND(IFERROR(INDEX(tblMoveTypes[Courier?],MATCH($E791,tblMoveTypes[Movement],0)),"?")="No",$H791&lt;&gt;""),"Leave Courier blank",IF(AND(IFERROR(INDEX(tblMoveTypes[Orders?],MATCH($E791,tblMoveTypes[Movement],0)),"?")="Yes",$G791=""),"Orders needed",IF(AND(IFERROR(INDEX(tblMoveTypes[Orders?],MATCH($E791,tblMoveTypes[Movement],0)),"?")="No",$G791&lt;&gt;""),"Leave Orders blank",IF(AND(IFERROR(INDEX(tblMoveTypes[Reason?],MATCH($E791,tblMoveTypes[Movement],0)),"?")="Yes",$I791=""),"Reason needed",IF(AND(IFERROR(INDEX(tblMoveTypes[Qty?],MATCH($E791,tblMoveTypes[Movement],0)),"?")="Yes",N($F791)&lt;=0),"Qty needed",IF($A791&lt;_xlfn.MINIFS(tblShipment[Arrival Date],tblShipment[Shipment ID],$C791),"Date before arrival",IF(AND($D791&lt;&gt;"",COUNTIFS(tblShipment[Shipment ID],$C791,tblShipment[Item Code],$D791)=0),"Item not in this shipment",IF(AND($H791&lt;&gt;"",COUNTIFS(tblCouriers[Courier],$H791,tblCouriers[Market],$B791)=0),"Courier not in this market","OK")))))))))))))))</f>
        <v>OK</v>
      </c>
    </row>
    <row r="792" customFormat="false" ht="15" hidden="false" customHeight="false" outlineLevel="0" collapsed="false">
      <c r="A792" s="27" t="n">
        <v>46246</v>
      </c>
      <c r="B792" s="26" t="s">
        <v>78</v>
      </c>
      <c r="C792" s="26" t="s">
        <v>137</v>
      </c>
      <c r="D792" s="26"/>
      <c r="E792" s="26" t="s">
        <v>106</v>
      </c>
      <c r="F792" s="28" t="n">
        <v>14</v>
      </c>
      <c r="G792" s="28" t="n">
        <v>2</v>
      </c>
      <c r="H792" s="26" t="s">
        <v>79</v>
      </c>
      <c r="I792" s="26"/>
      <c r="J792" s="26"/>
      <c r="K792" s="29" t="str">
        <f aca="false">IF($A792="","",IF(COUNTIFS(tblMoveTypes[Movement],$E792)=0,"Unknown movement type",IF(COUNTIF(tblShipment[Shipment ID],$C792)=0,"Unknown shipment",IF(COUNTIFS(tblShipment[Shipment ID],$C792,tblShipment[Market],$B792)=0,"Market does not match shipment",IF(AND(IFERROR(INDEX(tblMoveTypes[Item?],MATCH($E792,tblMoveTypes[Movement],0)),"?")="Yes",$D792=""),"Item needed",IF(AND(IFERROR(INDEX(tblMoveTypes[Item?],MATCH($E792,tblMoveTypes[Movement],0)),"?")="No",$D792&lt;&gt;""),"Leave Item blank",IF(AND(IFERROR(INDEX(tblMoveTypes[Courier?],MATCH($E792,tblMoveTypes[Movement],0)),"?")="Yes",$H792=""),"Courier needed",IF(AND(IFERROR(INDEX(tblMoveTypes[Courier?],MATCH($E792,tblMoveTypes[Movement],0)),"?")="No",$H792&lt;&gt;""),"Leave Courier blank",IF(AND(IFERROR(INDEX(tblMoveTypes[Orders?],MATCH($E792,tblMoveTypes[Movement],0)),"?")="Yes",$G792=""),"Orders needed",IF(AND(IFERROR(INDEX(tblMoveTypes[Orders?],MATCH($E792,tblMoveTypes[Movement],0)),"?")="No",$G792&lt;&gt;""),"Leave Orders blank",IF(AND(IFERROR(INDEX(tblMoveTypes[Reason?],MATCH($E792,tblMoveTypes[Movement],0)),"?")="Yes",$I792=""),"Reason needed",IF(AND(IFERROR(INDEX(tblMoveTypes[Qty?],MATCH($E792,tblMoveTypes[Movement],0)),"?")="Yes",N($F792)&lt;=0),"Qty needed",IF($A792&lt;_xlfn.MINIFS(tblShipment[Arrival Date],tblShipment[Shipment ID],$C792),"Date before arrival",IF(AND($D792&lt;&gt;"",COUNTIFS(tblShipment[Shipment ID],$C792,tblShipment[Item Code],$D792)=0),"Item not in this shipment",IF(AND($H792&lt;&gt;"",COUNTIFS(tblCouriers[Courier],$H792,tblCouriers[Market],$B792)=0),"Courier not in this market","OK")))))))))))))))</f>
        <v>OK</v>
      </c>
    </row>
    <row r="793" customFormat="false" ht="15" hidden="false" customHeight="false" outlineLevel="0" collapsed="false">
      <c r="A793" s="27" t="n">
        <v>46246</v>
      </c>
      <c r="B793" s="26" t="s">
        <v>78</v>
      </c>
      <c r="C793" s="26" t="s">
        <v>137</v>
      </c>
      <c r="D793" s="26"/>
      <c r="E793" s="26" t="s">
        <v>106</v>
      </c>
      <c r="F793" s="28" t="n">
        <v>6</v>
      </c>
      <c r="G793" s="28" t="n">
        <v>1</v>
      </c>
      <c r="H793" s="26" t="s">
        <v>79</v>
      </c>
      <c r="I793" s="26"/>
      <c r="J793" s="26"/>
      <c r="K793" s="29" t="str">
        <f aca="false">IF($A793="","",IF(COUNTIFS(tblMoveTypes[Movement],$E793)=0,"Unknown movement type",IF(COUNTIF(tblShipment[Shipment ID],$C793)=0,"Unknown shipment",IF(COUNTIFS(tblShipment[Shipment ID],$C793,tblShipment[Market],$B793)=0,"Market does not match shipment",IF(AND(IFERROR(INDEX(tblMoveTypes[Item?],MATCH($E793,tblMoveTypes[Movement],0)),"?")="Yes",$D793=""),"Item needed",IF(AND(IFERROR(INDEX(tblMoveTypes[Item?],MATCH($E793,tblMoveTypes[Movement],0)),"?")="No",$D793&lt;&gt;""),"Leave Item blank",IF(AND(IFERROR(INDEX(tblMoveTypes[Courier?],MATCH($E793,tblMoveTypes[Movement],0)),"?")="Yes",$H793=""),"Courier needed",IF(AND(IFERROR(INDEX(tblMoveTypes[Courier?],MATCH($E793,tblMoveTypes[Movement],0)),"?")="No",$H793&lt;&gt;""),"Leave Courier blank",IF(AND(IFERROR(INDEX(tblMoveTypes[Orders?],MATCH($E793,tblMoveTypes[Movement],0)),"?")="Yes",$G793=""),"Orders needed",IF(AND(IFERROR(INDEX(tblMoveTypes[Orders?],MATCH($E793,tblMoveTypes[Movement],0)),"?")="No",$G793&lt;&gt;""),"Leave Orders blank",IF(AND(IFERROR(INDEX(tblMoveTypes[Reason?],MATCH($E793,tblMoveTypes[Movement],0)),"?")="Yes",$I793=""),"Reason needed",IF(AND(IFERROR(INDEX(tblMoveTypes[Qty?],MATCH($E793,tblMoveTypes[Movement],0)),"?")="Yes",N($F793)&lt;=0),"Qty needed",IF($A793&lt;_xlfn.MINIFS(tblShipment[Arrival Date],tblShipment[Shipment ID],$C793),"Date before arrival",IF(AND($D793&lt;&gt;"",COUNTIFS(tblShipment[Shipment ID],$C793,tblShipment[Item Code],$D793)=0),"Item not in this shipment",IF(AND($H793&lt;&gt;"",COUNTIFS(tblCouriers[Courier],$H793,tblCouriers[Market],$B793)=0),"Courier not in this market","OK")))))))))))))))</f>
        <v>OK</v>
      </c>
    </row>
    <row r="794" customFormat="false" ht="15" hidden="false" customHeight="false" outlineLevel="0" collapsed="false">
      <c r="A794" s="27" t="n">
        <v>46246</v>
      </c>
      <c r="B794" s="26" t="s">
        <v>78</v>
      </c>
      <c r="C794" s="26" t="s">
        <v>137</v>
      </c>
      <c r="D794" s="26" t="s">
        <v>83</v>
      </c>
      <c r="E794" s="26" t="s">
        <v>93</v>
      </c>
      <c r="F794" s="28" t="n">
        <v>12</v>
      </c>
      <c r="G794" s="28"/>
      <c r="H794" s="26" t="s">
        <v>79</v>
      </c>
      <c r="I794" s="26"/>
      <c r="J794" s="26"/>
      <c r="K794" s="29" t="str">
        <f aca="false">IF($A794="","",IF(COUNTIFS(tblMoveTypes[Movement],$E794)=0,"Unknown movement type",IF(COUNTIF(tblShipment[Shipment ID],$C794)=0,"Unknown shipment",IF(COUNTIFS(tblShipment[Shipment ID],$C794,tblShipment[Market],$B794)=0,"Market does not match shipment",IF(AND(IFERROR(INDEX(tblMoveTypes[Item?],MATCH($E794,tblMoveTypes[Movement],0)),"?")="Yes",$D794=""),"Item needed",IF(AND(IFERROR(INDEX(tblMoveTypes[Item?],MATCH($E794,tblMoveTypes[Movement],0)),"?")="No",$D794&lt;&gt;""),"Leave Item blank",IF(AND(IFERROR(INDEX(tblMoveTypes[Courier?],MATCH($E794,tblMoveTypes[Movement],0)),"?")="Yes",$H794=""),"Courier needed",IF(AND(IFERROR(INDEX(tblMoveTypes[Courier?],MATCH($E794,tblMoveTypes[Movement],0)),"?")="No",$H794&lt;&gt;""),"Leave Courier blank",IF(AND(IFERROR(INDEX(tblMoveTypes[Orders?],MATCH($E794,tblMoveTypes[Movement],0)),"?")="Yes",$G794=""),"Orders needed",IF(AND(IFERROR(INDEX(tblMoveTypes[Orders?],MATCH($E794,tblMoveTypes[Movement],0)),"?")="No",$G794&lt;&gt;""),"Leave Orders blank",IF(AND(IFERROR(INDEX(tblMoveTypes[Reason?],MATCH($E794,tblMoveTypes[Movement],0)),"?")="Yes",$I794=""),"Reason needed",IF(AND(IFERROR(INDEX(tblMoveTypes[Qty?],MATCH($E794,tblMoveTypes[Movement],0)),"?")="Yes",N($F794)&lt;=0),"Qty needed",IF($A794&lt;_xlfn.MINIFS(tblShipment[Arrival Date],tblShipment[Shipment ID],$C794),"Date before arrival",IF(AND($D794&lt;&gt;"",COUNTIFS(tblShipment[Shipment ID],$C794,tblShipment[Item Code],$D794)=0),"Item not in this shipment",IF(AND($H794&lt;&gt;"",COUNTIFS(tblCouriers[Courier],$H794,tblCouriers[Market],$B794)=0),"Courier not in this market","OK")))))))))))))))</f>
        <v>OK</v>
      </c>
    </row>
    <row r="795" customFormat="false" ht="15" hidden="false" customHeight="false" outlineLevel="0" collapsed="false">
      <c r="A795" s="27" t="n">
        <v>46246</v>
      </c>
      <c r="B795" s="26" t="s">
        <v>78</v>
      </c>
      <c r="C795" s="26" t="s">
        <v>137</v>
      </c>
      <c r="D795" s="26"/>
      <c r="E795" s="26" t="s">
        <v>104</v>
      </c>
      <c r="F795" s="28"/>
      <c r="G795" s="28" t="n">
        <v>2</v>
      </c>
      <c r="H795" s="26" t="s">
        <v>79</v>
      </c>
      <c r="I795" s="26"/>
      <c r="J795" s="26"/>
      <c r="K795" s="29" t="str">
        <f aca="false">IF($A795="","",IF(COUNTIFS(tblMoveTypes[Movement],$E795)=0,"Unknown movement type",IF(COUNTIF(tblShipment[Shipment ID],$C795)=0,"Unknown shipment",IF(COUNTIFS(tblShipment[Shipment ID],$C795,tblShipment[Market],$B795)=0,"Market does not match shipment",IF(AND(IFERROR(INDEX(tblMoveTypes[Item?],MATCH($E795,tblMoveTypes[Movement],0)),"?")="Yes",$D795=""),"Item needed",IF(AND(IFERROR(INDEX(tblMoveTypes[Item?],MATCH($E795,tblMoveTypes[Movement],0)),"?")="No",$D795&lt;&gt;""),"Leave Item blank",IF(AND(IFERROR(INDEX(tblMoveTypes[Courier?],MATCH($E795,tblMoveTypes[Movement],0)),"?")="Yes",$H795=""),"Courier needed",IF(AND(IFERROR(INDEX(tblMoveTypes[Courier?],MATCH($E795,tblMoveTypes[Movement],0)),"?")="No",$H795&lt;&gt;""),"Leave Courier blank",IF(AND(IFERROR(INDEX(tblMoveTypes[Orders?],MATCH($E795,tblMoveTypes[Movement],0)),"?")="Yes",$G795=""),"Orders needed",IF(AND(IFERROR(INDEX(tblMoveTypes[Orders?],MATCH($E795,tblMoveTypes[Movement],0)),"?")="No",$G795&lt;&gt;""),"Leave Orders blank",IF(AND(IFERROR(INDEX(tblMoveTypes[Reason?],MATCH($E795,tblMoveTypes[Movement],0)),"?")="Yes",$I795=""),"Reason needed",IF(AND(IFERROR(INDEX(tblMoveTypes[Qty?],MATCH($E795,tblMoveTypes[Movement],0)),"?")="Yes",N($F795)&lt;=0),"Qty needed",IF($A795&lt;_xlfn.MINIFS(tblShipment[Arrival Date],tblShipment[Shipment ID],$C795),"Date before arrival",IF(AND($D795&lt;&gt;"",COUNTIFS(tblShipment[Shipment ID],$C795,tblShipment[Item Code],$D795)=0),"Item not in this shipment",IF(AND($H795&lt;&gt;"",COUNTIFS(tblCouriers[Courier],$H795,tblCouriers[Market],$B795)=0),"Courier not in this market","OK")))))))))))))))</f>
        <v>OK</v>
      </c>
    </row>
    <row r="796" customFormat="false" ht="15" hidden="false" customHeight="false" outlineLevel="0" collapsed="false">
      <c r="A796" s="27" t="n">
        <v>46247</v>
      </c>
      <c r="B796" s="26" t="s">
        <v>70</v>
      </c>
      <c r="C796" s="26" t="s">
        <v>125</v>
      </c>
      <c r="D796" s="26" t="s">
        <v>76</v>
      </c>
      <c r="E796" s="26" t="s">
        <v>73</v>
      </c>
      <c r="F796" s="28" t="n">
        <v>3</v>
      </c>
      <c r="G796" s="28"/>
      <c r="H796" s="26"/>
      <c r="I796" s="26" t="s">
        <v>87</v>
      </c>
      <c r="J796" s="26"/>
      <c r="K796" s="29" t="str">
        <f aca="false">IF($A796="","",IF(COUNTIFS(tblMoveTypes[Movement],$E796)=0,"Unknown movement type",IF(COUNTIF(tblShipment[Shipment ID],$C796)=0,"Unknown shipment",IF(COUNTIFS(tblShipment[Shipment ID],$C796,tblShipment[Market],$B796)=0,"Market does not match shipment",IF(AND(IFERROR(INDEX(tblMoveTypes[Item?],MATCH($E796,tblMoveTypes[Movement],0)),"?")="Yes",$D796=""),"Item needed",IF(AND(IFERROR(INDEX(tblMoveTypes[Item?],MATCH($E796,tblMoveTypes[Movement],0)),"?")="No",$D796&lt;&gt;""),"Leave Item blank",IF(AND(IFERROR(INDEX(tblMoveTypes[Courier?],MATCH($E796,tblMoveTypes[Movement],0)),"?")="Yes",$H796=""),"Courier needed",IF(AND(IFERROR(INDEX(tblMoveTypes[Courier?],MATCH($E796,tblMoveTypes[Movement],0)),"?")="No",$H796&lt;&gt;""),"Leave Courier blank",IF(AND(IFERROR(INDEX(tblMoveTypes[Orders?],MATCH($E796,tblMoveTypes[Movement],0)),"?")="Yes",$G796=""),"Orders needed",IF(AND(IFERROR(INDEX(tblMoveTypes[Orders?],MATCH($E796,tblMoveTypes[Movement],0)),"?")="No",$G796&lt;&gt;""),"Leave Orders blank",IF(AND(IFERROR(INDEX(tblMoveTypes[Reason?],MATCH($E796,tblMoveTypes[Movement],0)),"?")="Yes",$I796=""),"Reason needed",IF(AND(IFERROR(INDEX(tblMoveTypes[Qty?],MATCH($E796,tblMoveTypes[Movement],0)),"?")="Yes",N($F796)&lt;=0),"Qty needed",IF($A796&lt;_xlfn.MINIFS(tblShipment[Arrival Date],tblShipment[Shipment ID],$C796),"Date before arrival",IF(AND($D796&lt;&gt;"",COUNTIFS(tblShipment[Shipment ID],$C796,tblShipment[Item Code],$D796)=0),"Item not in this shipment",IF(AND($H796&lt;&gt;"",COUNTIFS(tblCouriers[Courier],$H796,tblCouriers[Market],$B796)=0),"Courier not in this market","OK")))))))))))))))</f>
        <v>OK</v>
      </c>
    </row>
    <row r="797" customFormat="false" ht="15" hidden="false" customHeight="false" outlineLevel="0" collapsed="false">
      <c r="A797" s="27" t="n">
        <v>46247</v>
      </c>
      <c r="B797" s="26" t="s">
        <v>70</v>
      </c>
      <c r="C797" s="26" t="s">
        <v>129</v>
      </c>
      <c r="D797" s="26" t="s">
        <v>67</v>
      </c>
      <c r="E797" s="26" t="s">
        <v>93</v>
      </c>
      <c r="F797" s="28" t="n">
        <v>9</v>
      </c>
      <c r="G797" s="28"/>
      <c r="H797" s="26" t="s">
        <v>71</v>
      </c>
      <c r="I797" s="26"/>
      <c r="J797" s="26"/>
      <c r="K797" s="29" t="str">
        <f aca="false">IF($A797="","",IF(COUNTIFS(tblMoveTypes[Movement],$E797)=0,"Unknown movement type",IF(COUNTIF(tblShipment[Shipment ID],$C797)=0,"Unknown shipment",IF(COUNTIFS(tblShipment[Shipment ID],$C797,tblShipment[Market],$B797)=0,"Market does not match shipment",IF(AND(IFERROR(INDEX(tblMoveTypes[Item?],MATCH($E797,tblMoveTypes[Movement],0)),"?")="Yes",$D797=""),"Item needed",IF(AND(IFERROR(INDEX(tblMoveTypes[Item?],MATCH($E797,tblMoveTypes[Movement],0)),"?")="No",$D797&lt;&gt;""),"Leave Item blank",IF(AND(IFERROR(INDEX(tblMoveTypes[Courier?],MATCH($E797,tblMoveTypes[Movement],0)),"?")="Yes",$H797=""),"Courier needed",IF(AND(IFERROR(INDEX(tblMoveTypes[Courier?],MATCH($E797,tblMoveTypes[Movement],0)),"?")="No",$H797&lt;&gt;""),"Leave Courier blank",IF(AND(IFERROR(INDEX(tblMoveTypes[Orders?],MATCH($E797,tblMoveTypes[Movement],0)),"?")="Yes",$G797=""),"Orders needed",IF(AND(IFERROR(INDEX(tblMoveTypes[Orders?],MATCH($E797,tblMoveTypes[Movement],0)),"?")="No",$G797&lt;&gt;""),"Leave Orders blank",IF(AND(IFERROR(INDEX(tblMoveTypes[Reason?],MATCH($E797,tblMoveTypes[Movement],0)),"?")="Yes",$I797=""),"Reason needed",IF(AND(IFERROR(INDEX(tblMoveTypes[Qty?],MATCH($E797,tblMoveTypes[Movement],0)),"?")="Yes",N($F797)&lt;=0),"Qty needed",IF($A797&lt;_xlfn.MINIFS(tblShipment[Arrival Date],tblShipment[Shipment ID],$C797),"Date before arrival",IF(AND($D797&lt;&gt;"",COUNTIFS(tblShipment[Shipment ID],$C797,tblShipment[Item Code],$D797)=0),"Item not in this shipment",IF(AND($H797&lt;&gt;"",COUNTIFS(tblCouriers[Courier],$H797,tblCouriers[Market],$B797)=0),"Courier not in this market","OK")))))))))))))))</f>
        <v>OK</v>
      </c>
    </row>
    <row r="798" customFormat="false" ht="15" hidden="false" customHeight="false" outlineLevel="0" collapsed="false">
      <c r="A798" s="27" t="n">
        <v>46247</v>
      </c>
      <c r="B798" s="26" t="s">
        <v>70</v>
      </c>
      <c r="C798" s="26" t="s">
        <v>129</v>
      </c>
      <c r="D798" s="26"/>
      <c r="E798" s="26" t="s">
        <v>104</v>
      </c>
      <c r="F798" s="28"/>
      <c r="G798" s="28" t="n">
        <v>1</v>
      </c>
      <c r="H798" s="26" t="s">
        <v>71</v>
      </c>
      <c r="I798" s="26"/>
      <c r="J798" s="26"/>
      <c r="K798" s="29" t="str">
        <f aca="false">IF($A798="","",IF(COUNTIFS(tblMoveTypes[Movement],$E798)=0,"Unknown movement type",IF(COUNTIF(tblShipment[Shipment ID],$C798)=0,"Unknown shipment",IF(COUNTIFS(tblShipment[Shipment ID],$C798,tblShipment[Market],$B798)=0,"Market does not match shipment",IF(AND(IFERROR(INDEX(tblMoveTypes[Item?],MATCH($E798,tblMoveTypes[Movement],0)),"?")="Yes",$D798=""),"Item needed",IF(AND(IFERROR(INDEX(tblMoveTypes[Item?],MATCH($E798,tblMoveTypes[Movement],0)),"?")="No",$D798&lt;&gt;""),"Leave Item blank",IF(AND(IFERROR(INDEX(tblMoveTypes[Courier?],MATCH($E798,tblMoveTypes[Movement],0)),"?")="Yes",$H798=""),"Courier needed",IF(AND(IFERROR(INDEX(tblMoveTypes[Courier?],MATCH($E798,tblMoveTypes[Movement],0)),"?")="No",$H798&lt;&gt;""),"Leave Courier blank",IF(AND(IFERROR(INDEX(tblMoveTypes[Orders?],MATCH($E798,tblMoveTypes[Movement],0)),"?")="Yes",$G798=""),"Orders needed",IF(AND(IFERROR(INDEX(tblMoveTypes[Orders?],MATCH($E798,tblMoveTypes[Movement],0)),"?")="No",$G798&lt;&gt;""),"Leave Orders blank",IF(AND(IFERROR(INDEX(tblMoveTypes[Reason?],MATCH($E798,tblMoveTypes[Movement],0)),"?")="Yes",$I798=""),"Reason needed",IF(AND(IFERROR(INDEX(tblMoveTypes[Qty?],MATCH($E798,tblMoveTypes[Movement],0)),"?")="Yes",N($F798)&lt;=0),"Qty needed",IF($A798&lt;_xlfn.MINIFS(tblShipment[Arrival Date],tblShipment[Shipment ID],$C798),"Date before arrival",IF(AND($D798&lt;&gt;"",COUNTIFS(tblShipment[Shipment ID],$C798,tblShipment[Item Code],$D798)=0),"Item not in this shipment",IF(AND($H798&lt;&gt;"",COUNTIFS(tblCouriers[Courier],$H798,tblCouriers[Market],$B798)=0),"Courier not in this market","OK")))))))))))))))</f>
        <v>OK</v>
      </c>
    </row>
    <row r="799" customFormat="false" ht="15" hidden="false" customHeight="false" outlineLevel="0" collapsed="false">
      <c r="A799" s="27" t="n">
        <v>46247</v>
      </c>
      <c r="B799" s="26" t="s">
        <v>70</v>
      </c>
      <c r="C799" s="26" t="s">
        <v>129</v>
      </c>
      <c r="D799" s="26" t="s">
        <v>83</v>
      </c>
      <c r="E799" s="26" t="s">
        <v>93</v>
      </c>
      <c r="F799" s="28" t="n">
        <v>17</v>
      </c>
      <c r="G799" s="28"/>
      <c r="H799" s="26" t="s">
        <v>71</v>
      </c>
      <c r="I799" s="26"/>
      <c r="J799" s="26"/>
      <c r="K799" s="29" t="str">
        <f aca="false">IF($A799="","",IF(COUNTIFS(tblMoveTypes[Movement],$E799)=0,"Unknown movement type",IF(COUNTIF(tblShipment[Shipment ID],$C799)=0,"Unknown shipment",IF(COUNTIFS(tblShipment[Shipment ID],$C799,tblShipment[Market],$B799)=0,"Market does not match shipment",IF(AND(IFERROR(INDEX(tblMoveTypes[Item?],MATCH($E799,tblMoveTypes[Movement],0)),"?")="Yes",$D799=""),"Item needed",IF(AND(IFERROR(INDEX(tblMoveTypes[Item?],MATCH($E799,tblMoveTypes[Movement],0)),"?")="No",$D799&lt;&gt;""),"Leave Item blank",IF(AND(IFERROR(INDEX(tblMoveTypes[Courier?],MATCH($E799,tblMoveTypes[Movement],0)),"?")="Yes",$H799=""),"Courier needed",IF(AND(IFERROR(INDEX(tblMoveTypes[Courier?],MATCH($E799,tblMoveTypes[Movement],0)),"?")="No",$H799&lt;&gt;""),"Leave Courier blank",IF(AND(IFERROR(INDEX(tblMoveTypes[Orders?],MATCH($E799,tblMoveTypes[Movement],0)),"?")="Yes",$G799=""),"Orders needed",IF(AND(IFERROR(INDEX(tblMoveTypes[Orders?],MATCH($E799,tblMoveTypes[Movement],0)),"?")="No",$G799&lt;&gt;""),"Leave Orders blank",IF(AND(IFERROR(INDEX(tblMoveTypes[Reason?],MATCH($E799,tblMoveTypes[Movement],0)),"?")="Yes",$I799=""),"Reason needed",IF(AND(IFERROR(INDEX(tblMoveTypes[Qty?],MATCH($E799,tblMoveTypes[Movement],0)),"?")="Yes",N($F799)&lt;=0),"Qty needed",IF($A799&lt;_xlfn.MINIFS(tblShipment[Arrival Date],tblShipment[Shipment ID],$C799),"Date before arrival",IF(AND($D799&lt;&gt;"",COUNTIFS(tblShipment[Shipment ID],$C799,tblShipment[Item Code],$D799)=0),"Item not in this shipment",IF(AND($H799&lt;&gt;"",COUNTIFS(tblCouriers[Courier],$H799,tblCouriers[Market],$B799)=0),"Courier not in this market","OK")))))))))))))))</f>
        <v>OK</v>
      </c>
    </row>
    <row r="800" customFormat="false" ht="15" hidden="false" customHeight="false" outlineLevel="0" collapsed="false">
      <c r="A800" s="27" t="n">
        <v>46247</v>
      </c>
      <c r="B800" s="26" t="s">
        <v>70</v>
      </c>
      <c r="C800" s="26" t="s">
        <v>129</v>
      </c>
      <c r="D800" s="26"/>
      <c r="E800" s="26" t="s">
        <v>104</v>
      </c>
      <c r="F800" s="28"/>
      <c r="G800" s="28" t="n">
        <v>2</v>
      </c>
      <c r="H800" s="26" t="s">
        <v>71</v>
      </c>
      <c r="I800" s="26"/>
      <c r="J800" s="26"/>
      <c r="K800" s="29" t="str">
        <f aca="false">IF($A800="","",IF(COUNTIFS(tblMoveTypes[Movement],$E800)=0,"Unknown movement type",IF(COUNTIF(tblShipment[Shipment ID],$C800)=0,"Unknown shipment",IF(COUNTIFS(tblShipment[Shipment ID],$C800,tblShipment[Market],$B800)=0,"Market does not match shipment",IF(AND(IFERROR(INDEX(tblMoveTypes[Item?],MATCH($E800,tblMoveTypes[Movement],0)),"?")="Yes",$D800=""),"Item needed",IF(AND(IFERROR(INDEX(tblMoveTypes[Item?],MATCH($E800,tblMoveTypes[Movement],0)),"?")="No",$D800&lt;&gt;""),"Leave Item blank",IF(AND(IFERROR(INDEX(tblMoveTypes[Courier?],MATCH($E800,tblMoveTypes[Movement],0)),"?")="Yes",$H800=""),"Courier needed",IF(AND(IFERROR(INDEX(tblMoveTypes[Courier?],MATCH($E800,tblMoveTypes[Movement],0)),"?")="No",$H800&lt;&gt;""),"Leave Courier blank",IF(AND(IFERROR(INDEX(tblMoveTypes[Orders?],MATCH($E800,tblMoveTypes[Movement],0)),"?")="Yes",$G800=""),"Orders needed",IF(AND(IFERROR(INDEX(tblMoveTypes[Orders?],MATCH($E800,tblMoveTypes[Movement],0)),"?")="No",$G800&lt;&gt;""),"Leave Orders blank",IF(AND(IFERROR(INDEX(tblMoveTypes[Reason?],MATCH($E800,tblMoveTypes[Movement],0)),"?")="Yes",$I800=""),"Reason needed",IF(AND(IFERROR(INDEX(tblMoveTypes[Qty?],MATCH($E800,tblMoveTypes[Movement],0)),"?")="Yes",N($F800)&lt;=0),"Qty needed",IF($A800&lt;_xlfn.MINIFS(tblShipment[Arrival Date],tblShipment[Shipment ID],$C800),"Date before arrival",IF(AND($D800&lt;&gt;"",COUNTIFS(tblShipment[Shipment ID],$C800,tblShipment[Item Code],$D800)=0),"Item not in this shipment",IF(AND($H800&lt;&gt;"",COUNTIFS(tblCouriers[Courier],$H800,tblCouriers[Market],$B800)=0),"Courier not in this market","OK")))))))))))))))</f>
        <v>OK</v>
      </c>
    </row>
    <row r="801" customFormat="false" ht="15" hidden="false" customHeight="false" outlineLevel="0" collapsed="false">
      <c r="A801" s="27" t="n">
        <v>46247</v>
      </c>
      <c r="B801" s="26" t="s">
        <v>85</v>
      </c>
      <c r="C801" s="26" t="s">
        <v>145</v>
      </c>
      <c r="D801" s="26" t="s">
        <v>88</v>
      </c>
      <c r="E801" s="26" t="s">
        <v>93</v>
      </c>
      <c r="F801" s="28" t="n">
        <v>10</v>
      </c>
      <c r="G801" s="28"/>
      <c r="H801" s="26" t="s">
        <v>91</v>
      </c>
      <c r="I801" s="26"/>
      <c r="J801" s="26"/>
      <c r="K801" s="29" t="str">
        <f aca="false">IF($A801="","",IF(COUNTIFS(tblMoveTypes[Movement],$E801)=0,"Unknown movement type",IF(COUNTIF(tblShipment[Shipment ID],$C801)=0,"Unknown shipment",IF(COUNTIFS(tblShipment[Shipment ID],$C801,tblShipment[Market],$B801)=0,"Market does not match shipment",IF(AND(IFERROR(INDEX(tblMoveTypes[Item?],MATCH($E801,tblMoveTypes[Movement],0)),"?")="Yes",$D801=""),"Item needed",IF(AND(IFERROR(INDEX(tblMoveTypes[Item?],MATCH($E801,tblMoveTypes[Movement],0)),"?")="No",$D801&lt;&gt;""),"Leave Item blank",IF(AND(IFERROR(INDEX(tblMoveTypes[Courier?],MATCH($E801,tblMoveTypes[Movement],0)),"?")="Yes",$H801=""),"Courier needed",IF(AND(IFERROR(INDEX(tblMoveTypes[Courier?],MATCH($E801,tblMoveTypes[Movement],0)),"?")="No",$H801&lt;&gt;""),"Leave Courier blank",IF(AND(IFERROR(INDEX(tblMoveTypes[Orders?],MATCH($E801,tblMoveTypes[Movement],0)),"?")="Yes",$G801=""),"Orders needed",IF(AND(IFERROR(INDEX(tblMoveTypes[Orders?],MATCH($E801,tblMoveTypes[Movement],0)),"?")="No",$G801&lt;&gt;""),"Leave Orders blank",IF(AND(IFERROR(INDEX(tblMoveTypes[Reason?],MATCH($E801,tblMoveTypes[Movement],0)),"?")="Yes",$I801=""),"Reason needed",IF(AND(IFERROR(INDEX(tblMoveTypes[Qty?],MATCH($E801,tblMoveTypes[Movement],0)),"?")="Yes",N($F801)&lt;=0),"Qty needed",IF($A801&lt;_xlfn.MINIFS(tblShipment[Arrival Date],tblShipment[Shipment ID],$C801),"Date before arrival",IF(AND($D801&lt;&gt;"",COUNTIFS(tblShipment[Shipment ID],$C801,tblShipment[Item Code],$D801)=0),"Item not in this shipment",IF(AND($H801&lt;&gt;"",COUNTIFS(tblCouriers[Courier],$H801,tblCouriers[Market],$B801)=0),"Courier not in this market","OK")))))))))))))))</f>
        <v>OK</v>
      </c>
    </row>
    <row r="802" customFormat="false" ht="15" hidden="false" customHeight="false" outlineLevel="0" collapsed="false">
      <c r="A802" s="27" t="n">
        <v>46247</v>
      </c>
      <c r="B802" s="26" t="s">
        <v>85</v>
      </c>
      <c r="C802" s="26" t="s">
        <v>145</v>
      </c>
      <c r="D802" s="26"/>
      <c r="E802" s="26" t="s">
        <v>104</v>
      </c>
      <c r="F802" s="28"/>
      <c r="G802" s="28" t="n">
        <v>1</v>
      </c>
      <c r="H802" s="26" t="s">
        <v>91</v>
      </c>
      <c r="I802" s="26"/>
      <c r="J802" s="26"/>
      <c r="K802" s="29" t="str">
        <f aca="false">IF($A802="","",IF(COUNTIFS(tblMoveTypes[Movement],$E802)=0,"Unknown movement type",IF(COUNTIF(tblShipment[Shipment ID],$C802)=0,"Unknown shipment",IF(COUNTIFS(tblShipment[Shipment ID],$C802,tblShipment[Market],$B802)=0,"Market does not match shipment",IF(AND(IFERROR(INDEX(tblMoveTypes[Item?],MATCH($E802,tblMoveTypes[Movement],0)),"?")="Yes",$D802=""),"Item needed",IF(AND(IFERROR(INDEX(tblMoveTypes[Item?],MATCH($E802,tblMoveTypes[Movement],0)),"?")="No",$D802&lt;&gt;""),"Leave Item blank",IF(AND(IFERROR(INDEX(tblMoveTypes[Courier?],MATCH($E802,tblMoveTypes[Movement],0)),"?")="Yes",$H802=""),"Courier needed",IF(AND(IFERROR(INDEX(tblMoveTypes[Courier?],MATCH($E802,tblMoveTypes[Movement],0)),"?")="No",$H802&lt;&gt;""),"Leave Courier blank",IF(AND(IFERROR(INDEX(tblMoveTypes[Orders?],MATCH($E802,tblMoveTypes[Movement],0)),"?")="Yes",$G802=""),"Orders needed",IF(AND(IFERROR(INDEX(tblMoveTypes[Orders?],MATCH($E802,tblMoveTypes[Movement],0)),"?")="No",$G802&lt;&gt;""),"Leave Orders blank",IF(AND(IFERROR(INDEX(tblMoveTypes[Reason?],MATCH($E802,tblMoveTypes[Movement],0)),"?")="Yes",$I802=""),"Reason needed",IF(AND(IFERROR(INDEX(tblMoveTypes[Qty?],MATCH($E802,tblMoveTypes[Movement],0)),"?")="Yes",N($F802)&lt;=0),"Qty needed",IF($A802&lt;_xlfn.MINIFS(tblShipment[Arrival Date],tblShipment[Shipment ID],$C802),"Date before arrival",IF(AND($D802&lt;&gt;"",COUNTIFS(tblShipment[Shipment ID],$C802,tblShipment[Item Code],$D802)=0),"Item not in this shipment",IF(AND($H802&lt;&gt;"",COUNTIFS(tblCouriers[Courier],$H802,tblCouriers[Market],$B802)=0),"Courier not in this market","OK")))))))))))))))</f>
        <v>OK</v>
      </c>
    </row>
    <row r="803" customFormat="false" ht="15" hidden="false" customHeight="false" outlineLevel="0" collapsed="false">
      <c r="A803" s="27" t="n">
        <v>46247</v>
      </c>
      <c r="B803" s="26" t="s">
        <v>85</v>
      </c>
      <c r="C803" s="26" t="s">
        <v>145</v>
      </c>
      <c r="D803" s="26" t="s">
        <v>76</v>
      </c>
      <c r="E803" s="26" t="s">
        <v>93</v>
      </c>
      <c r="F803" s="28" t="n">
        <v>7</v>
      </c>
      <c r="G803" s="28"/>
      <c r="H803" s="26" t="s">
        <v>91</v>
      </c>
      <c r="I803" s="26"/>
      <c r="J803" s="26"/>
      <c r="K803" s="29" t="str">
        <f aca="false">IF($A803="","",IF(COUNTIFS(tblMoveTypes[Movement],$E803)=0,"Unknown movement type",IF(COUNTIF(tblShipment[Shipment ID],$C803)=0,"Unknown shipment",IF(COUNTIFS(tblShipment[Shipment ID],$C803,tblShipment[Market],$B803)=0,"Market does not match shipment",IF(AND(IFERROR(INDEX(tblMoveTypes[Item?],MATCH($E803,tblMoveTypes[Movement],0)),"?")="Yes",$D803=""),"Item needed",IF(AND(IFERROR(INDEX(tblMoveTypes[Item?],MATCH($E803,tblMoveTypes[Movement],0)),"?")="No",$D803&lt;&gt;""),"Leave Item blank",IF(AND(IFERROR(INDEX(tblMoveTypes[Courier?],MATCH($E803,tblMoveTypes[Movement],0)),"?")="Yes",$H803=""),"Courier needed",IF(AND(IFERROR(INDEX(tblMoveTypes[Courier?],MATCH($E803,tblMoveTypes[Movement],0)),"?")="No",$H803&lt;&gt;""),"Leave Courier blank",IF(AND(IFERROR(INDEX(tblMoveTypes[Orders?],MATCH($E803,tblMoveTypes[Movement],0)),"?")="Yes",$G803=""),"Orders needed",IF(AND(IFERROR(INDEX(tblMoveTypes[Orders?],MATCH($E803,tblMoveTypes[Movement],0)),"?")="No",$G803&lt;&gt;""),"Leave Orders blank",IF(AND(IFERROR(INDEX(tblMoveTypes[Reason?],MATCH($E803,tblMoveTypes[Movement],0)),"?")="Yes",$I803=""),"Reason needed",IF(AND(IFERROR(INDEX(tblMoveTypes[Qty?],MATCH($E803,tblMoveTypes[Movement],0)),"?")="Yes",N($F803)&lt;=0),"Qty needed",IF($A803&lt;_xlfn.MINIFS(tblShipment[Arrival Date],tblShipment[Shipment ID],$C803),"Date before arrival",IF(AND($D803&lt;&gt;"",COUNTIFS(tblShipment[Shipment ID],$C803,tblShipment[Item Code],$D803)=0),"Item not in this shipment",IF(AND($H803&lt;&gt;"",COUNTIFS(tblCouriers[Courier],$H803,tblCouriers[Market],$B803)=0),"Courier not in this market","OK")))))))))))))))</f>
        <v>OK</v>
      </c>
    </row>
    <row r="804" customFormat="false" ht="15" hidden="false" customHeight="false" outlineLevel="0" collapsed="false">
      <c r="A804" s="27" t="n">
        <v>46247</v>
      </c>
      <c r="B804" s="26" t="s">
        <v>85</v>
      </c>
      <c r="C804" s="26" t="s">
        <v>145</v>
      </c>
      <c r="D804" s="26"/>
      <c r="E804" s="26" t="s">
        <v>104</v>
      </c>
      <c r="F804" s="28"/>
      <c r="G804" s="28" t="n">
        <v>1</v>
      </c>
      <c r="H804" s="26" t="s">
        <v>91</v>
      </c>
      <c r="I804" s="26"/>
      <c r="J804" s="26"/>
      <c r="K804" s="29" t="str">
        <f aca="false">IF($A804="","",IF(COUNTIFS(tblMoveTypes[Movement],$E804)=0,"Unknown movement type",IF(COUNTIF(tblShipment[Shipment ID],$C804)=0,"Unknown shipment",IF(COUNTIFS(tblShipment[Shipment ID],$C804,tblShipment[Market],$B804)=0,"Market does not match shipment",IF(AND(IFERROR(INDEX(tblMoveTypes[Item?],MATCH($E804,tblMoveTypes[Movement],0)),"?")="Yes",$D804=""),"Item needed",IF(AND(IFERROR(INDEX(tblMoveTypes[Item?],MATCH($E804,tblMoveTypes[Movement],0)),"?")="No",$D804&lt;&gt;""),"Leave Item blank",IF(AND(IFERROR(INDEX(tblMoveTypes[Courier?],MATCH($E804,tblMoveTypes[Movement],0)),"?")="Yes",$H804=""),"Courier needed",IF(AND(IFERROR(INDEX(tblMoveTypes[Courier?],MATCH($E804,tblMoveTypes[Movement],0)),"?")="No",$H804&lt;&gt;""),"Leave Courier blank",IF(AND(IFERROR(INDEX(tblMoveTypes[Orders?],MATCH($E804,tblMoveTypes[Movement],0)),"?")="Yes",$G804=""),"Orders needed",IF(AND(IFERROR(INDEX(tblMoveTypes[Orders?],MATCH($E804,tblMoveTypes[Movement],0)),"?")="No",$G804&lt;&gt;""),"Leave Orders blank",IF(AND(IFERROR(INDEX(tblMoveTypes[Reason?],MATCH($E804,tblMoveTypes[Movement],0)),"?")="Yes",$I804=""),"Reason needed",IF(AND(IFERROR(INDEX(tblMoveTypes[Qty?],MATCH($E804,tblMoveTypes[Movement],0)),"?")="Yes",N($F804)&lt;=0),"Qty needed",IF($A804&lt;_xlfn.MINIFS(tblShipment[Arrival Date],tblShipment[Shipment ID],$C804),"Date before arrival",IF(AND($D804&lt;&gt;"",COUNTIFS(tblShipment[Shipment ID],$C804,tblShipment[Item Code],$D804)=0),"Item not in this shipment",IF(AND($H804&lt;&gt;"",COUNTIFS(tblCouriers[Courier],$H804,tblCouriers[Market],$B804)=0),"Courier not in this market","OK")))))))))))))))</f>
        <v>OK</v>
      </c>
    </row>
    <row r="805" customFormat="false" ht="15" hidden="false" customHeight="false" outlineLevel="0" collapsed="false">
      <c r="A805" s="27" t="n">
        <v>46247</v>
      </c>
      <c r="B805" s="26" t="s">
        <v>85</v>
      </c>
      <c r="C805" s="26" t="s">
        <v>145</v>
      </c>
      <c r="D805" s="26"/>
      <c r="E805" s="26" t="s">
        <v>106</v>
      </c>
      <c r="F805" s="28" t="n">
        <v>15</v>
      </c>
      <c r="G805" s="28" t="n">
        <v>2</v>
      </c>
      <c r="H805" s="26" t="s">
        <v>91</v>
      </c>
      <c r="I805" s="26"/>
      <c r="J805" s="26"/>
      <c r="K805" s="29" t="str">
        <f aca="false">IF($A805="","",IF(COUNTIFS(tblMoveTypes[Movement],$E805)=0,"Unknown movement type",IF(COUNTIF(tblShipment[Shipment ID],$C805)=0,"Unknown shipment",IF(COUNTIFS(tblShipment[Shipment ID],$C805,tblShipment[Market],$B805)=0,"Market does not match shipment",IF(AND(IFERROR(INDEX(tblMoveTypes[Item?],MATCH($E805,tblMoveTypes[Movement],0)),"?")="Yes",$D805=""),"Item needed",IF(AND(IFERROR(INDEX(tblMoveTypes[Item?],MATCH($E805,tblMoveTypes[Movement],0)),"?")="No",$D805&lt;&gt;""),"Leave Item blank",IF(AND(IFERROR(INDEX(tblMoveTypes[Courier?],MATCH($E805,tblMoveTypes[Movement],0)),"?")="Yes",$H805=""),"Courier needed",IF(AND(IFERROR(INDEX(tblMoveTypes[Courier?],MATCH($E805,tblMoveTypes[Movement],0)),"?")="No",$H805&lt;&gt;""),"Leave Courier blank",IF(AND(IFERROR(INDEX(tblMoveTypes[Orders?],MATCH($E805,tblMoveTypes[Movement],0)),"?")="Yes",$G805=""),"Orders needed",IF(AND(IFERROR(INDEX(tblMoveTypes[Orders?],MATCH($E805,tblMoveTypes[Movement],0)),"?")="No",$G805&lt;&gt;""),"Leave Orders blank",IF(AND(IFERROR(INDEX(tblMoveTypes[Reason?],MATCH($E805,tblMoveTypes[Movement],0)),"?")="Yes",$I805=""),"Reason needed",IF(AND(IFERROR(INDEX(tblMoveTypes[Qty?],MATCH($E805,tblMoveTypes[Movement],0)),"?")="Yes",N($F805)&lt;=0),"Qty needed",IF($A805&lt;_xlfn.MINIFS(tblShipment[Arrival Date],tblShipment[Shipment ID],$C805),"Date before arrival",IF(AND($D805&lt;&gt;"",COUNTIFS(tblShipment[Shipment ID],$C805,tblShipment[Item Code],$D805)=0),"Item not in this shipment",IF(AND($H805&lt;&gt;"",COUNTIFS(tblCouriers[Courier],$H805,tblCouriers[Market],$B805)=0),"Courier not in this market","OK")))))))))))))))</f>
        <v>OK</v>
      </c>
    </row>
    <row r="806" customFormat="false" ht="15" hidden="false" customHeight="false" outlineLevel="0" collapsed="false">
      <c r="A806" s="27" t="n">
        <v>46247</v>
      </c>
      <c r="B806" s="26" t="s">
        <v>85</v>
      </c>
      <c r="C806" s="26" t="s">
        <v>146</v>
      </c>
      <c r="D806" s="26" t="s">
        <v>67</v>
      </c>
      <c r="E806" s="26" t="s">
        <v>74</v>
      </c>
      <c r="F806" s="28" t="n">
        <v>60</v>
      </c>
      <c r="G806" s="28"/>
      <c r="H806" s="26"/>
      <c r="I806" s="26"/>
      <c r="J806" s="26"/>
      <c r="K806" s="29" t="str">
        <f aca="false">IF($A806="","",IF(COUNTIFS(tblMoveTypes[Movement],$E806)=0,"Unknown movement type",IF(COUNTIF(tblShipment[Shipment ID],$C806)=0,"Unknown shipment",IF(COUNTIFS(tblShipment[Shipment ID],$C806,tblShipment[Market],$B806)=0,"Market does not match shipment",IF(AND(IFERROR(INDEX(tblMoveTypes[Item?],MATCH($E806,tblMoveTypes[Movement],0)),"?")="Yes",$D806=""),"Item needed",IF(AND(IFERROR(INDEX(tblMoveTypes[Item?],MATCH($E806,tblMoveTypes[Movement],0)),"?")="No",$D806&lt;&gt;""),"Leave Item blank",IF(AND(IFERROR(INDEX(tblMoveTypes[Courier?],MATCH($E806,tblMoveTypes[Movement],0)),"?")="Yes",$H806=""),"Courier needed",IF(AND(IFERROR(INDEX(tblMoveTypes[Courier?],MATCH($E806,tblMoveTypes[Movement],0)),"?")="No",$H806&lt;&gt;""),"Leave Courier blank",IF(AND(IFERROR(INDEX(tblMoveTypes[Orders?],MATCH($E806,tblMoveTypes[Movement],0)),"?")="Yes",$G806=""),"Orders needed",IF(AND(IFERROR(INDEX(tblMoveTypes[Orders?],MATCH($E806,tblMoveTypes[Movement],0)),"?")="No",$G806&lt;&gt;""),"Leave Orders blank",IF(AND(IFERROR(INDEX(tblMoveTypes[Reason?],MATCH($E806,tblMoveTypes[Movement],0)),"?")="Yes",$I806=""),"Reason needed",IF(AND(IFERROR(INDEX(tblMoveTypes[Qty?],MATCH($E806,tblMoveTypes[Movement],0)),"?")="Yes",N($F806)&lt;=0),"Qty needed",IF($A806&lt;_xlfn.MINIFS(tblShipment[Arrival Date],tblShipment[Shipment ID],$C806),"Date before arrival",IF(AND($D806&lt;&gt;"",COUNTIFS(tblShipment[Shipment ID],$C806,tblShipment[Item Code],$D806)=0),"Item not in this shipment",IF(AND($H806&lt;&gt;"",COUNTIFS(tblCouriers[Courier],$H806,tblCouriers[Market],$B806)=0),"Courier not in this market","OK")))))))))))))))</f>
        <v>OK</v>
      </c>
    </row>
    <row r="807" customFormat="false" ht="15" hidden="false" customHeight="false" outlineLevel="0" collapsed="false">
      <c r="A807" s="27" t="n">
        <v>46247</v>
      </c>
      <c r="B807" s="26" t="s">
        <v>85</v>
      </c>
      <c r="C807" s="26" t="s">
        <v>146</v>
      </c>
      <c r="D807" s="26" t="s">
        <v>88</v>
      </c>
      <c r="E807" s="26" t="s">
        <v>74</v>
      </c>
      <c r="F807" s="28" t="n">
        <v>100</v>
      </c>
      <c r="G807" s="28"/>
      <c r="H807" s="26"/>
      <c r="I807" s="26"/>
      <c r="J807" s="26"/>
      <c r="K807" s="29" t="str">
        <f aca="false">IF($A807="","",IF(COUNTIFS(tblMoveTypes[Movement],$E807)=0,"Unknown movement type",IF(COUNTIF(tblShipment[Shipment ID],$C807)=0,"Unknown shipment",IF(COUNTIFS(tblShipment[Shipment ID],$C807,tblShipment[Market],$B807)=0,"Market does not match shipment",IF(AND(IFERROR(INDEX(tblMoveTypes[Item?],MATCH($E807,tblMoveTypes[Movement],0)),"?")="Yes",$D807=""),"Item needed",IF(AND(IFERROR(INDEX(tblMoveTypes[Item?],MATCH($E807,tblMoveTypes[Movement],0)),"?")="No",$D807&lt;&gt;""),"Leave Item blank",IF(AND(IFERROR(INDEX(tblMoveTypes[Courier?],MATCH($E807,tblMoveTypes[Movement],0)),"?")="Yes",$H807=""),"Courier needed",IF(AND(IFERROR(INDEX(tblMoveTypes[Courier?],MATCH($E807,tblMoveTypes[Movement],0)),"?")="No",$H807&lt;&gt;""),"Leave Courier blank",IF(AND(IFERROR(INDEX(tblMoveTypes[Orders?],MATCH($E807,tblMoveTypes[Movement],0)),"?")="Yes",$G807=""),"Orders needed",IF(AND(IFERROR(INDEX(tblMoveTypes[Orders?],MATCH($E807,tblMoveTypes[Movement],0)),"?")="No",$G807&lt;&gt;""),"Leave Orders blank",IF(AND(IFERROR(INDEX(tblMoveTypes[Reason?],MATCH($E807,tblMoveTypes[Movement],0)),"?")="Yes",$I807=""),"Reason needed",IF(AND(IFERROR(INDEX(tblMoveTypes[Qty?],MATCH($E807,tblMoveTypes[Movement],0)),"?")="Yes",N($F807)&lt;=0),"Qty needed",IF($A807&lt;_xlfn.MINIFS(tblShipment[Arrival Date],tblShipment[Shipment ID],$C807),"Date before arrival",IF(AND($D807&lt;&gt;"",COUNTIFS(tblShipment[Shipment ID],$C807,tblShipment[Item Code],$D807)=0),"Item not in this shipment",IF(AND($H807&lt;&gt;"",COUNTIFS(tblCouriers[Courier],$H807,tblCouriers[Market],$B807)=0),"Courier not in this market","OK")))))))))))))))</f>
        <v>OK</v>
      </c>
    </row>
    <row r="808" customFormat="false" ht="15" hidden="false" customHeight="false" outlineLevel="0" collapsed="false">
      <c r="A808" s="27" t="n">
        <v>46247</v>
      </c>
      <c r="B808" s="26" t="s">
        <v>85</v>
      </c>
      <c r="C808" s="26" t="s">
        <v>146</v>
      </c>
      <c r="D808" s="26" t="s">
        <v>76</v>
      </c>
      <c r="E808" s="26" t="s">
        <v>81</v>
      </c>
      <c r="F808" s="28" t="n">
        <v>1</v>
      </c>
      <c r="G808" s="28"/>
      <c r="H808" s="26"/>
      <c r="I808" s="26"/>
      <c r="J808" s="26" t="s">
        <v>162</v>
      </c>
      <c r="K808" s="29" t="str">
        <f aca="false">IF($A808="","",IF(COUNTIFS(tblMoveTypes[Movement],$E808)=0,"Unknown movement type",IF(COUNTIF(tblShipment[Shipment ID],$C808)=0,"Unknown shipment",IF(COUNTIFS(tblShipment[Shipment ID],$C808,tblShipment[Market],$B808)=0,"Market does not match shipment",IF(AND(IFERROR(INDEX(tblMoveTypes[Item?],MATCH($E808,tblMoveTypes[Movement],0)),"?")="Yes",$D808=""),"Item needed",IF(AND(IFERROR(INDEX(tblMoveTypes[Item?],MATCH($E808,tblMoveTypes[Movement],0)),"?")="No",$D808&lt;&gt;""),"Leave Item blank",IF(AND(IFERROR(INDEX(tblMoveTypes[Courier?],MATCH($E808,tblMoveTypes[Movement],0)),"?")="Yes",$H808=""),"Courier needed",IF(AND(IFERROR(INDEX(tblMoveTypes[Courier?],MATCH($E808,tblMoveTypes[Movement],0)),"?")="No",$H808&lt;&gt;""),"Leave Courier blank",IF(AND(IFERROR(INDEX(tblMoveTypes[Orders?],MATCH($E808,tblMoveTypes[Movement],0)),"?")="Yes",$G808=""),"Orders needed",IF(AND(IFERROR(INDEX(tblMoveTypes[Orders?],MATCH($E808,tblMoveTypes[Movement],0)),"?")="No",$G808&lt;&gt;""),"Leave Orders blank",IF(AND(IFERROR(INDEX(tblMoveTypes[Reason?],MATCH($E808,tblMoveTypes[Movement],0)),"?")="Yes",$I808=""),"Reason needed",IF(AND(IFERROR(INDEX(tblMoveTypes[Qty?],MATCH($E808,tblMoveTypes[Movement],0)),"?")="Yes",N($F808)&lt;=0),"Qty needed",IF($A808&lt;_xlfn.MINIFS(tblShipment[Arrival Date],tblShipment[Shipment ID],$C808),"Date before arrival",IF(AND($D808&lt;&gt;"",COUNTIFS(tblShipment[Shipment ID],$C808,tblShipment[Item Code],$D808)=0),"Item not in this shipment",IF(AND($H808&lt;&gt;"",COUNTIFS(tblCouriers[Courier],$H808,tblCouriers[Market],$B808)=0),"Courier not in this market","OK")))))))))))))))</f>
        <v>OK</v>
      </c>
    </row>
    <row r="809" customFormat="false" ht="15" hidden="false" customHeight="false" outlineLevel="0" collapsed="false">
      <c r="A809" s="27" t="n">
        <v>46247</v>
      </c>
      <c r="B809" s="26" t="s">
        <v>85</v>
      </c>
      <c r="C809" s="26" t="s">
        <v>146</v>
      </c>
      <c r="D809" s="26" t="s">
        <v>76</v>
      </c>
      <c r="E809" s="26" t="s">
        <v>74</v>
      </c>
      <c r="F809" s="28" t="n">
        <v>79</v>
      </c>
      <c r="G809" s="28"/>
      <c r="H809" s="26"/>
      <c r="I809" s="26"/>
      <c r="J809" s="26"/>
      <c r="K809" s="29" t="str">
        <f aca="false">IF($A809="","",IF(COUNTIFS(tblMoveTypes[Movement],$E809)=0,"Unknown movement type",IF(COUNTIF(tblShipment[Shipment ID],$C809)=0,"Unknown shipment",IF(COUNTIFS(tblShipment[Shipment ID],$C809,tblShipment[Market],$B809)=0,"Market does not match shipment",IF(AND(IFERROR(INDEX(tblMoveTypes[Item?],MATCH($E809,tblMoveTypes[Movement],0)),"?")="Yes",$D809=""),"Item needed",IF(AND(IFERROR(INDEX(tblMoveTypes[Item?],MATCH($E809,tblMoveTypes[Movement],0)),"?")="No",$D809&lt;&gt;""),"Leave Item blank",IF(AND(IFERROR(INDEX(tblMoveTypes[Courier?],MATCH($E809,tblMoveTypes[Movement],0)),"?")="Yes",$H809=""),"Courier needed",IF(AND(IFERROR(INDEX(tblMoveTypes[Courier?],MATCH($E809,tblMoveTypes[Movement],0)),"?")="No",$H809&lt;&gt;""),"Leave Courier blank",IF(AND(IFERROR(INDEX(tblMoveTypes[Orders?],MATCH($E809,tblMoveTypes[Movement],0)),"?")="Yes",$G809=""),"Orders needed",IF(AND(IFERROR(INDEX(tblMoveTypes[Orders?],MATCH($E809,tblMoveTypes[Movement],0)),"?")="No",$G809&lt;&gt;""),"Leave Orders blank",IF(AND(IFERROR(INDEX(tblMoveTypes[Reason?],MATCH($E809,tblMoveTypes[Movement],0)),"?")="Yes",$I809=""),"Reason needed",IF(AND(IFERROR(INDEX(tblMoveTypes[Qty?],MATCH($E809,tblMoveTypes[Movement],0)),"?")="Yes",N($F809)&lt;=0),"Qty needed",IF($A809&lt;_xlfn.MINIFS(tblShipment[Arrival Date],tblShipment[Shipment ID],$C809),"Date before arrival",IF(AND($D809&lt;&gt;"",COUNTIFS(tblShipment[Shipment ID],$C809,tblShipment[Item Code],$D809)=0),"Item not in this shipment",IF(AND($H809&lt;&gt;"",COUNTIFS(tblCouriers[Courier],$H809,tblCouriers[Market],$B809)=0),"Courier not in this market","OK")))))))))))))))</f>
        <v>OK</v>
      </c>
    </row>
    <row r="810" customFormat="false" ht="15" hidden="false" customHeight="false" outlineLevel="0" collapsed="false">
      <c r="A810" s="27" t="n">
        <v>46247</v>
      </c>
      <c r="B810" s="26" t="s">
        <v>85</v>
      </c>
      <c r="C810" s="26" t="s">
        <v>146</v>
      </c>
      <c r="D810" s="26"/>
      <c r="E810" s="26" t="s">
        <v>98</v>
      </c>
      <c r="F810" s="28"/>
      <c r="G810" s="28" t="n">
        <v>34</v>
      </c>
      <c r="H810" s="26"/>
      <c r="I810" s="26"/>
      <c r="J810" s="26"/>
      <c r="K810" s="29" t="str">
        <f aca="false">IF($A810="","",IF(COUNTIFS(tblMoveTypes[Movement],$E810)=0,"Unknown movement type",IF(COUNTIF(tblShipment[Shipment ID],$C810)=0,"Unknown shipment",IF(COUNTIFS(tblShipment[Shipment ID],$C810,tblShipment[Market],$B810)=0,"Market does not match shipment",IF(AND(IFERROR(INDEX(tblMoveTypes[Item?],MATCH($E810,tblMoveTypes[Movement],0)),"?")="Yes",$D810=""),"Item needed",IF(AND(IFERROR(INDEX(tblMoveTypes[Item?],MATCH($E810,tblMoveTypes[Movement],0)),"?")="No",$D810&lt;&gt;""),"Leave Item blank",IF(AND(IFERROR(INDEX(tblMoveTypes[Courier?],MATCH($E810,tblMoveTypes[Movement],0)),"?")="Yes",$H810=""),"Courier needed",IF(AND(IFERROR(INDEX(tblMoveTypes[Courier?],MATCH($E810,tblMoveTypes[Movement],0)),"?")="No",$H810&lt;&gt;""),"Leave Courier blank",IF(AND(IFERROR(INDEX(tblMoveTypes[Orders?],MATCH($E810,tblMoveTypes[Movement],0)),"?")="Yes",$G810=""),"Orders needed",IF(AND(IFERROR(INDEX(tblMoveTypes[Orders?],MATCH($E810,tblMoveTypes[Movement],0)),"?")="No",$G810&lt;&gt;""),"Leave Orders blank",IF(AND(IFERROR(INDEX(tblMoveTypes[Reason?],MATCH($E810,tblMoveTypes[Movement],0)),"?")="Yes",$I810=""),"Reason needed",IF(AND(IFERROR(INDEX(tblMoveTypes[Qty?],MATCH($E810,tblMoveTypes[Movement],0)),"?")="Yes",N($F810)&lt;=0),"Qty needed",IF($A810&lt;_xlfn.MINIFS(tblShipment[Arrival Date],tblShipment[Shipment ID],$C810),"Date before arrival",IF(AND($D810&lt;&gt;"",COUNTIFS(tblShipment[Shipment ID],$C810,tblShipment[Item Code],$D810)=0),"Item not in this shipment",IF(AND($H810&lt;&gt;"",COUNTIFS(tblCouriers[Courier],$H810,tblCouriers[Market],$B810)=0),"Courier not in this market","OK")))))))))))))))</f>
        <v>OK</v>
      </c>
    </row>
    <row r="811" customFormat="false" ht="15" hidden="false" customHeight="false" outlineLevel="0" collapsed="false">
      <c r="A811" s="27" t="n">
        <v>46247</v>
      </c>
      <c r="B811" s="26" t="s">
        <v>85</v>
      </c>
      <c r="C811" s="26" t="s">
        <v>146</v>
      </c>
      <c r="D811" s="26" t="s">
        <v>67</v>
      </c>
      <c r="E811" s="26" t="s">
        <v>73</v>
      </c>
      <c r="F811" s="28" t="n">
        <v>3</v>
      </c>
      <c r="G811" s="28"/>
      <c r="H811" s="26"/>
      <c r="I811" s="26" t="s">
        <v>80</v>
      </c>
      <c r="J811" s="26"/>
      <c r="K811" s="29" t="str">
        <f aca="false">IF($A811="","",IF(COUNTIFS(tblMoveTypes[Movement],$E811)=0,"Unknown movement type",IF(COUNTIF(tblShipment[Shipment ID],$C811)=0,"Unknown shipment",IF(COUNTIFS(tblShipment[Shipment ID],$C811,tblShipment[Market],$B811)=0,"Market does not match shipment",IF(AND(IFERROR(INDEX(tblMoveTypes[Item?],MATCH($E811,tblMoveTypes[Movement],0)),"?")="Yes",$D811=""),"Item needed",IF(AND(IFERROR(INDEX(tblMoveTypes[Item?],MATCH($E811,tblMoveTypes[Movement],0)),"?")="No",$D811&lt;&gt;""),"Leave Item blank",IF(AND(IFERROR(INDEX(tblMoveTypes[Courier?],MATCH($E811,tblMoveTypes[Movement],0)),"?")="Yes",$H811=""),"Courier needed",IF(AND(IFERROR(INDEX(tblMoveTypes[Courier?],MATCH($E811,tblMoveTypes[Movement],0)),"?")="No",$H811&lt;&gt;""),"Leave Courier blank",IF(AND(IFERROR(INDEX(tblMoveTypes[Orders?],MATCH($E811,tblMoveTypes[Movement],0)),"?")="Yes",$G811=""),"Orders needed",IF(AND(IFERROR(INDEX(tblMoveTypes[Orders?],MATCH($E811,tblMoveTypes[Movement],0)),"?")="No",$G811&lt;&gt;""),"Leave Orders blank",IF(AND(IFERROR(INDEX(tblMoveTypes[Reason?],MATCH($E811,tblMoveTypes[Movement],0)),"?")="Yes",$I811=""),"Reason needed",IF(AND(IFERROR(INDEX(tblMoveTypes[Qty?],MATCH($E811,tblMoveTypes[Movement],0)),"?")="Yes",N($F811)&lt;=0),"Qty needed",IF($A811&lt;_xlfn.MINIFS(tblShipment[Arrival Date],tblShipment[Shipment ID],$C811),"Date before arrival",IF(AND($D811&lt;&gt;"",COUNTIFS(tblShipment[Shipment ID],$C811,tblShipment[Item Code],$D811)=0),"Item not in this shipment",IF(AND($H811&lt;&gt;"",COUNTIFS(tblCouriers[Courier],$H811,tblCouriers[Market],$B811)=0),"Courier not in this market","OK")))))))))))))))</f>
        <v>OK</v>
      </c>
    </row>
    <row r="812" customFormat="false" ht="15" hidden="false" customHeight="false" outlineLevel="0" collapsed="false">
      <c r="A812" s="27" t="n">
        <v>46247</v>
      </c>
      <c r="B812" s="26" t="s">
        <v>85</v>
      </c>
      <c r="C812" s="26" t="s">
        <v>146</v>
      </c>
      <c r="D812" s="26" t="s">
        <v>88</v>
      </c>
      <c r="E812" s="26" t="s">
        <v>73</v>
      </c>
      <c r="F812" s="28" t="n">
        <v>6</v>
      </c>
      <c r="G812" s="28"/>
      <c r="H812" s="26"/>
      <c r="I812" s="26" t="s">
        <v>87</v>
      </c>
      <c r="J812" s="26"/>
      <c r="K812" s="29" t="str">
        <f aca="false">IF($A812="","",IF(COUNTIFS(tblMoveTypes[Movement],$E812)=0,"Unknown movement type",IF(COUNTIF(tblShipment[Shipment ID],$C812)=0,"Unknown shipment",IF(COUNTIFS(tblShipment[Shipment ID],$C812,tblShipment[Market],$B812)=0,"Market does not match shipment",IF(AND(IFERROR(INDEX(tblMoveTypes[Item?],MATCH($E812,tblMoveTypes[Movement],0)),"?")="Yes",$D812=""),"Item needed",IF(AND(IFERROR(INDEX(tblMoveTypes[Item?],MATCH($E812,tblMoveTypes[Movement],0)),"?")="No",$D812&lt;&gt;""),"Leave Item blank",IF(AND(IFERROR(INDEX(tblMoveTypes[Courier?],MATCH($E812,tblMoveTypes[Movement],0)),"?")="Yes",$H812=""),"Courier needed",IF(AND(IFERROR(INDEX(tblMoveTypes[Courier?],MATCH($E812,tblMoveTypes[Movement],0)),"?")="No",$H812&lt;&gt;""),"Leave Courier blank",IF(AND(IFERROR(INDEX(tblMoveTypes[Orders?],MATCH($E812,tblMoveTypes[Movement],0)),"?")="Yes",$G812=""),"Orders needed",IF(AND(IFERROR(INDEX(tblMoveTypes[Orders?],MATCH($E812,tblMoveTypes[Movement],0)),"?")="No",$G812&lt;&gt;""),"Leave Orders blank",IF(AND(IFERROR(INDEX(tblMoveTypes[Reason?],MATCH($E812,tblMoveTypes[Movement],0)),"?")="Yes",$I812=""),"Reason needed",IF(AND(IFERROR(INDEX(tblMoveTypes[Qty?],MATCH($E812,tblMoveTypes[Movement],0)),"?")="Yes",N($F812)&lt;=0),"Qty needed",IF($A812&lt;_xlfn.MINIFS(tblShipment[Arrival Date],tblShipment[Shipment ID],$C812),"Date before arrival",IF(AND($D812&lt;&gt;"",COUNTIFS(tblShipment[Shipment ID],$C812,tblShipment[Item Code],$D812)=0),"Item not in this shipment",IF(AND($H812&lt;&gt;"",COUNTIFS(tblCouriers[Courier],$H812,tblCouriers[Market],$B812)=0),"Courier not in this market","OK")))))))))))))))</f>
        <v>OK</v>
      </c>
    </row>
    <row r="813" customFormat="false" ht="15" hidden="false" customHeight="false" outlineLevel="0" collapsed="false">
      <c r="A813" s="27" t="n">
        <v>46247</v>
      </c>
      <c r="B813" s="26" t="s">
        <v>85</v>
      </c>
      <c r="C813" s="26" t="s">
        <v>146</v>
      </c>
      <c r="D813" s="26" t="s">
        <v>76</v>
      </c>
      <c r="E813" s="26" t="s">
        <v>73</v>
      </c>
      <c r="F813" s="28" t="n">
        <v>2</v>
      </c>
      <c r="G813" s="28"/>
      <c r="H813" s="26"/>
      <c r="I813" s="26" t="s">
        <v>72</v>
      </c>
      <c r="J813" s="26"/>
      <c r="K813" s="29" t="str">
        <f aca="false">IF($A813="","",IF(COUNTIFS(tblMoveTypes[Movement],$E813)=0,"Unknown movement type",IF(COUNTIF(tblShipment[Shipment ID],$C813)=0,"Unknown shipment",IF(COUNTIFS(tblShipment[Shipment ID],$C813,tblShipment[Market],$B813)=0,"Market does not match shipment",IF(AND(IFERROR(INDEX(tblMoveTypes[Item?],MATCH($E813,tblMoveTypes[Movement],0)),"?")="Yes",$D813=""),"Item needed",IF(AND(IFERROR(INDEX(tblMoveTypes[Item?],MATCH($E813,tblMoveTypes[Movement],0)),"?")="No",$D813&lt;&gt;""),"Leave Item blank",IF(AND(IFERROR(INDEX(tblMoveTypes[Courier?],MATCH($E813,tblMoveTypes[Movement],0)),"?")="Yes",$H813=""),"Courier needed",IF(AND(IFERROR(INDEX(tblMoveTypes[Courier?],MATCH($E813,tblMoveTypes[Movement],0)),"?")="No",$H813&lt;&gt;""),"Leave Courier blank",IF(AND(IFERROR(INDEX(tblMoveTypes[Orders?],MATCH($E813,tblMoveTypes[Movement],0)),"?")="Yes",$G813=""),"Orders needed",IF(AND(IFERROR(INDEX(tblMoveTypes[Orders?],MATCH($E813,tblMoveTypes[Movement],0)),"?")="No",$G813&lt;&gt;""),"Leave Orders blank",IF(AND(IFERROR(INDEX(tblMoveTypes[Reason?],MATCH($E813,tblMoveTypes[Movement],0)),"?")="Yes",$I813=""),"Reason needed",IF(AND(IFERROR(INDEX(tblMoveTypes[Qty?],MATCH($E813,tblMoveTypes[Movement],0)),"?")="Yes",N($F813)&lt;=0),"Qty needed",IF($A813&lt;_xlfn.MINIFS(tblShipment[Arrival Date],tblShipment[Shipment ID],$C813),"Date before arrival",IF(AND($D813&lt;&gt;"",COUNTIFS(tblShipment[Shipment ID],$C813,tblShipment[Item Code],$D813)=0),"Item not in this shipment",IF(AND($H813&lt;&gt;"",COUNTIFS(tblCouriers[Courier],$H813,tblCouriers[Market],$B813)=0),"Courier not in this market","OK")))))))))))))))</f>
        <v>OK</v>
      </c>
    </row>
    <row r="814" customFormat="false" ht="15" hidden="false" customHeight="false" outlineLevel="0" collapsed="false">
      <c r="A814" s="27" t="n">
        <v>46247</v>
      </c>
      <c r="B814" s="26" t="s">
        <v>85</v>
      </c>
      <c r="C814" s="26" t="s">
        <v>146</v>
      </c>
      <c r="D814" s="26" t="s">
        <v>67</v>
      </c>
      <c r="E814" s="26" t="s">
        <v>93</v>
      </c>
      <c r="F814" s="28" t="n">
        <v>22</v>
      </c>
      <c r="G814" s="28"/>
      <c r="H814" s="26" t="s">
        <v>91</v>
      </c>
      <c r="I814" s="26"/>
      <c r="J814" s="26"/>
      <c r="K814" s="29" t="str">
        <f aca="false">IF($A814="","",IF(COUNTIFS(tblMoveTypes[Movement],$E814)=0,"Unknown movement type",IF(COUNTIF(tblShipment[Shipment ID],$C814)=0,"Unknown shipment",IF(COUNTIFS(tblShipment[Shipment ID],$C814,tblShipment[Market],$B814)=0,"Market does not match shipment",IF(AND(IFERROR(INDEX(tblMoveTypes[Item?],MATCH($E814,tblMoveTypes[Movement],0)),"?")="Yes",$D814=""),"Item needed",IF(AND(IFERROR(INDEX(tblMoveTypes[Item?],MATCH($E814,tblMoveTypes[Movement],0)),"?")="No",$D814&lt;&gt;""),"Leave Item blank",IF(AND(IFERROR(INDEX(tblMoveTypes[Courier?],MATCH($E814,tblMoveTypes[Movement],0)),"?")="Yes",$H814=""),"Courier needed",IF(AND(IFERROR(INDEX(tblMoveTypes[Courier?],MATCH($E814,tblMoveTypes[Movement],0)),"?")="No",$H814&lt;&gt;""),"Leave Courier blank",IF(AND(IFERROR(INDEX(tblMoveTypes[Orders?],MATCH($E814,tblMoveTypes[Movement],0)),"?")="Yes",$G814=""),"Orders needed",IF(AND(IFERROR(INDEX(tblMoveTypes[Orders?],MATCH($E814,tblMoveTypes[Movement],0)),"?")="No",$G814&lt;&gt;""),"Leave Orders blank",IF(AND(IFERROR(INDEX(tblMoveTypes[Reason?],MATCH($E814,tblMoveTypes[Movement],0)),"?")="Yes",$I814=""),"Reason needed",IF(AND(IFERROR(INDEX(tblMoveTypes[Qty?],MATCH($E814,tblMoveTypes[Movement],0)),"?")="Yes",N($F814)&lt;=0),"Qty needed",IF($A814&lt;_xlfn.MINIFS(tblShipment[Arrival Date],tblShipment[Shipment ID],$C814),"Date before arrival",IF(AND($D814&lt;&gt;"",COUNTIFS(tblShipment[Shipment ID],$C814,tblShipment[Item Code],$D814)=0),"Item not in this shipment",IF(AND($H814&lt;&gt;"",COUNTIFS(tblCouriers[Courier],$H814,tblCouriers[Market],$B814)=0),"Courier not in this market","OK")))))))))))))))</f>
        <v>OK</v>
      </c>
    </row>
    <row r="815" customFormat="false" ht="15" hidden="false" customHeight="false" outlineLevel="0" collapsed="false">
      <c r="A815" s="27" t="n">
        <v>46247</v>
      </c>
      <c r="B815" s="26" t="s">
        <v>85</v>
      </c>
      <c r="C815" s="26" t="s">
        <v>146</v>
      </c>
      <c r="D815" s="26" t="s">
        <v>67</v>
      </c>
      <c r="E815" s="26" t="s">
        <v>93</v>
      </c>
      <c r="F815" s="28" t="n">
        <v>15</v>
      </c>
      <c r="G815" s="28"/>
      <c r="H815" s="26" t="s">
        <v>96</v>
      </c>
      <c r="I815" s="26"/>
      <c r="J815" s="26"/>
      <c r="K815" s="29" t="str">
        <f aca="false">IF($A815="","",IF(COUNTIFS(tblMoveTypes[Movement],$E815)=0,"Unknown movement type",IF(COUNTIF(tblShipment[Shipment ID],$C815)=0,"Unknown shipment",IF(COUNTIFS(tblShipment[Shipment ID],$C815,tblShipment[Market],$B815)=0,"Market does not match shipment",IF(AND(IFERROR(INDEX(tblMoveTypes[Item?],MATCH($E815,tblMoveTypes[Movement],0)),"?")="Yes",$D815=""),"Item needed",IF(AND(IFERROR(INDEX(tblMoveTypes[Item?],MATCH($E815,tblMoveTypes[Movement],0)),"?")="No",$D815&lt;&gt;""),"Leave Item blank",IF(AND(IFERROR(INDEX(tblMoveTypes[Courier?],MATCH($E815,tblMoveTypes[Movement],0)),"?")="Yes",$H815=""),"Courier needed",IF(AND(IFERROR(INDEX(tblMoveTypes[Courier?],MATCH($E815,tblMoveTypes[Movement],0)),"?")="No",$H815&lt;&gt;""),"Leave Courier blank",IF(AND(IFERROR(INDEX(tblMoveTypes[Orders?],MATCH($E815,tblMoveTypes[Movement],0)),"?")="Yes",$G815=""),"Orders needed",IF(AND(IFERROR(INDEX(tblMoveTypes[Orders?],MATCH($E815,tblMoveTypes[Movement],0)),"?")="No",$G815&lt;&gt;""),"Leave Orders blank",IF(AND(IFERROR(INDEX(tblMoveTypes[Reason?],MATCH($E815,tblMoveTypes[Movement],0)),"?")="Yes",$I815=""),"Reason needed",IF(AND(IFERROR(INDEX(tblMoveTypes[Qty?],MATCH($E815,tblMoveTypes[Movement],0)),"?")="Yes",N($F815)&lt;=0),"Qty needed",IF($A815&lt;_xlfn.MINIFS(tblShipment[Arrival Date],tblShipment[Shipment ID],$C815),"Date before arrival",IF(AND($D815&lt;&gt;"",COUNTIFS(tblShipment[Shipment ID],$C815,tblShipment[Item Code],$D815)=0),"Item not in this shipment",IF(AND($H815&lt;&gt;"",COUNTIFS(tblCouriers[Courier],$H815,tblCouriers[Market],$B815)=0),"Courier not in this market","OK")))))))))))))))</f>
        <v>OK</v>
      </c>
    </row>
    <row r="816" customFormat="false" ht="15" hidden="false" customHeight="false" outlineLevel="0" collapsed="false">
      <c r="A816" s="27" t="n">
        <v>46247</v>
      </c>
      <c r="B816" s="26" t="s">
        <v>85</v>
      </c>
      <c r="C816" s="26" t="s">
        <v>146</v>
      </c>
      <c r="D816" s="26" t="s">
        <v>88</v>
      </c>
      <c r="E816" s="26" t="s">
        <v>93</v>
      </c>
      <c r="F816" s="28" t="n">
        <v>37</v>
      </c>
      <c r="G816" s="28"/>
      <c r="H816" s="26" t="s">
        <v>91</v>
      </c>
      <c r="I816" s="26"/>
      <c r="J816" s="26"/>
      <c r="K816" s="29" t="str">
        <f aca="false">IF($A816="","",IF(COUNTIFS(tblMoveTypes[Movement],$E816)=0,"Unknown movement type",IF(COUNTIF(tblShipment[Shipment ID],$C816)=0,"Unknown shipment",IF(COUNTIFS(tblShipment[Shipment ID],$C816,tblShipment[Market],$B816)=0,"Market does not match shipment",IF(AND(IFERROR(INDEX(tblMoveTypes[Item?],MATCH($E816,tblMoveTypes[Movement],0)),"?")="Yes",$D816=""),"Item needed",IF(AND(IFERROR(INDEX(tblMoveTypes[Item?],MATCH($E816,tblMoveTypes[Movement],0)),"?")="No",$D816&lt;&gt;""),"Leave Item blank",IF(AND(IFERROR(INDEX(tblMoveTypes[Courier?],MATCH($E816,tblMoveTypes[Movement],0)),"?")="Yes",$H816=""),"Courier needed",IF(AND(IFERROR(INDEX(tblMoveTypes[Courier?],MATCH($E816,tblMoveTypes[Movement],0)),"?")="No",$H816&lt;&gt;""),"Leave Courier blank",IF(AND(IFERROR(INDEX(tblMoveTypes[Orders?],MATCH($E816,tblMoveTypes[Movement],0)),"?")="Yes",$G816=""),"Orders needed",IF(AND(IFERROR(INDEX(tblMoveTypes[Orders?],MATCH($E816,tblMoveTypes[Movement],0)),"?")="No",$G816&lt;&gt;""),"Leave Orders blank",IF(AND(IFERROR(INDEX(tblMoveTypes[Reason?],MATCH($E816,tblMoveTypes[Movement],0)),"?")="Yes",$I816=""),"Reason needed",IF(AND(IFERROR(INDEX(tblMoveTypes[Qty?],MATCH($E816,tblMoveTypes[Movement],0)),"?")="Yes",N($F816)&lt;=0),"Qty needed",IF($A816&lt;_xlfn.MINIFS(tblShipment[Arrival Date],tblShipment[Shipment ID],$C816),"Date before arrival",IF(AND($D816&lt;&gt;"",COUNTIFS(tblShipment[Shipment ID],$C816,tblShipment[Item Code],$D816)=0),"Item not in this shipment",IF(AND($H816&lt;&gt;"",COUNTIFS(tblCouriers[Courier],$H816,tblCouriers[Market],$B816)=0),"Courier not in this market","OK")))))))))))))))</f>
        <v>OK</v>
      </c>
    </row>
    <row r="817" customFormat="false" ht="15" hidden="false" customHeight="false" outlineLevel="0" collapsed="false">
      <c r="A817" s="27" t="n">
        <v>46247</v>
      </c>
      <c r="B817" s="26" t="s">
        <v>85</v>
      </c>
      <c r="C817" s="26" t="s">
        <v>146</v>
      </c>
      <c r="D817" s="26" t="s">
        <v>88</v>
      </c>
      <c r="E817" s="26" t="s">
        <v>93</v>
      </c>
      <c r="F817" s="28" t="n">
        <v>24</v>
      </c>
      <c r="G817" s="28"/>
      <c r="H817" s="26" t="s">
        <v>96</v>
      </c>
      <c r="I817" s="26"/>
      <c r="J817" s="26"/>
      <c r="K817" s="29" t="str">
        <f aca="false">IF($A817="","",IF(COUNTIFS(tblMoveTypes[Movement],$E817)=0,"Unknown movement type",IF(COUNTIF(tblShipment[Shipment ID],$C817)=0,"Unknown shipment",IF(COUNTIFS(tblShipment[Shipment ID],$C817,tblShipment[Market],$B817)=0,"Market does not match shipment",IF(AND(IFERROR(INDEX(tblMoveTypes[Item?],MATCH($E817,tblMoveTypes[Movement],0)),"?")="Yes",$D817=""),"Item needed",IF(AND(IFERROR(INDEX(tblMoveTypes[Item?],MATCH($E817,tblMoveTypes[Movement],0)),"?")="No",$D817&lt;&gt;""),"Leave Item blank",IF(AND(IFERROR(INDEX(tblMoveTypes[Courier?],MATCH($E817,tblMoveTypes[Movement],0)),"?")="Yes",$H817=""),"Courier needed",IF(AND(IFERROR(INDEX(tblMoveTypes[Courier?],MATCH($E817,tblMoveTypes[Movement],0)),"?")="No",$H817&lt;&gt;""),"Leave Courier blank",IF(AND(IFERROR(INDEX(tblMoveTypes[Orders?],MATCH($E817,tblMoveTypes[Movement],0)),"?")="Yes",$G817=""),"Orders needed",IF(AND(IFERROR(INDEX(tblMoveTypes[Orders?],MATCH($E817,tblMoveTypes[Movement],0)),"?")="No",$G817&lt;&gt;""),"Leave Orders blank",IF(AND(IFERROR(INDEX(tblMoveTypes[Reason?],MATCH($E817,tblMoveTypes[Movement],0)),"?")="Yes",$I817=""),"Reason needed",IF(AND(IFERROR(INDEX(tblMoveTypes[Qty?],MATCH($E817,tblMoveTypes[Movement],0)),"?")="Yes",N($F817)&lt;=0),"Qty needed",IF($A817&lt;_xlfn.MINIFS(tblShipment[Arrival Date],tblShipment[Shipment ID],$C817),"Date before arrival",IF(AND($D817&lt;&gt;"",COUNTIFS(tblShipment[Shipment ID],$C817,tblShipment[Item Code],$D817)=0),"Item not in this shipment",IF(AND($H817&lt;&gt;"",COUNTIFS(tblCouriers[Courier],$H817,tblCouriers[Market],$B817)=0),"Courier not in this market","OK")))))))))))))))</f>
        <v>OK</v>
      </c>
    </row>
    <row r="818" customFormat="false" ht="15" hidden="false" customHeight="false" outlineLevel="0" collapsed="false">
      <c r="A818" s="27" t="n">
        <v>46247</v>
      </c>
      <c r="B818" s="26" t="s">
        <v>85</v>
      </c>
      <c r="C818" s="26" t="s">
        <v>146</v>
      </c>
      <c r="D818" s="26" t="s">
        <v>76</v>
      </c>
      <c r="E818" s="26" t="s">
        <v>93</v>
      </c>
      <c r="F818" s="28" t="n">
        <v>30</v>
      </c>
      <c r="G818" s="28"/>
      <c r="H818" s="26" t="s">
        <v>91</v>
      </c>
      <c r="I818" s="26"/>
      <c r="J818" s="26"/>
      <c r="K818" s="29" t="str">
        <f aca="false">IF($A818="","",IF(COUNTIFS(tblMoveTypes[Movement],$E818)=0,"Unknown movement type",IF(COUNTIF(tblShipment[Shipment ID],$C818)=0,"Unknown shipment",IF(COUNTIFS(tblShipment[Shipment ID],$C818,tblShipment[Market],$B818)=0,"Market does not match shipment",IF(AND(IFERROR(INDEX(tblMoveTypes[Item?],MATCH($E818,tblMoveTypes[Movement],0)),"?")="Yes",$D818=""),"Item needed",IF(AND(IFERROR(INDEX(tblMoveTypes[Item?],MATCH($E818,tblMoveTypes[Movement],0)),"?")="No",$D818&lt;&gt;""),"Leave Item blank",IF(AND(IFERROR(INDEX(tblMoveTypes[Courier?],MATCH($E818,tblMoveTypes[Movement],0)),"?")="Yes",$H818=""),"Courier needed",IF(AND(IFERROR(INDEX(tblMoveTypes[Courier?],MATCH($E818,tblMoveTypes[Movement],0)),"?")="No",$H818&lt;&gt;""),"Leave Courier blank",IF(AND(IFERROR(INDEX(tblMoveTypes[Orders?],MATCH($E818,tblMoveTypes[Movement],0)),"?")="Yes",$G818=""),"Orders needed",IF(AND(IFERROR(INDEX(tblMoveTypes[Orders?],MATCH($E818,tblMoveTypes[Movement],0)),"?")="No",$G818&lt;&gt;""),"Leave Orders blank",IF(AND(IFERROR(INDEX(tblMoveTypes[Reason?],MATCH($E818,tblMoveTypes[Movement],0)),"?")="Yes",$I818=""),"Reason needed",IF(AND(IFERROR(INDEX(tblMoveTypes[Qty?],MATCH($E818,tblMoveTypes[Movement],0)),"?")="Yes",N($F818)&lt;=0),"Qty needed",IF($A818&lt;_xlfn.MINIFS(tblShipment[Arrival Date],tblShipment[Shipment ID],$C818),"Date before arrival",IF(AND($D818&lt;&gt;"",COUNTIFS(tblShipment[Shipment ID],$C818,tblShipment[Item Code],$D818)=0),"Item not in this shipment",IF(AND($H818&lt;&gt;"",COUNTIFS(tblCouriers[Courier],$H818,tblCouriers[Market],$B818)=0),"Courier not in this market","OK")))))))))))))))</f>
        <v>OK</v>
      </c>
    </row>
    <row r="819" customFormat="false" ht="15" hidden="false" customHeight="false" outlineLevel="0" collapsed="false">
      <c r="A819" s="27" t="n">
        <v>46247</v>
      </c>
      <c r="B819" s="26" t="s">
        <v>85</v>
      </c>
      <c r="C819" s="26" t="s">
        <v>146</v>
      </c>
      <c r="D819" s="26" t="s">
        <v>76</v>
      </c>
      <c r="E819" s="26" t="s">
        <v>93</v>
      </c>
      <c r="F819" s="28" t="n">
        <v>20</v>
      </c>
      <c r="G819" s="28"/>
      <c r="H819" s="26" t="s">
        <v>96</v>
      </c>
      <c r="I819" s="26"/>
      <c r="J819" s="26"/>
      <c r="K819" s="29" t="str">
        <f aca="false">IF($A819="","",IF(COUNTIFS(tblMoveTypes[Movement],$E819)=0,"Unknown movement type",IF(COUNTIF(tblShipment[Shipment ID],$C819)=0,"Unknown shipment",IF(COUNTIFS(tblShipment[Shipment ID],$C819,tblShipment[Market],$B819)=0,"Market does not match shipment",IF(AND(IFERROR(INDEX(tblMoveTypes[Item?],MATCH($E819,tblMoveTypes[Movement],0)),"?")="Yes",$D819=""),"Item needed",IF(AND(IFERROR(INDEX(tblMoveTypes[Item?],MATCH($E819,tblMoveTypes[Movement],0)),"?")="No",$D819&lt;&gt;""),"Leave Item blank",IF(AND(IFERROR(INDEX(tblMoveTypes[Courier?],MATCH($E819,tblMoveTypes[Movement],0)),"?")="Yes",$H819=""),"Courier needed",IF(AND(IFERROR(INDEX(tblMoveTypes[Courier?],MATCH($E819,tblMoveTypes[Movement],0)),"?")="No",$H819&lt;&gt;""),"Leave Courier blank",IF(AND(IFERROR(INDEX(tblMoveTypes[Orders?],MATCH($E819,tblMoveTypes[Movement],0)),"?")="Yes",$G819=""),"Orders needed",IF(AND(IFERROR(INDEX(tblMoveTypes[Orders?],MATCH($E819,tblMoveTypes[Movement],0)),"?")="No",$G819&lt;&gt;""),"Leave Orders blank",IF(AND(IFERROR(INDEX(tblMoveTypes[Reason?],MATCH($E819,tblMoveTypes[Movement],0)),"?")="Yes",$I819=""),"Reason needed",IF(AND(IFERROR(INDEX(tblMoveTypes[Qty?],MATCH($E819,tblMoveTypes[Movement],0)),"?")="Yes",N($F819)&lt;=0),"Qty needed",IF($A819&lt;_xlfn.MINIFS(tblShipment[Arrival Date],tblShipment[Shipment ID],$C819),"Date before arrival",IF(AND($D819&lt;&gt;"",COUNTIFS(tblShipment[Shipment ID],$C819,tblShipment[Item Code],$D819)=0),"Item not in this shipment",IF(AND($H819&lt;&gt;"",COUNTIFS(tblCouriers[Courier],$H819,tblCouriers[Market],$B819)=0),"Courier not in this market","OK")))))))))))))))</f>
        <v>OK</v>
      </c>
    </row>
    <row r="820" customFormat="false" ht="15" hidden="false" customHeight="false" outlineLevel="0" collapsed="false">
      <c r="A820" s="27" t="n">
        <v>46247</v>
      </c>
      <c r="B820" s="26" t="s">
        <v>85</v>
      </c>
      <c r="C820" s="26" t="s">
        <v>146</v>
      </c>
      <c r="D820" s="26"/>
      <c r="E820" s="26" t="s">
        <v>104</v>
      </c>
      <c r="F820" s="28"/>
      <c r="G820" s="28" t="n">
        <v>20</v>
      </c>
      <c r="H820" s="26" t="s">
        <v>91</v>
      </c>
      <c r="I820" s="26"/>
      <c r="J820" s="26"/>
      <c r="K820" s="29" t="str">
        <f aca="false">IF($A820="","",IF(COUNTIFS(tblMoveTypes[Movement],$E820)=0,"Unknown movement type",IF(COUNTIF(tblShipment[Shipment ID],$C820)=0,"Unknown shipment",IF(COUNTIFS(tblShipment[Shipment ID],$C820,tblShipment[Market],$B820)=0,"Market does not match shipment",IF(AND(IFERROR(INDEX(tblMoveTypes[Item?],MATCH($E820,tblMoveTypes[Movement],0)),"?")="Yes",$D820=""),"Item needed",IF(AND(IFERROR(INDEX(tblMoveTypes[Item?],MATCH($E820,tblMoveTypes[Movement],0)),"?")="No",$D820&lt;&gt;""),"Leave Item blank",IF(AND(IFERROR(INDEX(tblMoveTypes[Courier?],MATCH($E820,tblMoveTypes[Movement],0)),"?")="Yes",$H820=""),"Courier needed",IF(AND(IFERROR(INDEX(tblMoveTypes[Courier?],MATCH($E820,tblMoveTypes[Movement],0)),"?")="No",$H820&lt;&gt;""),"Leave Courier blank",IF(AND(IFERROR(INDEX(tblMoveTypes[Orders?],MATCH($E820,tblMoveTypes[Movement],0)),"?")="Yes",$G820=""),"Orders needed",IF(AND(IFERROR(INDEX(tblMoveTypes[Orders?],MATCH($E820,tblMoveTypes[Movement],0)),"?")="No",$G820&lt;&gt;""),"Leave Orders blank",IF(AND(IFERROR(INDEX(tblMoveTypes[Reason?],MATCH($E820,tblMoveTypes[Movement],0)),"?")="Yes",$I820=""),"Reason needed",IF(AND(IFERROR(INDEX(tblMoveTypes[Qty?],MATCH($E820,tblMoveTypes[Movement],0)),"?")="Yes",N($F820)&lt;=0),"Qty needed",IF($A820&lt;_xlfn.MINIFS(tblShipment[Arrival Date],tblShipment[Shipment ID],$C820),"Date before arrival",IF(AND($D820&lt;&gt;"",COUNTIFS(tblShipment[Shipment ID],$C820,tblShipment[Item Code],$D820)=0),"Item not in this shipment",IF(AND($H820&lt;&gt;"",COUNTIFS(tblCouriers[Courier],$H820,tblCouriers[Market],$B820)=0),"Courier not in this market","OK")))))))))))))))</f>
        <v>OK</v>
      </c>
    </row>
    <row r="821" customFormat="false" ht="15" hidden="false" customHeight="false" outlineLevel="0" collapsed="false">
      <c r="A821" s="27" t="n">
        <v>46247</v>
      </c>
      <c r="B821" s="26" t="s">
        <v>85</v>
      </c>
      <c r="C821" s="26" t="s">
        <v>146</v>
      </c>
      <c r="D821" s="26"/>
      <c r="E821" s="26" t="s">
        <v>106</v>
      </c>
      <c r="F821" s="28" t="n">
        <v>46</v>
      </c>
      <c r="G821" s="28" t="n">
        <v>10</v>
      </c>
      <c r="H821" s="26" t="s">
        <v>91</v>
      </c>
      <c r="I821" s="26"/>
      <c r="J821" s="26"/>
      <c r="K821" s="29" t="str">
        <f aca="false">IF($A821="","",IF(COUNTIFS(tblMoveTypes[Movement],$E821)=0,"Unknown movement type",IF(COUNTIF(tblShipment[Shipment ID],$C821)=0,"Unknown shipment",IF(COUNTIFS(tblShipment[Shipment ID],$C821,tblShipment[Market],$B821)=0,"Market does not match shipment",IF(AND(IFERROR(INDEX(tblMoveTypes[Item?],MATCH($E821,tblMoveTypes[Movement],0)),"?")="Yes",$D821=""),"Item needed",IF(AND(IFERROR(INDEX(tblMoveTypes[Item?],MATCH($E821,tblMoveTypes[Movement],0)),"?")="No",$D821&lt;&gt;""),"Leave Item blank",IF(AND(IFERROR(INDEX(tblMoveTypes[Courier?],MATCH($E821,tblMoveTypes[Movement],0)),"?")="Yes",$H821=""),"Courier needed",IF(AND(IFERROR(INDEX(tblMoveTypes[Courier?],MATCH($E821,tblMoveTypes[Movement],0)),"?")="No",$H821&lt;&gt;""),"Leave Courier blank",IF(AND(IFERROR(INDEX(tblMoveTypes[Orders?],MATCH($E821,tblMoveTypes[Movement],0)),"?")="Yes",$G821=""),"Orders needed",IF(AND(IFERROR(INDEX(tblMoveTypes[Orders?],MATCH($E821,tblMoveTypes[Movement],0)),"?")="No",$G821&lt;&gt;""),"Leave Orders blank",IF(AND(IFERROR(INDEX(tblMoveTypes[Reason?],MATCH($E821,tblMoveTypes[Movement],0)),"?")="Yes",$I821=""),"Reason needed",IF(AND(IFERROR(INDEX(tblMoveTypes[Qty?],MATCH($E821,tblMoveTypes[Movement],0)),"?")="Yes",N($F821)&lt;=0),"Qty needed",IF($A821&lt;_xlfn.MINIFS(tblShipment[Arrival Date],tblShipment[Shipment ID],$C821),"Date before arrival",IF(AND($D821&lt;&gt;"",COUNTIFS(tblShipment[Shipment ID],$C821,tblShipment[Item Code],$D821)=0),"Item not in this shipment",IF(AND($H821&lt;&gt;"",COUNTIFS(tblCouriers[Courier],$H821,tblCouriers[Market],$B821)=0),"Courier not in this market","OK")))))))))))))))</f>
        <v>OK</v>
      </c>
    </row>
    <row r="822" customFormat="false" ht="15" hidden="false" customHeight="false" outlineLevel="0" collapsed="false">
      <c r="A822" s="27" t="n">
        <v>46247</v>
      </c>
      <c r="B822" s="26" t="s">
        <v>85</v>
      </c>
      <c r="C822" s="26" t="s">
        <v>146</v>
      </c>
      <c r="D822" s="26"/>
      <c r="E822" s="26" t="s">
        <v>104</v>
      </c>
      <c r="F822" s="28"/>
      <c r="G822" s="28" t="n">
        <v>14</v>
      </c>
      <c r="H822" s="26" t="s">
        <v>96</v>
      </c>
      <c r="I822" s="26"/>
      <c r="J822" s="26"/>
      <c r="K822" s="29" t="str">
        <f aca="false">IF($A822="","",IF(COUNTIFS(tblMoveTypes[Movement],$E822)=0,"Unknown movement type",IF(COUNTIF(tblShipment[Shipment ID],$C822)=0,"Unknown shipment",IF(COUNTIFS(tblShipment[Shipment ID],$C822,tblShipment[Market],$B822)=0,"Market does not match shipment",IF(AND(IFERROR(INDEX(tblMoveTypes[Item?],MATCH($E822,tblMoveTypes[Movement],0)),"?")="Yes",$D822=""),"Item needed",IF(AND(IFERROR(INDEX(tblMoveTypes[Item?],MATCH($E822,tblMoveTypes[Movement],0)),"?")="No",$D822&lt;&gt;""),"Leave Item blank",IF(AND(IFERROR(INDEX(tblMoveTypes[Courier?],MATCH($E822,tblMoveTypes[Movement],0)),"?")="Yes",$H822=""),"Courier needed",IF(AND(IFERROR(INDEX(tblMoveTypes[Courier?],MATCH($E822,tblMoveTypes[Movement],0)),"?")="No",$H822&lt;&gt;""),"Leave Courier blank",IF(AND(IFERROR(INDEX(tblMoveTypes[Orders?],MATCH($E822,tblMoveTypes[Movement],0)),"?")="Yes",$G822=""),"Orders needed",IF(AND(IFERROR(INDEX(tblMoveTypes[Orders?],MATCH($E822,tblMoveTypes[Movement],0)),"?")="No",$G822&lt;&gt;""),"Leave Orders blank",IF(AND(IFERROR(INDEX(tblMoveTypes[Reason?],MATCH($E822,tblMoveTypes[Movement],0)),"?")="Yes",$I822=""),"Reason needed",IF(AND(IFERROR(INDEX(tblMoveTypes[Qty?],MATCH($E822,tblMoveTypes[Movement],0)),"?")="Yes",N($F822)&lt;=0),"Qty needed",IF($A822&lt;_xlfn.MINIFS(tblShipment[Arrival Date],tblShipment[Shipment ID],$C822),"Date before arrival",IF(AND($D822&lt;&gt;"",COUNTIFS(tblShipment[Shipment ID],$C822,tblShipment[Item Code],$D822)=0),"Item not in this shipment",IF(AND($H822&lt;&gt;"",COUNTIFS(tblCouriers[Courier],$H822,tblCouriers[Market],$B822)=0),"Courier not in this market","OK")))))))))))))))</f>
        <v>OK</v>
      </c>
    </row>
    <row r="823" customFormat="false" ht="15" hidden="false" customHeight="false" outlineLevel="0" collapsed="false">
      <c r="A823" s="27" t="n">
        <v>46247</v>
      </c>
      <c r="B823" s="26" t="s">
        <v>90</v>
      </c>
      <c r="C823" s="26" t="s">
        <v>152</v>
      </c>
      <c r="D823" s="26" t="s">
        <v>67</v>
      </c>
      <c r="E823" s="26" t="s">
        <v>93</v>
      </c>
      <c r="F823" s="28" t="n">
        <v>23</v>
      </c>
      <c r="G823" s="28"/>
      <c r="H823" s="26" t="s">
        <v>101</v>
      </c>
      <c r="I823" s="26"/>
      <c r="J823" s="26"/>
      <c r="K823" s="29" t="str">
        <f aca="false">IF($A823="","",IF(COUNTIFS(tblMoveTypes[Movement],$E823)=0,"Unknown movement type",IF(COUNTIF(tblShipment[Shipment ID],$C823)=0,"Unknown shipment",IF(COUNTIFS(tblShipment[Shipment ID],$C823,tblShipment[Market],$B823)=0,"Market does not match shipment",IF(AND(IFERROR(INDEX(tblMoveTypes[Item?],MATCH($E823,tblMoveTypes[Movement],0)),"?")="Yes",$D823=""),"Item needed",IF(AND(IFERROR(INDEX(tblMoveTypes[Item?],MATCH($E823,tblMoveTypes[Movement],0)),"?")="No",$D823&lt;&gt;""),"Leave Item blank",IF(AND(IFERROR(INDEX(tblMoveTypes[Courier?],MATCH($E823,tblMoveTypes[Movement],0)),"?")="Yes",$H823=""),"Courier needed",IF(AND(IFERROR(INDEX(tblMoveTypes[Courier?],MATCH($E823,tblMoveTypes[Movement],0)),"?")="No",$H823&lt;&gt;""),"Leave Courier blank",IF(AND(IFERROR(INDEX(tblMoveTypes[Orders?],MATCH($E823,tblMoveTypes[Movement],0)),"?")="Yes",$G823=""),"Orders needed",IF(AND(IFERROR(INDEX(tblMoveTypes[Orders?],MATCH($E823,tblMoveTypes[Movement],0)),"?")="No",$G823&lt;&gt;""),"Leave Orders blank",IF(AND(IFERROR(INDEX(tblMoveTypes[Reason?],MATCH($E823,tblMoveTypes[Movement],0)),"?")="Yes",$I823=""),"Reason needed",IF(AND(IFERROR(INDEX(tblMoveTypes[Qty?],MATCH($E823,tblMoveTypes[Movement],0)),"?")="Yes",N($F823)&lt;=0),"Qty needed",IF($A823&lt;_xlfn.MINIFS(tblShipment[Arrival Date],tblShipment[Shipment ID],$C823),"Date before arrival",IF(AND($D823&lt;&gt;"",COUNTIFS(tblShipment[Shipment ID],$C823,tblShipment[Item Code],$D823)=0),"Item not in this shipment",IF(AND($H823&lt;&gt;"",COUNTIFS(tblCouriers[Courier],$H823,tblCouriers[Market],$B823)=0),"Courier not in this market","OK")))))))))))))))</f>
        <v>OK</v>
      </c>
    </row>
    <row r="824" customFormat="false" ht="15" hidden="false" customHeight="false" outlineLevel="0" collapsed="false">
      <c r="A824" s="27" t="n">
        <v>46247</v>
      </c>
      <c r="B824" s="26" t="s">
        <v>90</v>
      </c>
      <c r="C824" s="26" t="s">
        <v>152</v>
      </c>
      <c r="D824" s="26"/>
      <c r="E824" s="26" t="s">
        <v>104</v>
      </c>
      <c r="F824" s="28"/>
      <c r="G824" s="28" t="n">
        <v>3</v>
      </c>
      <c r="H824" s="26" t="s">
        <v>101</v>
      </c>
      <c r="I824" s="26"/>
      <c r="J824" s="26"/>
      <c r="K824" s="29" t="str">
        <f aca="false">IF($A824="","",IF(COUNTIFS(tblMoveTypes[Movement],$E824)=0,"Unknown movement type",IF(COUNTIF(tblShipment[Shipment ID],$C824)=0,"Unknown shipment",IF(COUNTIFS(tblShipment[Shipment ID],$C824,tblShipment[Market],$B824)=0,"Market does not match shipment",IF(AND(IFERROR(INDEX(tblMoveTypes[Item?],MATCH($E824,tblMoveTypes[Movement],0)),"?")="Yes",$D824=""),"Item needed",IF(AND(IFERROR(INDEX(tblMoveTypes[Item?],MATCH($E824,tblMoveTypes[Movement],0)),"?")="No",$D824&lt;&gt;""),"Leave Item blank",IF(AND(IFERROR(INDEX(tblMoveTypes[Courier?],MATCH($E824,tblMoveTypes[Movement],0)),"?")="Yes",$H824=""),"Courier needed",IF(AND(IFERROR(INDEX(tblMoveTypes[Courier?],MATCH($E824,tblMoveTypes[Movement],0)),"?")="No",$H824&lt;&gt;""),"Leave Courier blank",IF(AND(IFERROR(INDEX(tblMoveTypes[Orders?],MATCH($E824,tblMoveTypes[Movement],0)),"?")="Yes",$G824=""),"Orders needed",IF(AND(IFERROR(INDEX(tblMoveTypes[Orders?],MATCH($E824,tblMoveTypes[Movement],0)),"?")="No",$G824&lt;&gt;""),"Leave Orders blank",IF(AND(IFERROR(INDEX(tblMoveTypes[Reason?],MATCH($E824,tblMoveTypes[Movement],0)),"?")="Yes",$I824=""),"Reason needed",IF(AND(IFERROR(INDEX(tblMoveTypes[Qty?],MATCH($E824,tblMoveTypes[Movement],0)),"?")="Yes",N($F824)&lt;=0),"Qty needed",IF($A824&lt;_xlfn.MINIFS(tblShipment[Arrival Date],tblShipment[Shipment ID],$C824),"Date before arrival",IF(AND($D824&lt;&gt;"",COUNTIFS(tblShipment[Shipment ID],$C824,tblShipment[Item Code],$D824)=0),"Item not in this shipment",IF(AND($H824&lt;&gt;"",COUNTIFS(tblCouriers[Courier],$H824,tblCouriers[Market],$B824)=0),"Courier not in this market","OK")))))))))))))))</f>
        <v>OK</v>
      </c>
    </row>
    <row r="825" customFormat="false" ht="15" hidden="false" customHeight="false" outlineLevel="0" collapsed="false">
      <c r="A825" s="27" t="n">
        <v>46247</v>
      </c>
      <c r="B825" s="26" t="s">
        <v>90</v>
      </c>
      <c r="C825" s="26" t="s">
        <v>152</v>
      </c>
      <c r="D825" s="26" t="s">
        <v>94</v>
      </c>
      <c r="E825" s="26" t="s">
        <v>93</v>
      </c>
      <c r="F825" s="28" t="n">
        <v>15</v>
      </c>
      <c r="G825" s="28"/>
      <c r="H825" s="26" t="s">
        <v>101</v>
      </c>
      <c r="I825" s="26"/>
      <c r="J825" s="26"/>
      <c r="K825" s="29" t="str">
        <f aca="false">IF($A825="","",IF(COUNTIFS(tblMoveTypes[Movement],$E825)=0,"Unknown movement type",IF(COUNTIF(tblShipment[Shipment ID],$C825)=0,"Unknown shipment",IF(COUNTIFS(tblShipment[Shipment ID],$C825,tblShipment[Market],$B825)=0,"Market does not match shipment",IF(AND(IFERROR(INDEX(tblMoveTypes[Item?],MATCH($E825,tblMoveTypes[Movement],0)),"?")="Yes",$D825=""),"Item needed",IF(AND(IFERROR(INDEX(tblMoveTypes[Item?],MATCH($E825,tblMoveTypes[Movement],0)),"?")="No",$D825&lt;&gt;""),"Leave Item blank",IF(AND(IFERROR(INDEX(tblMoveTypes[Courier?],MATCH($E825,tblMoveTypes[Movement],0)),"?")="Yes",$H825=""),"Courier needed",IF(AND(IFERROR(INDEX(tblMoveTypes[Courier?],MATCH($E825,tblMoveTypes[Movement],0)),"?")="No",$H825&lt;&gt;""),"Leave Courier blank",IF(AND(IFERROR(INDEX(tblMoveTypes[Orders?],MATCH($E825,tblMoveTypes[Movement],0)),"?")="Yes",$G825=""),"Orders needed",IF(AND(IFERROR(INDEX(tblMoveTypes[Orders?],MATCH($E825,tblMoveTypes[Movement],0)),"?")="No",$G825&lt;&gt;""),"Leave Orders blank",IF(AND(IFERROR(INDEX(tblMoveTypes[Reason?],MATCH($E825,tblMoveTypes[Movement],0)),"?")="Yes",$I825=""),"Reason needed",IF(AND(IFERROR(INDEX(tblMoveTypes[Qty?],MATCH($E825,tblMoveTypes[Movement],0)),"?")="Yes",N($F825)&lt;=0),"Qty needed",IF($A825&lt;_xlfn.MINIFS(tblShipment[Arrival Date],tblShipment[Shipment ID],$C825),"Date before arrival",IF(AND($D825&lt;&gt;"",COUNTIFS(tblShipment[Shipment ID],$C825,tblShipment[Item Code],$D825)=0),"Item not in this shipment",IF(AND($H825&lt;&gt;"",COUNTIFS(tblCouriers[Courier],$H825,tblCouriers[Market],$B825)=0),"Courier not in this market","OK")))))))))))))))</f>
        <v>OK</v>
      </c>
    </row>
    <row r="826" customFormat="false" ht="15" hidden="false" customHeight="false" outlineLevel="0" collapsed="false">
      <c r="A826" s="27" t="n">
        <v>46247</v>
      </c>
      <c r="B826" s="26" t="s">
        <v>90</v>
      </c>
      <c r="C826" s="26" t="s">
        <v>152</v>
      </c>
      <c r="D826" s="26"/>
      <c r="E826" s="26" t="s">
        <v>104</v>
      </c>
      <c r="F826" s="28"/>
      <c r="G826" s="28" t="n">
        <v>2</v>
      </c>
      <c r="H826" s="26" t="s">
        <v>101</v>
      </c>
      <c r="I826" s="26"/>
      <c r="J826" s="26"/>
      <c r="K826" s="29" t="str">
        <f aca="false">IF($A826="","",IF(COUNTIFS(tblMoveTypes[Movement],$E826)=0,"Unknown movement type",IF(COUNTIF(tblShipment[Shipment ID],$C826)=0,"Unknown shipment",IF(COUNTIFS(tblShipment[Shipment ID],$C826,tblShipment[Market],$B826)=0,"Market does not match shipment",IF(AND(IFERROR(INDEX(tblMoveTypes[Item?],MATCH($E826,tblMoveTypes[Movement],0)),"?")="Yes",$D826=""),"Item needed",IF(AND(IFERROR(INDEX(tblMoveTypes[Item?],MATCH($E826,tblMoveTypes[Movement],0)),"?")="No",$D826&lt;&gt;""),"Leave Item blank",IF(AND(IFERROR(INDEX(tblMoveTypes[Courier?],MATCH($E826,tblMoveTypes[Movement],0)),"?")="Yes",$H826=""),"Courier needed",IF(AND(IFERROR(INDEX(tblMoveTypes[Courier?],MATCH($E826,tblMoveTypes[Movement],0)),"?")="No",$H826&lt;&gt;""),"Leave Courier blank",IF(AND(IFERROR(INDEX(tblMoveTypes[Orders?],MATCH($E826,tblMoveTypes[Movement],0)),"?")="Yes",$G826=""),"Orders needed",IF(AND(IFERROR(INDEX(tblMoveTypes[Orders?],MATCH($E826,tblMoveTypes[Movement],0)),"?")="No",$G826&lt;&gt;""),"Leave Orders blank",IF(AND(IFERROR(INDEX(tblMoveTypes[Reason?],MATCH($E826,tblMoveTypes[Movement],0)),"?")="Yes",$I826=""),"Reason needed",IF(AND(IFERROR(INDEX(tblMoveTypes[Qty?],MATCH($E826,tblMoveTypes[Movement],0)),"?")="Yes",N($F826)&lt;=0),"Qty needed",IF($A826&lt;_xlfn.MINIFS(tblShipment[Arrival Date],tblShipment[Shipment ID],$C826),"Date before arrival",IF(AND($D826&lt;&gt;"",COUNTIFS(tblShipment[Shipment ID],$C826,tblShipment[Item Code],$D826)=0),"Item not in this shipment",IF(AND($H826&lt;&gt;"",COUNTIFS(tblCouriers[Courier],$H826,tblCouriers[Market],$B826)=0),"Courier not in this market","OK")))))))))))))))</f>
        <v>OK</v>
      </c>
    </row>
    <row r="827" customFormat="false" ht="15" hidden="false" customHeight="false" outlineLevel="0" collapsed="false">
      <c r="A827" s="27" t="n">
        <v>46247</v>
      </c>
      <c r="B827" s="26" t="s">
        <v>90</v>
      </c>
      <c r="C827" s="26" t="s">
        <v>152</v>
      </c>
      <c r="D827" s="26"/>
      <c r="E827" s="26" t="s">
        <v>106</v>
      </c>
      <c r="F827" s="28" t="n">
        <v>18</v>
      </c>
      <c r="G827" s="28" t="n">
        <v>3</v>
      </c>
      <c r="H827" s="26" t="s">
        <v>101</v>
      </c>
      <c r="I827" s="26"/>
      <c r="J827" s="26"/>
      <c r="K827" s="29" t="str">
        <f aca="false">IF($A827="","",IF(COUNTIFS(tblMoveTypes[Movement],$E827)=0,"Unknown movement type",IF(COUNTIF(tblShipment[Shipment ID],$C827)=0,"Unknown shipment",IF(COUNTIFS(tblShipment[Shipment ID],$C827,tblShipment[Market],$B827)=0,"Market does not match shipment",IF(AND(IFERROR(INDEX(tblMoveTypes[Item?],MATCH($E827,tblMoveTypes[Movement],0)),"?")="Yes",$D827=""),"Item needed",IF(AND(IFERROR(INDEX(tblMoveTypes[Item?],MATCH($E827,tblMoveTypes[Movement],0)),"?")="No",$D827&lt;&gt;""),"Leave Item blank",IF(AND(IFERROR(INDEX(tblMoveTypes[Courier?],MATCH($E827,tblMoveTypes[Movement],0)),"?")="Yes",$H827=""),"Courier needed",IF(AND(IFERROR(INDEX(tblMoveTypes[Courier?],MATCH($E827,tblMoveTypes[Movement],0)),"?")="No",$H827&lt;&gt;""),"Leave Courier blank",IF(AND(IFERROR(INDEX(tblMoveTypes[Orders?],MATCH($E827,tblMoveTypes[Movement],0)),"?")="Yes",$G827=""),"Orders needed",IF(AND(IFERROR(INDEX(tblMoveTypes[Orders?],MATCH($E827,tblMoveTypes[Movement],0)),"?")="No",$G827&lt;&gt;""),"Leave Orders blank",IF(AND(IFERROR(INDEX(tblMoveTypes[Reason?],MATCH($E827,tblMoveTypes[Movement],0)),"?")="Yes",$I827=""),"Reason needed",IF(AND(IFERROR(INDEX(tblMoveTypes[Qty?],MATCH($E827,tblMoveTypes[Movement],0)),"?")="Yes",N($F827)&lt;=0),"Qty needed",IF($A827&lt;_xlfn.MINIFS(tblShipment[Arrival Date],tblShipment[Shipment ID],$C827),"Date before arrival",IF(AND($D827&lt;&gt;"",COUNTIFS(tblShipment[Shipment ID],$C827,tblShipment[Item Code],$D827)=0),"Item not in this shipment",IF(AND($H827&lt;&gt;"",COUNTIFS(tblCouriers[Courier],$H827,tblCouriers[Market],$B827)=0),"Courier not in this market","OK")))))))))))))))</f>
        <v>OK</v>
      </c>
    </row>
    <row r="828" customFormat="false" ht="15" hidden="false" customHeight="false" outlineLevel="0" collapsed="false">
      <c r="A828" s="27" t="n">
        <v>46247</v>
      </c>
      <c r="B828" s="26" t="s">
        <v>90</v>
      </c>
      <c r="C828" s="26" t="s">
        <v>152</v>
      </c>
      <c r="D828" s="26"/>
      <c r="E828" s="26" t="s">
        <v>106</v>
      </c>
      <c r="F828" s="28" t="n">
        <v>8</v>
      </c>
      <c r="G828" s="28" t="n">
        <v>1</v>
      </c>
      <c r="H828" s="26" t="s">
        <v>101</v>
      </c>
      <c r="I828" s="26"/>
      <c r="J828" s="26"/>
      <c r="K828" s="29" t="str">
        <f aca="false">IF($A828="","",IF(COUNTIFS(tblMoveTypes[Movement],$E828)=0,"Unknown movement type",IF(COUNTIF(tblShipment[Shipment ID],$C828)=0,"Unknown shipment",IF(COUNTIFS(tblShipment[Shipment ID],$C828,tblShipment[Market],$B828)=0,"Market does not match shipment",IF(AND(IFERROR(INDEX(tblMoveTypes[Item?],MATCH($E828,tblMoveTypes[Movement],0)),"?")="Yes",$D828=""),"Item needed",IF(AND(IFERROR(INDEX(tblMoveTypes[Item?],MATCH($E828,tblMoveTypes[Movement],0)),"?")="No",$D828&lt;&gt;""),"Leave Item blank",IF(AND(IFERROR(INDEX(tblMoveTypes[Courier?],MATCH($E828,tblMoveTypes[Movement],0)),"?")="Yes",$H828=""),"Courier needed",IF(AND(IFERROR(INDEX(tblMoveTypes[Courier?],MATCH($E828,tblMoveTypes[Movement],0)),"?")="No",$H828&lt;&gt;""),"Leave Courier blank",IF(AND(IFERROR(INDEX(tblMoveTypes[Orders?],MATCH($E828,tblMoveTypes[Movement],0)),"?")="Yes",$G828=""),"Orders needed",IF(AND(IFERROR(INDEX(tblMoveTypes[Orders?],MATCH($E828,tblMoveTypes[Movement],0)),"?")="No",$G828&lt;&gt;""),"Leave Orders blank",IF(AND(IFERROR(INDEX(tblMoveTypes[Reason?],MATCH($E828,tblMoveTypes[Movement],0)),"?")="Yes",$I828=""),"Reason needed",IF(AND(IFERROR(INDEX(tblMoveTypes[Qty?],MATCH($E828,tblMoveTypes[Movement],0)),"?")="Yes",N($F828)&lt;=0),"Qty needed",IF($A828&lt;_xlfn.MINIFS(tblShipment[Arrival Date],tblShipment[Shipment ID],$C828),"Date before arrival",IF(AND($D828&lt;&gt;"",COUNTIFS(tblShipment[Shipment ID],$C828,tblShipment[Item Code],$D828)=0),"Item not in this shipment",IF(AND($H828&lt;&gt;"",COUNTIFS(tblCouriers[Courier],$H828,tblCouriers[Market],$B828)=0),"Courier not in this market","OK")))))))))))))))</f>
        <v>OK</v>
      </c>
    </row>
    <row r="829" customFormat="false" ht="15" hidden="false" customHeight="false" outlineLevel="0" collapsed="false">
      <c r="A829" s="27" t="n">
        <v>46247</v>
      </c>
      <c r="B829" s="26" t="s">
        <v>78</v>
      </c>
      <c r="C829" s="26" t="s">
        <v>137</v>
      </c>
      <c r="D829" s="26"/>
      <c r="E829" s="26" t="s">
        <v>106</v>
      </c>
      <c r="F829" s="28" t="n">
        <v>21</v>
      </c>
      <c r="G829" s="28" t="n">
        <v>3</v>
      </c>
      <c r="H829" s="26" t="s">
        <v>79</v>
      </c>
      <c r="I829" s="26"/>
      <c r="J829" s="26"/>
      <c r="K829" s="29" t="str">
        <f aca="false">IF($A829="","",IF(COUNTIFS(tblMoveTypes[Movement],$E829)=0,"Unknown movement type",IF(COUNTIF(tblShipment[Shipment ID],$C829)=0,"Unknown shipment",IF(COUNTIFS(tblShipment[Shipment ID],$C829,tblShipment[Market],$B829)=0,"Market does not match shipment",IF(AND(IFERROR(INDEX(tblMoveTypes[Item?],MATCH($E829,tblMoveTypes[Movement],0)),"?")="Yes",$D829=""),"Item needed",IF(AND(IFERROR(INDEX(tblMoveTypes[Item?],MATCH($E829,tblMoveTypes[Movement],0)),"?")="No",$D829&lt;&gt;""),"Leave Item blank",IF(AND(IFERROR(INDEX(tblMoveTypes[Courier?],MATCH($E829,tblMoveTypes[Movement],0)),"?")="Yes",$H829=""),"Courier needed",IF(AND(IFERROR(INDEX(tblMoveTypes[Courier?],MATCH($E829,tblMoveTypes[Movement],0)),"?")="No",$H829&lt;&gt;""),"Leave Courier blank",IF(AND(IFERROR(INDEX(tblMoveTypes[Orders?],MATCH($E829,tblMoveTypes[Movement],0)),"?")="Yes",$G829=""),"Orders needed",IF(AND(IFERROR(INDEX(tblMoveTypes[Orders?],MATCH($E829,tblMoveTypes[Movement],0)),"?")="No",$G829&lt;&gt;""),"Leave Orders blank",IF(AND(IFERROR(INDEX(tblMoveTypes[Reason?],MATCH($E829,tblMoveTypes[Movement],0)),"?")="Yes",$I829=""),"Reason needed",IF(AND(IFERROR(INDEX(tblMoveTypes[Qty?],MATCH($E829,tblMoveTypes[Movement],0)),"?")="Yes",N($F829)&lt;=0),"Qty needed",IF($A829&lt;_xlfn.MINIFS(tblShipment[Arrival Date],tblShipment[Shipment ID],$C829),"Date before arrival",IF(AND($D829&lt;&gt;"",COUNTIFS(tblShipment[Shipment ID],$C829,tblShipment[Item Code],$D829)=0),"Item not in this shipment",IF(AND($H829&lt;&gt;"",COUNTIFS(tblCouriers[Courier],$H829,tblCouriers[Market],$B829)=0),"Courier not in this market","OK")))))))))))))))</f>
        <v>OK</v>
      </c>
    </row>
    <row r="830" customFormat="false" ht="15" hidden="false" customHeight="false" outlineLevel="0" collapsed="false">
      <c r="A830" s="27" t="n">
        <v>46247</v>
      </c>
      <c r="B830" s="26" t="s">
        <v>78</v>
      </c>
      <c r="C830" s="26" t="s">
        <v>137</v>
      </c>
      <c r="D830" s="26"/>
      <c r="E830" s="26" t="s">
        <v>108</v>
      </c>
      <c r="F830" s="28" t="n">
        <v>3</v>
      </c>
      <c r="G830" s="28" t="n">
        <v>1</v>
      </c>
      <c r="H830" s="26" t="s">
        <v>79</v>
      </c>
      <c r="I830" s="26" t="s">
        <v>102</v>
      </c>
      <c r="J830" s="26"/>
      <c r="K830" s="29" t="str">
        <f aca="false">IF($A830="","",IF(COUNTIFS(tblMoveTypes[Movement],$E830)=0,"Unknown movement type",IF(COUNTIF(tblShipment[Shipment ID],$C830)=0,"Unknown shipment",IF(COUNTIFS(tblShipment[Shipment ID],$C830,tblShipment[Market],$B830)=0,"Market does not match shipment",IF(AND(IFERROR(INDEX(tblMoveTypes[Item?],MATCH($E830,tblMoveTypes[Movement],0)),"?")="Yes",$D830=""),"Item needed",IF(AND(IFERROR(INDEX(tblMoveTypes[Item?],MATCH($E830,tblMoveTypes[Movement],0)),"?")="No",$D830&lt;&gt;""),"Leave Item blank",IF(AND(IFERROR(INDEX(tblMoveTypes[Courier?],MATCH($E830,tblMoveTypes[Movement],0)),"?")="Yes",$H830=""),"Courier needed",IF(AND(IFERROR(INDEX(tblMoveTypes[Courier?],MATCH($E830,tblMoveTypes[Movement],0)),"?")="No",$H830&lt;&gt;""),"Leave Courier blank",IF(AND(IFERROR(INDEX(tblMoveTypes[Orders?],MATCH($E830,tblMoveTypes[Movement],0)),"?")="Yes",$G830=""),"Orders needed",IF(AND(IFERROR(INDEX(tblMoveTypes[Orders?],MATCH($E830,tblMoveTypes[Movement],0)),"?")="No",$G830&lt;&gt;""),"Leave Orders blank",IF(AND(IFERROR(INDEX(tblMoveTypes[Reason?],MATCH($E830,tblMoveTypes[Movement],0)),"?")="Yes",$I830=""),"Reason needed",IF(AND(IFERROR(INDEX(tblMoveTypes[Qty?],MATCH($E830,tblMoveTypes[Movement],0)),"?")="Yes",N($F830)&lt;=0),"Qty needed",IF($A830&lt;_xlfn.MINIFS(tblShipment[Arrival Date],tblShipment[Shipment ID],$C830),"Date before arrival",IF(AND($D830&lt;&gt;"",COUNTIFS(tblShipment[Shipment ID],$C830,tblShipment[Item Code],$D830)=0),"Item not in this shipment",IF(AND($H830&lt;&gt;"",COUNTIFS(tblCouriers[Courier],$H830,tblCouriers[Market],$B830)=0),"Courier not in this market","OK")))))))))))))))</f>
        <v>OK</v>
      </c>
    </row>
    <row r="831" customFormat="false" ht="15" hidden="false" customHeight="false" outlineLevel="0" collapsed="false">
      <c r="A831" s="27" t="n">
        <v>46247</v>
      </c>
      <c r="B831" s="26" t="s">
        <v>78</v>
      </c>
      <c r="C831" s="26" t="s">
        <v>137</v>
      </c>
      <c r="D831" s="26" t="s">
        <v>76</v>
      </c>
      <c r="E831" s="26" t="s">
        <v>110</v>
      </c>
      <c r="F831" s="28" t="n">
        <v>2</v>
      </c>
      <c r="G831" s="28"/>
      <c r="H831" s="26"/>
      <c r="I831" s="26"/>
      <c r="J831" s="26"/>
      <c r="K831" s="29" t="str">
        <f aca="false">IF($A831="","",IF(COUNTIFS(tblMoveTypes[Movement],$E831)=0,"Unknown movement type",IF(COUNTIF(tblShipment[Shipment ID],$C831)=0,"Unknown shipment",IF(COUNTIFS(tblShipment[Shipment ID],$C831,tblShipment[Market],$B831)=0,"Market does not match shipment",IF(AND(IFERROR(INDEX(tblMoveTypes[Item?],MATCH($E831,tblMoveTypes[Movement],0)),"?")="Yes",$D831=""),"Item needed",IF(AND(IFERROR(INDEX(tblMoveTypes[Item?],MATCH($E831,tblMoveTypes[Movement],0)),"?")="No",$D831&lt;&gt;""),"Leave Item blank",IF(AND(IFERROR(INDEX(tblMoveTypes[Courier?],MATCH($E831,tblMoveTypes[Movement],0)),"?")="Yes",$H831=""),"Courier needed",IF(AND(IFERROR(INDEX(tblMoveTypes[Courier?],MATCH($E831,tblMoveTypes[Movement],0)),"?")="No",$H831&lt;&gt;""),"Leave Courier blank",IF(AND(IFERROR(INDEX(tblMoveTypes[Orders?],MATCH($E831,tblMoveTypes[Movement],0)),"?")="Yes",$G831=""),"Orders needed",IF(AND(IFERROR(INDEX(tblMoveTypes[Orders?],MATCH($E831,tblMoveTypes[Movement],0)),"?")="No",$G831&lt;&gt;""),"Leave Orders blank",IF(AND(IFERROR(INDEX(tblMoveTypes[Reason?],MATCH($E831,tblMoveTypes[Movement],0)),"?")="Yes",$I831=""),"Reason needed",IF(AND(IFERROR(INDEX(tblMoveTypes[Qty?],MATCH($E831,tblMoveTypes[Movement],0)),"?")="Yes",N($F831)&lt;=0),"Qty needed",IF($A831&lt;_xlfn.MINIFS(tblShipment[Arrival Date],tblShipment[Shipment ID],$C831),"Date before arrival",IF(AND($D831&lt;&gt;"",COUNTIFS(tblShipment[Shipment ID],$C831,tblShipment[Item Code],$D831)=0),"Item not in this shipment",IF(AND($H831&lt;&gt;"",COUNTIFS(tblCouriers[Courier],$H831,tblCouriers[Market],$B831)=0),"Courier not in this market","OK")))))))))))))))</f>
        <v>OK</v>
      </c>
    </row>
    <row r="832" customFormat="false" ht="15" hidden="false" customHeight="false" outlineLevel="0" collapsed="false">
      <c r="A832" s="27" t="n">
        <v>46247</v>
      </c>
      <c r="B832" s="26" t="s">
        <v>78</v>
      </c>
      <c r="C832" s="26" t="s">
        <v>137</v>
      </c>
      <c r="D832" s="26" t="s">
        <v>76</v>
      </c>
      <c r="E832" s="26" t="s">
        <v>112</v>
      </c>
      <c r="F832" s="28" t="n">
        <v>1</v>
      </c>
      <c r="G832" s="28"/>
      <c r="H832" s="26"/>
      <c r="I832" s="26" t="s">
        <v>80</v>
      </c>
      <c r="J832" s="26"/>
      <c r="K832" s="29" t="str">
        <f aca="false">IF($A832="","",IF(COUNTIFS(tblMoveTypes[Movement],$E832)=0,"Unknown movement type",IF(COUNTIF(tblShipment[Shipment ID],$C832)=0,"Unknown shipment",IF(COUNTIFS(tblShipment[Shipment ID],$C832,tblShipment[Market],$B832)=0,"Market does not match shipment",IF(AND(IFERROR(INDEX(tblMoveTypes[Item?],MATCH($E832,tblMoveTypes[Movement],0)),"?")="Yes",$D832=""),"Item needed",IF(AND(IFERROR(INDEX(tblMoveTypes[Item?],MATCH($E832,tblMoveTypes[Movement],0)),"?")="No",$D832&lt;&gt;""),"Leave Item blank",IF(AND(IFERROR(INDEX(tblMoveTypes[Courier?],MATCH($E832,tblMoveTypes[Movement],0)),"?")="Yes",$H832=""),"Courier needed",IF(AND(IFERROR(INDEX(tblMoveTypes[Courier?],MATCH($E832,tblMoveTypes[Movement],0)),"?")="No",$H832&lt;&gt;""),"Leave Courier blank",IF(AND(IFERROR(INDEX(tblMoveTypes[Orders?],MATCH($E832,tblMoveTypes[Movement],0)),"?")="Yes",$G832=""),"Orders needed",IF(AND(IFERROR(INDEX(tblMoveTypes[Orders?],MATCH($E832,tblMoveTypes[Movement],0)),"?")="No",$G832&lt;&gt;""),"Leave Orders blank",IF(AND(IFERROR(INDEX(tblMoveTypes[Reason?],MATCH($E832,tblMoveTypes[Movement],0)),"?")="Yes",$I832=""),"Reason needed",IF(AND(IFERROR(INDEX(tblMoveTypes[Qty?],MATCH($E832,tblMoveTypes[Movement],0)),"?")="Yes",N($F832)&lt;=0),"Qty needed",IF($A832&lt;_xlfn.MINIFS(tblShipment[Arrival Date],tblShipment[Shipment ID],$C832),"Date before arrival",IF(AND($D832&lt;&gt;"",COUNTIFS(tblShipment[Shipment ID],$C832,tblShipment[Item Code],$D832)=0),"Item not in this shipment",IF(AND($H832&lt;&gt;"",COUNTIFS(tblCouriers[Courier],$H832,tblCouriers[Market],$B832)=0),"Courier not in this market","OK")))))))))))))))</f>
        <v>OK</v>
      </c>
    </row>
    <row r="833" customFormat="false" ht="15" hidden="false" customHeight="false" outlineLevel="0" collapsed="false">
      <c r="A833" s="27" t="n">
        <v>46247</v>
      </c>
      <c r="B833" s="26" t="s">
        <v>78</v>
      </c>
      <c r="C833" s="26" t="s">
        <v>137</v>
      </c>
      <c r="D833" s="26" t="s">
        <v>67</v>
      </c>
      <c r="E833" s="26" t="s">
        <v>93</v>
      </c>
      <c r="F833" s="28" t="n">
        <v>6</v>
      </c>
      <c r="G833" s="28"/>
      <c r="H833" s="26" t="s">
        <v>79</v>
      </c>
      <c r="I833" s="26"/>
      <c r="J833" s="26"/>
      <c r="K833" s="29" t="str">
        <f aca="false">IF($A833="","",IF(COUNTIFS(tblMoveTypes[Movement],$E833)=0,"Unknown movement type",IF(COUNTIF(tblShipment[Shipment ID],$C833)=0,"Unknown shipment",IF(COUNTIFS(tblShipment[Shipment ID],$C833,tblShipment[Market],$B833)=0,"Market does not match shipment",IF(AND(IFERROR(INDEX(tblMoveTypes[Item?],MATCH($E833,tblMoveTypes[Movement],0)),"?")="Yes",$D833=""),"Item needed",IF(AND(IFERROR(INDEX(tblMoveTypes[Item?],MATCH($E833,tblMoveTypes[Movement],0)),"?")="No",$D833&lt;&gt;""),"Leave Item blank",IF(AND(IFERROR(INDEX(tblMoveTypes[Courier?],MATCH($E833,tblMoveTypes[Movement],0)),"?")="Yes",$H833=""),"Courier needed",IF(AND(IFERROR(INDEX(tblMoveTypes[Courier?],MATCH($E833,tblMoveTypes[Movement],0)),"?")="No",$H833&lt;&gt;""),"Leave Courier blank",IF(AND(IFERROR(INDEX(tblMoveTypes[Orders?],MATCH($E833,tblMoveTypes[Movement],0)),"?")="Yes",$G833=""),"Orders needed",IF(AND(IFERROR(INDEX(tblMoveTypes[Orders?],MATCH($E833,tblMoveTypes[Movement],0)),"?")="No",$G833&lt;&gt;""),"Leave Orders blank",IF(AND(IFERROR(INDEX(tblMoveTypes[Reason?],MATCH($E833,tblMoveTypes[Movement],0)),"?")="Yes",$I833=""),"Reason needed",IF(AND(IFERROR(INDEX(tblMoveTypes[Qty?],MATCH($E833,tblMoveTypes[Movement],0)),"?")="Yes",N($F833)&lt;=0),"Qty needed",IF($A833&lt;_xlfn.MINIFS(tblShipment[Arrival Date],tblShipment[Shipment ID],$C833),"Date before arrival",IF(AND($D833&lt;&gt;"",COUNTIFS(tblShipment[Shipment ID],$C833,tblShipment[Item Code],$D833)=0),"Item not in this shipment",IF(AND($H833&lt;&gt;"",COUNTIFS(tblCouriers[Courier],$H833,tblCouriers[Market],$B833)=0),"Courier not in this market","OK")))))))))))))))</f>
        <v>OK</v>
      </c>
    </row>
    <row r="834" customFormat="false" ht="15" hidden="false" customHeight="false" outlineLevel="0" collapsed="false">
      <c r="A834" s="27" t="n">
        <v>46247</v>
      </c>
      <c r="B834" s="26" t="s">
        <v>78</v>
      </c>
      <c r="C834" s="26" t="s">
        <v>137</v>
      </c>
      <c r="D834" s="26"/>
      <c r="E834" s="26" t="s">
        <v>104</v>
      </c>
      <c r="F834" s="28"/>
      <c r="G834" s="28" t="n">
        <v>1</v>
      </c>
      <c r="H834" s="26" t="s">
        <v>79</v>
      </c>
      <c r="I834" s="26"/>
      <c r="J834" s="26"/>
      <c r="K834" s="29" t="str">
        <f aca="false">IF($A834="","",IF(COUNTIFS(tblMoveTypes[Movement],$E834)=0,"Unknown movement type",IF(COUNTIF(tblShipment[Shipment ID],$C834)=0,"Unknown shipment",IF(COUNTIFS(tblShipment[Shipment ID],$C834,tblShipment[Market],$B834)=0,"Market does not match shipment",IF(AND(IFERROR(INDEX(tblMoveTypes[Item?],MATCH($E834,tblMoveTypes[Movement],0)),"?")="Yes",$D834=""),"Item needed",IF(AND(IFERROR(INDEX(tblMoveTypes[Item?],MATCH($E834,tblMoveTypes[Movement],0)),"?")="No",$D834&lt;&gt;""),"Leave Item blank",IF(AND(IFERROR(INDEX(tblMoveTypes[Courier?],MATCH($E834,tblMoveTypes[Movement],0)),"?")="Yes",$H834=""),"Courier needed",IF(AND(IFERROR(INDEX(tblMoveTypes[Courier?],MATCH($E834,tblMoveTypes[Movement],0)),"?")="No",$H834&lt;&gt;""),"Leave Courier blank",IF(AND(IFERROR(INDEX(tblMoveTypes[Orders?],MATCH($E834,tblMoveTypes[Movement],0)),"?")="Yes",$G834=""),"Orders needed",IF(AND(IFERROR(INDEX(tblMoveTypes[Orders?],MATCH($E834,tblMoveTypes[Movement],0)),"?")="No",$G834&lt;&gt;""),"Leave Orders blank",IF(AND(IFERROR(INDEX(tblMoveTypes[Reason?],MATCH($E834,tblMoveTypes[Movement],0)),"?")="Yes",$I834=""),"Reason needed",IF(AND(IFERROR(INDEX(tblMoveTypes[Qty?],MATCH($E834,tblMoveTypes[Movement],0)),"?")="Yes",N($F834)&lt;=0),"Qty needed",IF($A834&lt;_xlfn.MINIFS(tblShipment[Arrival Date],tblShipment[Shipment ID],$C834),"Date before arrival",IF(AND($D834&lt;&gt;"",COUNTIFS(tblShipment[Shipment ID],$C834,tblShipment[Item Code],$D834)=0),"Item not in this shipment",IF(AND($H834&lt;&gt;"",COUNTIFS(tblCouriers[Courier],$H834,tblCouriers[Market],$B834)=0),"Courier not in this market","OK")))))))))))))))</f>
        <v>OK</v>
      </c>
    </row>
    <row r="835" customFormat="false" ht="15" hidden="false" customHeight="false" outlineLevel="0" collapsed="false">
      <c r="A835" s="27" t="n">
        <v>46247</v>
      </c>
      <c r="B835" s="26" t="s">
        <v>78</v>
      </c>
      <c r="C835" s="26" t="s">
        <v>137</v>
      </c>
      <c r="D835" s="26"/>
      <c r="E835" s="26" t="s">
        <v>106</v>
      </c>
      <c r="F835" s="28" t="n">
        <v>12</v>
      </c>
      <c r="G835" s="28" t="n">
        <v>2</v>
      </c>
      <c r="H835" s="26" t="s">
        <v>79</v>
      </c>
      <c r="I835" s="26"/>
      <c r="J835" s="26"/>
      <c r="K835" s="29" t="str">
        <f aca="false">IF($A835="","",IF(COUNTIFS(tblMoveTypes[Movement],$E835)=0,"Unknown movement type",IF(COUNTIF(tblShipment[Shipment ID],$C835)=0,"Unknown shipment",IF(COUNTIFS(tblShipment[Shipment ID],$C835,tblShipment[Market],$B835)=0,"Market does not match shipment",IF(AND(IFERROR(INDEX(tblMoveTypes[Item?],MATCH($E835,tblMoveTypes[Movement],0)),"?")="Yes",$D835=""),"Item needed",IF(AND(IFERROR(INDEX(tblMoveTypes[Item?],MATCH($E835,tblMoveTypes[Movement],0)),"?")="No",$D835&lt;&gt;""),"Leave Item blank",IF(AND(IFERROR(INDEX(tblMoveTypes[Courier?],MATCH($E835,tblMoveTypes[Movement],0)),"?")="Yes",$H835=""),"Courier needed",IF(AND(IFERROR(INDEX(tblMoveTypes[Courier?],MATCH($E835,tblMoveTypes[Movement],0)),"?")="No",$H835&lt;&gt;""),"Leave Courier blank",IF(AND(IFERROR(INDEX(tblMoveTypes[Orders?],MATCH($E835,tblMoveTypes[Movement],0)),"?")="Yes",$G835=""),"Orders needed",IF(AND(IFERROR(INDEX(tblMoveTypes[Orders?],MATCH($E835,tblMoveTypes[Movement],0)),"?")="No",$G835&lt;&gt;""),"Leave Orders blank",IF(AND(IFERROR(INDEX(tblMoveTypes[Reason?],MATCH($E835,tblMoveTypes[Movement],0)),"?")="Yes",$I835=""),"Reason needed",IF(AND(IFERROR(INDEX(tblMoveTypes[Qty?],MATCH($E835,tblMoveTypes[Movement],0)),"?")="Yes",N($F835)&lt;=0),"Qty needed",IF($A835&lt;_xlfn.MINIFS(tblShipment[Arrival Date],tblShipment[Shipment ID],$C835),"Date before arrival",IF(AND($D835&lt;&gt;"",COUNTIFS(tblShipment[Shipment ID],$C835,tblShipment[Item Code],$D835)=0),"Item not in this shipment",IF(AND($H835&lt;&gt;"",COUNTIFS(tblCouriers[Courier],$H835,tblCouriers[Market],$B835)=0),"Courier not in this market","OK")))))))))))))))</f>
        <v>OK</v>
      </c>
    </row>
    <row r="836" customFormat="false" ht="15" hidden="false" customHeight="false" outlineLevel="0" collapsed="false">
      <c r="A836" s="27" t="n">
        <v>46247</v>
      </c>
      <c r="B836" s="26" t="s">
        <v>78</v>
      </c>
      <c r="C836" s="26" t="s">
        <v>138</v>
      </c>
      <c r="D836" s="26" t="s">
        <v>99</v>
      </c>
      <c r="E836" s="26" t="s">
        <v>74</v>
      </c>
      <c r="F836" s="28" t="n">
        <v>80</v>
      </c>
      <c r="G836" s="28"/>
      <c r="H836" s="26"/>
      <c r="I836" s="26"/>
      <c r="J836" s="26"/>
      <c r="K836" s="29" t="str">
        <f aca="false">IF($A836="","",IF(COUNTIFS(tblMoveTypes[Movement],$E836)=0,"Unknown movement type",IF(COUNTIF(tblShipment[Shipment ID],$C836)=0,"Unknown shipment",IF(COUNTIFS(tblShipment[Shipment ID],$C836,tblShipment[Market],$B836)=0,"Market does not match shipment",IF(AND(IFERROR(INDEX(tblMoveTypes[Item?],MATCH($E836,tblMoveTypes[Movement],0)),"?")="Yes",$D836=""),"Item needed",IF(AND(IFERROR(INDEX(tblMoveTypes[Item?],MATCH($E836,tblMoveTypes[Movement],0)),"?")="No",$D836&lt;&gt;""),"Leave Item blank",IF(AND(IFERROR(INDEX(tblMoveTypes[Courier?],MATCH($E836,tblMoveTypes[Movement],0)),"?")="Yes",$H836=""),"Courier needed",IF(AND(IFERROR(INDEX(tblMoveTypes[Courier?],MATCH($E836,tblMoveTypes[Movement],0)),"?")="No",$H836&lt;&gt;""),"Leave Courier blank",IF(AND(IFERROR(INDEX(tblMoveTypes[Orders?],MATCH($E836,tblMoveTypes[Movement],0)),"?")="Yes",$G836=""),"Orders needed",IF(AND(IFERROR(INDEX(tblMoveTypes[Orders?],MATCH($E836,tblMoveTypes[Movement],0)),"?")="No",$G836&lt;&gt;""),"Leave Orders blank",IF(AND(IFERROR(INDEX(tblMoveTypes[Reason?],MATCH($E836,tblMoveTypes[Movement],0)),"?")="Yes",$I836=""),"Reason needed",IF(AND(IFERROR(INDEX(tblMoveTypes[Qty?],MATCH($E836,tblMoveTypes[Movement],0)),"?")="Yes",N($F836)&lt;=0),"Qty needed",IF($A836&lt;_xlfn.MINIFS(tblShipment[Arrival Date],tblShipment[Shipment ID],$C836),"Date before arrival",IF(AND($D836&lt;&gt;"",COUNTIFS(tblShipment[Shipment ID],$C836,tblShipment[Item Code],$D836)=0),"Item not in this shipment",IF(AND($H836&lt;&gt;"",COUNTIFS(tblCouriers[Courier],$H836,tblCouriers[Market],$B836)=0),"Courier not in this market","OK")))))))))))))))</f>
        <v>OK</v>
      </c>
    </row>
    <row r="837" customFormat="false" ht="15" hidden="false" customHeight="false" outlineLevel="0" collapsed="false">
      <c r="A837" s="27" t="n">
        <v>46247</v>
      </c>
      <c r="B837" s="26" t="s">
        <v>78</v>
      </c>
      <c r="C837" s="26" t="s">
        <v>138</v>
      </c>
      <c r="D837" s="26" t="s">
        <v>67</v>
      </c>
      <c r="E837" s="26" t="s">
        <v>74</v>
      </c>
      <c r="F837" s="28" t="n">
        <v>60</v>
      </c>
      <c r="G837" s="28"/>
      <c r="H837" s="26"/>
      <c r="I837" s="26"/>
      <c r="J837" s="26"/>
      <c r="K837" s="29" t="str">
        <f aca="false">IF($A837="","",IF(COUNTIFS(tblMoveTypes[Movement],$E837)=0,"Unknown movement type",IF(COUNTIF(tblShipment[Shipment ID],$C837)=0,"Unknown shipment",IF(COUNTIFS(tblShipment[Shipment ID],$C837,tblShipment[Market],$B837)=0,"Market does not match shipment",IF(AND(IFERROR(INDEX(tblMoveTypes[Item?],MATCH($E837,tblMoveTypes[Movement],0)),"?")="Yes",$D837=""),"Item needed",IF(AND(IFERROR(INDEX(tblMoveTypes[Item?],MATCH($E837,tblMoveTypes[Movement],0)),"?")="No",$D837&lt;&gt;""),"Leave Item blank",IF(AND(IFERROR(INDEX(tblMoveTypes[Courier?],MATCH($E837,tblMoveTypes[Movement],0)),"?")="Yes",$H837=""),"Courier needed",IF(AND(IFERROR(INDEX(tblMoveTypes[Courier?],MATCH($E837,tblMoveTypes[Movement],0)),"?")="No",$H837&lt;&gt;""),"Leave Courier blank",IF(AND(IFERROR(INDEX(tblMoveTypes[Orders?],MATCH($E837,tblMoveTypes[Movement],0)),"?")="Yes",$G837=""),"Orders needed",IF(AND(IFERROR(INDEX(tblMoveTypes[Orders?],MATCH($E837,tblMoveTypes[Movement],0)),"?")="No",$G837&lt;&gt;""),"Leave Orders blank",IF(AND(IFERROR(INDEX(tblMoveTypes[Reason?],MATCH($E837,tblMoveTypes[Movement],0)),"?")="Yes",$I837=""),"Reason needed",IF(AND(IFERROR(INDEX(tblMoveTypes[Qty?],MATCH($E837,tblMoveTypes[Movement],0)),"?")="Yes",N($F837)&lt;=0),"Qty needed",IF($A837&lt;_xlfn.MINIFS(tblShipment[Arrival Date],tblShipment[Shipment ID],$C837),"Date before arrival",IF(AND($D837&lt;&gt;"",COUNTIFS(tblShipment[Shipment ID],$C837,tblShipment[Item Code],$D837)=0),"Item not in this shipment",IF(AND($H837&lt;&gt;"",COUNTIFS(tblCouriers[Courier],$H837,tblCouriers[Market],$B837)=0),"Courier not in this market","OK")))))))))))))))</f>
        <v>OK</v>
      </c>
    </row>
    <row r="838" customFormat="false" ht="15" hidden="false" customHeight="false" outlineLevel="0" collapsed="false">
      <c r="A838" s="27" t="n">
        <v>46247</v>
      </c>
      <c r="B838" s="26" t="s">
        <v>78</v>
      </c>
      <c r="C838" s="26" t="s">
        <v>138</v>
      </c>
      <c r="D838" s="26" t="s">
        <v>76</v>
      </c>
      <c r="E838" s="26" t="s">
        <v>81</v>
      </c>
      <c r="F838" s="28" t="n">
        <v>3</v>
      </c>
      <c r="G838" s="28"/>
      <c r="H838" s="26"/>
      <c r="I838" s="26"/>
      <c r="J838" s="26" t="s">
        <v>162</v>
      </c>
      <c r="K838" s="29" t="str">
        <f aca="false">IF($A838="","",IF(COUNTIFS(tblMoveTypes[Movement],$E838)=0,"Unknown movement type",IF(COUNTIF(tblShipment[Shipment ID],$C838)=0,"Unknown shipment",IF(COUNTIFS(tblShipment[Shipment ID],$C838,tblShipment[Market],$B838)=0,"Market does not match shipment",IF(AND(IFERROR(INDEX(tblMoveTypes[Item?],MATCH($E838,tblMoveTypes[Movement],0)),"?")="Yes",$D838=""),"Item needed",IF(AND(IFERROR(INDEX(tblMoveTypes[Item?],MATCH($E838,tblMoveTypes[Movement],0)),"?")="No",$D838&lt;&gt;""),"Leave Item blank",IF(AND(IFERROR(INDEX(tblMoveTypes[Courier?],MATCH($E838,tblMoveTypes[Movement],0)),"?")="Yes",$H838=""),"Courier needed",IF(AND(IFERROR(INDEX(tblMoveTypes[Courier?],MATCH($E838,tblMoveTypes[Movement],0)),"?")="No",$H838&lt;&gt;""),"Leave Courier blank",IF(AND(IFERROR(INDEX(tblMoveTypes[Orders?],MATCH($E838,tblMoveTypes[Movement],0)),"?")="Yes",$G838=""),"Orders needed",IF(AND(IFERROR(INDEX(tblMoveTypes[Orders?],MATCH($E838,tblMoveTypes[Movement],0)),"?")="No",$G838&lt;&gt;""),"Leave Orders blank",IF(AND(IFERROR(INDEX(tblMoveTypes[Reason?],MATCH($E838,tblMoveTypes[Movement],0)),"?")="Yes",$I838=""),"Reason needed",IF(AND(IFERROR(INDEX(tblMoveTypes[Qty?],MATCH($E838,tblMoveTypes[Movement],0)),"?")="Yes",N($F838)&lt;=0),"Qty needed",IF($A838&lt;_xlfn.MINIFS(tblShipment[Arrival Date],tblShipment[Shipment ID],$C838),"Date before arrival",IF(AND($D838&lt;&gt;"",COUNTIFS(tblShipment[Shipment ID],$C838,tblShipment[Item Code],$D838)=0),"Item not in this shipment",IF(AND($H838&lt;&gt;"",COUNTIFS(tblCouriers[Courier],$H838,tblCouriers[Market],$B838)=0),"Courier not in this market","OK")))))))))))))))</f>
        <v>OK</v>
      </c>
    </row>
    <row r="839" customFormat="false" ht="15" hidden="false" customHeight="false" outlineLevel="0" collapsed="false">
      <c r="A839" s="27" t="n">
        <v>46247</v>
      </c>
      <c r="B839" s="26" t="s">
        <v>78</v>
      </c>
      <c r="C839" s="26" t="s">
        <v>138</v>
      </c>
      <c r="D839" s="26" t="s">
        <v>76</v>
      </c>
      <c r="E839" s="26" t="s">
        <v>74</v>
      </c>
      <c r="F839" s="28" t="n">
        <v>37</v>
      </c>
      <c r="G839" s="28"/>
      <c r="H839" s="26"/>
      <c r="I839" s="26"/>
      <c r="J839" s="26"/>
      <c r="K839" s="29" t="str">
        <f aca="false">IF($A839="","",IF(COUNTIFS(tblMoveTypes[Movement],$E839)=0,"Unknown movement type",IF(COUNTIF(tblShipment[Shipment ID],$C839)=0,"Unknown shipment",IF(COUNTIFS(tblShipment[Shipment ID],$C839,tblShipment[Market],$B839)=0,"Market does not match shipment",IF(AND(IFERROR(INDEX(tblMoveTypes[Item?],MATCH($E839,tblMoveTypes[Movement],0)),"?")="Yes",$D839=""),"Item needed",IF(AND(IFERROR(INDEX(tblMoveTypes[Item?],MATCH($E839,tblMoveTypes[Movement],0)),"?")="No",$D839&lt;&gt;""),"Leave Item blank",IF(AND(IFERROR(INDEX(tblMoveTypes[Courier?],MATCH($E839,tblMoveTypes[Movement],0)),"?")="Yes",$H839=""),"Courier needed",IF(AND(IFERROR(INDEX(tblMoveTypes[Courier?],MATCH($E839,tblMoveTypes[Movement],0)),"?")="No",$H839&lt;&gt;""),"Leave Courier blank",IF(AND(IFERROR(INDEX(tblMoveTypes[Orders?],MATCH($E839,tblMoveTypes[Movement],0)),"?")="Yes",$G839=""),"Orders needed",IF(AND(IFERROR(INDEX(tblMoveTypes[Orders?],MATCH($E839,tblMoveTypes[Movement],0)),"?")="No",$G839&lt;&gt;""),"Leave Orders blank",IF(AND(IFERROR(INDEX(tblMoveTypes[Reason?],MATCH($E839,tblMoveTypes[Movement],0)),"?")="Yes",$I839=""),"Reason needed",IF(AND(IFERROR(INDEX(tblMoveTypes[Qty?],MATCH($E839,tblMoveTypes[Movement],0)),"?")="Yes",N($F839)&lt;=0),"Qty needed",IF($A839&lt;_xlfn.MINIFS(tblShipment[Arrival Date],tblShipment[Shipment ID],$C839),"Date before arrival",IF(AND($D839&lt;&gt;"",COUNTIFS(tblShipment[Shipment ID],$C839,tblShipment[Item Code],$D839)=0),"Item not in this shipment",IF(AND($H839&lt;&gt;"",COUNTIFS(tblCouriers[Courier],$H839,tblCouriers[Market],$B839)=0),"Courier not in this market","OK")))))))))))))))</f>
        <v>OK</v>
      </c>
    </row>
    <row r="840" customFormat="false" ht="15" hidden="false" customHeight="false" outlineLevel="0" collapsed="false">
      <c r="A840" s="27" t="n">
        <v>46247</v>
      </c>
      <c r="B840" s="26" t="s">
        <v>78</v>
      </c>
      <c r="C840" s="26" t="s">
        <v>138</v>
      </c>
      <c r="D840" s="26"/>
      <c r="E840" s="26" t="s">
        <v>98</v>
      </c>
      <c r="F840" s="28"/>
      <c r="G840" s="28" t="n">
        <v>25</v>
      </c>
      <c r="H840" s="26"/>
      <c r="I840" s="26"/>
      <c r="J840" s="26"/>
      <c r="K840" s="29" t="str">
        <f aca="false">IF($A840="","",IF(COUNTIFS(tblMoveTypes[Movement],$E840)=0,"Unknown movement type",IF(COUNTIF(tblShipment[Shipment ID],$C840)=0,"Unknown shipment",IF(COUNTIFS(tblShipment[Shipment ID],$C840,tblShipment[Market],$B840)=0,"Market does not match shipment",IF(AND(IFERROR(INDEX(tblMoveTypes[Item?],MATCH($E840,tblMoveTypes[Movement],0)),"?")="Yes",$D840=""),"Item needed",IF(AND(IFERROR(INDEX(tblMoveTypes[Item?],MATCH($E840,tblMoveTypes[Movement],0)),"?")="No",$D840&lt;&gt;""),"Leave Item blank",IF(AND(IFERROR(INDEX(tblMoveTypes[Courier?],MATCH($E840,tblMoveTypes[Movement],0)),"?")="Yes",$H840=""),"Courier needed",IF(AND(IFERROR(INDEX(tblMoveTypes[Courier?],MATCH($E840,tblMoveTypes[Movement],0)),"?")="No",$H840&lt;&gt;""),"Leave Courier blank",IF(AND(IFERROR(INDEX(tblMoveTypes[Orders?],MATCH($E840,tblMoveTypes[Movement],0)),"?")="Yes",$G840=""),"Orders needed",IF(AND(IFERROR(INDEX(tblMoveTypes[Orders?],MATCH($E840,tblMoveTypes[Movement],0)),"?")="No",$G840&lt;&gt;""),"Leave Orders blank",IF(AND(IFERROR(INDEX(tblMoveTypes[Reason?],MATCH($E840,tblMoveTypes[Movement],0)),"?")="Yes",$I840=""),"Reason needed",IF(AND(IFERROR(INDEX(tblMoveTypes[Qty?],MATCH($E840,tblMoveTypes[Movement],0)),"?")="Yes",N($F840)&lt;=0),"Qty needed",IF($A840&lt;_xlfn.MINIFS(tblShipment[Arrival Date],tblShipment[Shipment ID],$C840),"Date before arrival",IF(AND($D840&lt;&gt;"",COUNTIFS(tblShipment[Shipment ID],$C840,tblShipment[Item Code],$D840)=0),"Item not in this shipment",IF(AND($H840&lt;&gt;"",COUNTIFS(tblCouriers[Courier],$H840,tblCouriers[Market],$B840)=0),"Courier not in this market","OK")))))))))))))))</f>
        <v>OK</v>
      </c>
    </row>
    <row r="841" customFormat="false" ht="15" hidden="false" customHeight="false" outlineLevel="0" collapsed="false">
      <c r="A841" s="27" t="n">
        <v>46247</v>
      </c>
      <c r="B841" s="26" t="s">
        <v>78</v>
      </c>
      <c r="C841" s="26" t="s">
        <v>138</v>
      </c>
      <c r="D841" s="26" t="s">
        <v>99</v>
      </c>
      <c r="E841" s="26" t="s">
        <v>73</v>
      </c>
      <c r="F841" s="28" t="n">
        <v>2</v>
      </c>
      <c r="G841" s="28"/>
      <c r="H841" s="26"/>
      <c r="I841" s="26" t="s">
        <v>80</v>
      </c>
      <c r="J841" s="26"/>
      <c r="K841" s="29" t="str">
        <f aca="false">IF($A841="","",IF(COUNTIFS(tblMoveTypes[Movement],$E841)=0,"Unknown movement type",IF(COUNTIF(tblShipment[Shipment ID],$C841)=0,"Unknown shipment",IF(COUNTIFS(tblShipment[Shipment ID],$C841,tblShipment[Market],$B841)=0,"Market does not match shipment",IF(AND(IFERROR(INDEX(tblMoveTypes[Item?],MATCH($E841,tblMoveTypes[Movement],0)),"?")="Yes",$D841=""),"Item needed",IF(AND(IFERROR(INDEX(tblMoveTypes[Item?],MATCH($E841,tblMoveTypes[Movement],0)),"?")="No",$D841&lt;&gt;""),"Leave Item blank",IF(AND(IFERROR(INDEX(tblMoveTypes[Courier?],MATCH($E841,tblMoveTypes[Movement],0)),"?")="Yes",$H841=""),"Courier needed",IF(AND(IFERROR(INDEX(tblMoveTypes[Courier?],MATCH($E841,tblMoveTypes[Movement],0)),"?")="No",$H841&lt;&gt;""),"Leave Courier blank",IF(AND(IFERROR(INDEX(tblMoveTypes[Orders?],MATCH($E841,tblMoveTypes[Movement],0)),"?")="Yes",$G841=""),"Orders needed",IF(AND(IFERROR(INDEX(tblMoveTypes[Orders?],MATCH($E841,tblMoveTypes[Movement],0)),"?")="No",$G841&lt;&gt;""),"Leave Orders blank",IF(AND(IFERROR(INDEX(tblMoveTypes[Reason?],MATCH($E841,tblMoveTypes[Movement],0)),"?")="Yes",$I841=""),"Reason needed",IF(AND(IFERROR(INDEX(tblMoveTypes[Qty?],MATCH($E841,tblMoveTypes[Movement],0)),"?")="Yes",N($F841)&lt;=0),"Qty needed",IF($A841&lt;_xlfn.MINIFS(tblShipment[Arrival Date],tblShipment[Shipment ID],$C841),"Date before arrival",IF(AND($D841&lt;&gt;"",COUNTIFS(tblShipment[Shipment ID],$C841,tblShipment[Item Code],$D841)=0),"Item not in this shipment",IF(AND($H841&lt;&gt;"",COUNTIFS(tblCouriers[Courier],$H841,tblCouriers[Market],$B841)=0),"Courier not in this market","OK")))))))))))))))</f>
        <v>OK</v>
      </c>
    </row>
    <row r="842" customFormat="false" ht="15" hidden="false" customHeight="false" outlineLevel="0" collapsed="false">
      <c r="A842" s="27" t="n">
        <v>46247</v>
      </c>
      <c r="B842" s="26" t="s">
        <v>78</v>
      </c>
      <c r="C842" s="26" t="s">
        <v>138</v>
      </c>
      <c r="D842" s="26" t="s">
        <v>67</v>
      </c>
      <c r="E842" s="26" t="s">
        <v>73</v>
      </c>
      <c r="F842" s="28" t="n">
        <v>1</v>
      </c>
      <c r="G842" s="28"/>
      <c r="H842" s="26"/>
      <c r="I842" s="26" t="s">
        <v>87</v>
      </c>
      <c r="J842" s="26"/>
      <c r="K842" s="29" t="str">
        <f aca="false">IF($A842="","",IF(COUNTIFS(tblMoveTypes[Movement],$E842)=0,"Unknown movement type",IF(COUNTIF(tblShipment[Shipment ID],$C842)=0,"Unknown shipment",IF(COUNTIFS(tblShipment[Shipment ID],$C842,tblShipment[Market],$B842)=0,"Market does not match shipment",IF(AND(IFERROR(INDEX(tblMoveTypes[Item?],MATCH($E842,tblMoveTypes[Movement],0)),"?")="Yes",$D842=""),"Item needed",IF(AND(IFERROR(INDEX(tblMoveTypes[Item?],MATCH($E842,tblMoveTypes[Movement],0)),"?")="No",$D842&lt;&gt;""),"Leave Item blank",IF(AND(IFERROR(INDEX(tblMoveTypes[Courier?],MATCH($E842,tblMoveTypes[Movement],0)),"?")="Yes",$H842=""),"Courier needed",IF(AND(IFERROR(INDEX(tblMoveTypes[Courier?],MATCH($E842,tblMoveTypes[Movement],0)),"?")="No",$H842&lt;&gt;""),"Leave Courier blank",IF(AND(IFERROR(INDEX(tblMoveTypes[Orders?],MATCH($E842,tblMoveTypes[Movement],0)),"?")="Yes",$G842=""),"Orders needed",IF(AND(IFERROR(INDEX(tblMoveTypes[Orders?],MATCH($E842,tblMoveTypes[Movement],0)),"?")="No",$G842&lt;&gt;""),"Leave Orders blank",IF(AND(IFERROR(INDEX(tblMoveTypes[Reason?],MATCH($E842,tblMoveTypes[Movement],0)),"?")="Yes",$I842=""),"Reason needed",IF(AND(IFERROR(INDEX(tblMoveTypes[Qty?],MATCH($E842,tblMoveTypes[Movement],0)),"?")="Yes",N($F842)&lt;=0),"Qty needed",IF($A842&lt;_xlfn.MINIFS(tblShipment[Arrival Date],tblShipment[Shipment ID],$C842),"Date before arrival",IF(AND($D842&lt;&gt;"",COUNTIFS(tblShipment[Shipment ID],$C842,tblShipment[Item Code],$D842)=0),"Item not in this shipment",IF(AND($H842&lt;&gt;"",COUNTIFS(tblCouriers[Courier],$H842,tblCouriers[Market],$B842)=0),"Courier not in this market","OK")))))))))))))))</f>
        <v>OK</v>
      </c>
    </row>
    <row r="843" customFormat="false" ht="15" hidden="false" customHeight="false" outlineLevel="0" collapsed="false">
      <c r="A843" s="27" t="n">
        <v>46247</v>
      </c>
      <c r="B843" s="26" t="s">
        <v>78</v>
      </c>
      <c r="C843" s="26" t="s">
        <v>138</v>
      </c>
      <c r="D843" s="26" t="s">
        <v>76</v>
      </c>
      <c r="E843" s="26" t="s">
        <v>73</v>
      </c>
      <c r="F843" s="28" t="n">
        <v>1</v>
      </c>
      <c r="G843" s="28"/>
      <c r="H843" s="26"/>
      <c r="I843" s="26" t="s">
        <v>72</v>
      </c>
      <c r="J843" s="26"/>
      <c r="K843" s="29" t="str">
        <f aca="false">IF($A843="","",IF(COUNTIFS(tblMoveTypes[Movement],$E843)=0,"Unknown movement type",IF(COUNTIF(tblShipment[Shipment ID],$C843)=0,"Unknown shipment",IF(COUNTIFS(tblShipment[Shipment ID],$C843,tblShipment[Market],$B843)=0,"Market does not match shipment",IF(AND(IFERROR(INDEX(tblMoveTypes[Item?],MATCH($E843,tblMoveTypes[Movement],0)),"?")="Yes",$D843=""),"Item needed",IF(AND(IFERROR(INDEX(tblMoveTypes[Item?],MATCH($E843,tblMoveTypes[Movement],0)),"?")="No",$D843&lt;&gt;""),"Leave Item blank",IF(AND(IFERROR(INDEX(tblMoveTypes[Courier?],MATCH($E843,tblMoveTypes[Movement],0)),"?")="Yes",$H843=""),"Courier needed",IF(AND(IFERROR(INDEX(tblMoveTypes[Courier?],MATCH($E843,tblMoveTypes[Movement],0)),"?")="No",$H843&lt;&gt;""),"Leave Courier blank",IF(AND(IFERROR(INDEX(tblMoveTypes[Orders?],MATCH($E843,tblMoveTypes[Movement],0)),"?")="Yes",$G843=""),"Orders needed",IF(AND(IFERROR(INDEX(tblMoveTypes[Orders?],MATCH($E843,tblMoveTypes[Movement],0)),"?")="No",$G843&lt;&gt;""),"Leave Orders blank",IF(AND(IFERROR(INDEX(tblMoveTypes[Reason?],MATCH($E843,tblMoveTypes[Movement],0)),"?")="Yes",$I843=""),"Reason needed",IF(AND(IFERROR(INDEX(tblMoveTypes[Qty?],MATCH($E843,tblMoveTypes[Movement],0)),"?")="Yes",N($F843)&lt;=0),"Qty needed",IF($A843&lt;_xlfn.MINIFS(tblShipment[Arrival Date],tblShipment[Shipment ID],$C843),"Date before arrival",IF(AND($D843&lt;&gt;"",COUNTIFS(tblShipment[Shipment ID],$C843,tblShipment[Item Code],$D843)=0),"Item not in this shipment",IF(AND($H843&lt;&gt;"",COUNTIFS(tblCouriers[Courier],$H843,tblCouriers[Market],$B843)=0),"Courier not in this market","OK")))))))))))))))</f>
        <v>OK</v>
      </c>
    </row>
    <row r="844" customFormat="false" ht="15" hidden="false" customHeight="false" outlineLevel="0" collapsed="false">
      <c r="A844" s="27" t="n">
        <v>46247</v>
      </c>
      <c r="B844" s="26" t="s">
        <v>78</v>
      </c>
      <c r="C844" s="26" t="s">
        <v>138</v>
      </c>
      <c r="D844" s="26" t="s">
        <v>99</v>
      </c>
      <c r="E844" s="26" t="s">
        <v>93</v>
      </c>
      <c r="F844" s="28" t="n">
        <v>30</v>
      </c>
      <c r="G844" s="28"/>
      <c r="H844" s="26" t="s">
        <v>79</v>
      </c>
      <c r="I844" s="26"/>
      <c r="J844" s="26"/>
      <c r="K844" s="29" t="str">
        <f aca="false">IF($A844="","",IF(COUNTIFS(tblMoveTypes[Movement],$E844)=0,"Unknown movement type",IF(COUNTIF(tblShipment[Shipment ID],$C844)=0,"Unknown shipment",IF(COUNTIFS(tblShipment[Shipment ID],$C844,tblShipment[Market],$B844)=0,"Market does not match shipment",IF(AND(IFERROR(INDEX(tblMoveTypes[Item?],MATCH($E844,tblMoveTypes[Movement],0)),"?")="Yes",$D844=""),"Item needed",IF(AND(IFERROR(INDEX(tblMoveTypes[Item?],MATCH($E844,tblMoveTypes[Movement],0)),"?")="No",$D844&lt;&gt;""),"Leave Item blank",IF(AND(IFERROR(INDEX(tblMoveTypes[Courier?],MATCH($E844,tblMoveTypes[Movement],0)),"?")="Yes",$H844=""),"Courier needed",IF(AND(IFERROR(INDEX(tblMoveTypes[Courier?],MATCH($E844,tblMoveTypes[Movement],0)),"?")="No",$H844&lt;&gt;""),"Leave Courier blank",IF(AND(IFERROR(INDEX(tblMoveTypes[Orders?],MATCH($E844,tblMoveTypes[Movement],0)),"?")="Yes",$G844=""),"Orders needed",IF(AND(IFERROR(INDEX(tblMoveTypes[Orders?],MATCH($E844,tblMoveTypes[Movement],0)),"?")="No",$G844&lt;&gt;""),"Leave Orders blank",IF(AND(IFERROR(INDEX(tblMoveTypes[Reason?],MATCH($E844,tblMoveTypes[Movement],0)),"?")="Yes",$I844=""),"Reason needed",IF(AND(IFERROR(INDEX(tblMoveTypes[Qty?],MATCH($E844,tblMoveTypes[Movement],0)),"?")="Yes",N($F844)&lt;=0),"Qty needed",IF($A844&lt;_xlfn.MINIFS(tblShipment[Arrival Date],tblShipment[Shipment ID],$C844),"Date before arrival",IF(AND($D844&lt;&gt;"",COUNTIFS(tblShipment[Shipment ID],$C844,tblShipment[Item Code],$D844)=0),"Item not in this shipment",IF(AND($H844&lt;&gt;"",COUNTIFS(tblCouriers[Courier],$H844,tblCouriers[Market],$B844)=0),"Courier not in this market","OK")))))))))))))))</f>
        <v>OK</v>
      </c>
    </row>
    <row r="845" customFormat="false" ht="15" hidden="false" customHeight="false" outlineLevel="0" collapsed="false">
      <c r="A845" s="27" t="n">
        <v>46247</v>
      </c>
      <c r="B845" s="26" t="s">
        <v>78</v>
      </c>
      <c r="C845" s="26" t="s">
        <v>138</v>
      </c>
      <c r="D845" s="26" t="s">
        <v>99</v>
      </c>
      <c r="E845" s="26" t="s">
        <v>93</v>
      </c>
      <c r="F845" s="28" t="n">
        <v>20</v>
      </c>
      <c r="G845" s="28"/>
      <c r="H845" s="26" t="s">
        <v>86</v>
      </c>
      <c r="I845" s="26"/>
      <c r="J845" s="26"/>
      <c r="K845" s="29" t="str">
        <f aca="false">IF($A845="","",IF(COUNTIFS(tblMoveTypes[Movement],$E845)=0,"Unknown movement type",IF(COUNTIF(tblShipment[Shipment ID],$C845)=0,"Unknown shipment",IF(COUNTIFS(tblShipment[Shipment ID],$C845,tblShipment[Market],$B845)=0,"Market does not match shipment",IF(AND(IFERROR(INDEX(tblMoveTypes[Item?],MATCH($E845,tblMoveTypes[Movement],0)),"?")="Yes",$D845=""),"Item needed",IF(AND(IFERROR(INDEX(tblMoveTypes[Item?],MATCH($E845,tblMoveTypes[Movement],0)),"?")="No",$D845&lt;&gt;""),"Leave Item blank",IF(AND(IFERROR(INDEX(tblMoveTypes[Courier?],MATCH($E845,tblMoveTypes[Movement],0)),"?")="Yes",$H845=""),"Courier needed",IF(AND(IFERROR(INDEX(tblMoveTypes[Courier?],MATCH($E845,tblMoveTypes[Movement],0)),"?")="No",$H845&lt;&gt;""),"Leave Courier blank",IF(AND(IFERROR(INDEX(tblMoveTypes[Orders?],MATCH($E845,tblMoveTypes[Movement],0)),"?")="Yes",$G845=""),"Orders needed",IF(AND(IFERROR(INDEX(tblMoveTypes[Orders?],MATCH($E845,tblMoveTypes[Movement],0)),"?")="No",$G845&lt;&gt;""),"Leave Orders blank",IF(AND(IFERROR(INDEX(tblMoveTypes[Reason?],MATCH($E845,tblMoveTypes[Movement],0)),"?")="Yes",$I845=""),"Reason needed",IF(AND(IFERROR(INDEX(tblMoveTypes[Qty?],MATCH($E845,tblMoveTypes[Movement],0)),"?")="Yes",N($F845)&lt;=0),"Qty needed",IF($A845&lt;_xlfn.MINIFS(tblShipment[Arrival Date],tblShipment[Shipment ID],$C845),"Date before arrival",IF(AND($D845&lt;&gt;"",COUNTIFS(tblShipment[Shipment ID],$C845,tblShipment[Item Code],$D845)=0),"Item not in this shipment",IF(AND($H845&lt;&gt;"",COUNTIFS(tblCouriers[Courier],$H845,tblCouriers[Market],$B845)=0),"Courier not in this market","OK")))))))))))))))</f>
        <v>OK</v>
      </c>
    </row>
    <row r="846" customFormat="false" ht="15" hidden="false" customHeight="false" outlineLevel="0" collapsed="false">
      <c r="A846" s="27" t="n">
        <v>46247</v>
      </c>
      <c r="B846" s="26" t="s">
        <v>78</v>
      </c>
      <c r="C846" s="26" t="s">
        <v>138</v>
      </c>
      <c r="D846" s="26" t="s">
        <v>67</v>
      </c>
      <c r="E846" s="26" t="s">
        <v>93</v>
      </c>
      <c r="F846" s="28" t="n">
        <v>23</v>
      </c>
      <c r="G846" s="28"/>
      <c r="H846" s="26" t="s">
        <v>79</v>
      </c>
      <c r="I846" s="26"/>
      <c r="J846" s="26"/>
      <c r="K846" s="29" t="str">
        <f aca="false">IF($A846="","",IF(COUNTIFS(tblMoveTypes[Movement],$E846)=0,"Unknown movement type",IF(COUNTIF(tblShipment[Shipment ID],$C846)=0,"Unknown shipment",IF(COUNTIFS(tblShipment[Shipment ID],$C846,tblShipment[Market],$B846)=0,"Market does not match shipment",IF(AND(IFERROR(INDEX(tblMoveTypes[Item?],MATCH($E846,tblMoveTypes[Movement],0)),"?")="Yes",$D846=""),"Item needed",IF(AND(IFERROR(INDEX(tblMoveTypes[Item?],MATCH($E846,tblMoveTypes[Movement],0)),"?")="No",$D846&lt;&gt;""),"Leave Item blank",IF(AND(IFERROR(INDEX(tblMoveTypes[Courier?],MATCH($E846,tblMoveTypes[Movement],0)),"?")="Yes",$H846=""),"Courier needed",IF(AND(IFERROR(INDEX(tblMoveTypes[Courier?],MATCH($E846,tblMoveTypes[Movement],0)),"?")="No",$H846&lt;&gt;""),"Leave Courier blank",IF(AND(IFERROR(INDEX(tblMoveTypes[Orders?],MATCH($E846,tblMoveTypes[Movement],0)),"?")="Yes",$G846=""),"Orders needed",IF(AND(IFERROR(INDEX(tblMoveTypes[Orders?],MATCH($E846,tblMoveTypes[Movement],0)),"?")="No",$G846&lt;&gt;""),"Leave Orders blank",IF(AND(IFERROR(INDEX(tblMoveTypes[Reason?],MATCH($E846,tblMoveTypes[Movement],0)),"?")="Yes",$I846=""),"Reason needed",IF(AND(IFERROR(INDEX(tblMoveTypes[Qty?],MATCH($E846,tblMoveTypes[Movement],0)),"?")="Yes",N($F846)&lt;=0),"Qty needed",IF($A846&lt;_xlfn.MINIFS(tblShipment[Arrival Date],tblShipment[Shipment ID],$C846),"Date before arrival",IF(AND($D846&lt;&gt;"",COUNTIFS(tblShipment[Shipment ID],$C846,tblShipment[Item Code],$D846)=0),"Item not in this shipment",IF(AND($H846&lt;&gt;"",COUNTIFS(tblCouriers[Courier],$H846,tblCouriers[Market],$B846)=0),"Courier not in this market","OK")))))))))))))))</f>
        <v>OK</v>
      </c>
    </row>
    <row r="847" customFormat="false" ht="15" hidden="false" customHeight="false" outlineLevel="0" collapsed="false">
      <c r="A847" s="27" t="n">
        <v>46247</v>
      </c>
      <c r="B847" s="26" t="s">
        <v>78</v>
      </c>
      <c r="C847" s="26" t="s">
        <v>138</v>
      </c>
      <c r="D847" s="26" t="s">
        <v>67</v>
      </c>
      <c r="E847" s="26" t="s">
        <v>93</v>
      </c>
      <c r="F847" s="28" t="n">
        <v>15</v>
      </c>
      <c r="G847" s="28"/>
      <c r="H847" s="26" t="s">
        <v>86</v>
      </c>
      <c r="I847" s="26"/>
      <c r="J847" s="26"/>
      <c r="K847" s="29" t="str">
        <f aca="false">IF($A847="","",IF(COUNTIFS(tblMoveTypes[Movement],$E847)=0,"Unknown movement type",IF(COUNTIF(tblShipment[Shipment ID],$C847)=0,"Unknown shipment",IF(COUNTIFS(tblShipment[Shipment ID],$C847,tblShipment[Market],$B847)=0,"Market does not match shipment",IF(AND(IFERROR(INDEX(tblMoveTypes[Item?],MATCH($E847,tblMoveTypes[Movement],0)),"?")="Yes",$D847=""),"Item needed",IF(AND(IFERROR(INDEX(tblMoveTypes[Item?],MATCH($E847,tblMoveTypes[Movement],0)),"?")="No",$D847&lt;&gt;""),"Leave Item blank",IF(AND(IFERROR(INDEX(tblMoveTypes[Courier?],MATCH($E847,tblMoveTypes[Movement],0)),"?")="Yes",$H847=""),"Courier needed",IF(AND(IFERROR(INDEX(tblMoveTypes[Courier?],MATCH($E847,tblMoveTypes[Movement],0)),"?")="No",$H847&lt;&gt;""),"Leave Courier blank",IF(AND(IFERROR(INDEX(tblMoveTypes[Orders?],MATCH($E847,tblMoveTypes[Movement],0)),"?")="Yes",$G847=""),"Orders needed",IF(AND(IFERROR(INDEX(tblMoveTypes[Orders?],MATCH($E847,tblMoveTypes[Movement],0)),"?")="No",$G847&lt;&gt;""),"Leave Orders blank",IF(AND(IFERROR(INDEX(tblMoveTypes[Reason?],MATCH($E847,tblMoveTypes[Movement],0)),"?")="Yes",$I847=""),"Reason needed",IF(AND(IFERROR(INDEX(tblMoveTypes[Qty?],MATCH($E847,tblMoveTypes[Movement],0)),"?")="Yes",N($F847)&lt;=0),"Qty needed",IF($A847&lt;_xlfn.MINIFS(tblShipment[Arrival Date],tblShipment[Shipment ID],$C847),"Date before arrival",IF(AND($D847&lt;&gt;"",COUNTIFS(tblShipment[Shipment ID],$C847,tblShipment[Item Code],$D847)=0),"Item not in this shipment",IF(AND($H847&lt;&gt;"",COUNTIFS(tblCouriers[Courier],$H847,tblCouriers[Market],$B847)=0),"Courier not in this market","OK")))))))))))))))</f>
        <v>OK</v>
      </c>
    </row>
    <row r="848" customFormat="false" ht="15" hidden="false" customHeight="false" outlineLevel="0" collapsed="false">
      <c r="A848" s="27" t="n">
        <v>46247</v>
      </c>
      <c r="B848" s="26" t="s">
        <v>78</v>
      </c>
      <c r="C848" s="26" t="s">
        <v>138</v>
      </c>
      <c r="D848" s="26" t="s">
        <v>76</v>
      </c>
      <c r="E848" s="26" t="s">
        <v>93</v>
      </c>
      <c r="F848" s="28" t="n">
        <v>14</v>
      </c>
      <c r="G848" s="28"/>
      <c r="H848" s="26" t="s">
        <v>79</v>
      </c>
      <c r="I848" s="26"/>
      <c r="J848" s="26"/>
      <c r="K848" s="29" t="str">
        <f aca="false">IF($A848="","",IF(COUNTIFS(tblMoveTypes[Movement],$E848)=0,"Unknown movement type",IF(COUNTIF(tblShipment[Shipment ID],$C848)=0,"Unknown shipment",IF(COUNTIFS(tblShipment[Shipment ID],$C848,tblShipment[Market],$B848)=0,"Market does not match shipment",IF(AND(IFERROR(INDEX(tblMoveTypes[Item?],MATCH($E848,tblMoveTypes[Movement],0)),"?")="Yes",$D848=""),"Item needed",IF(AND(IFERROR(INDEX(tblMoveTypes[Item?],MATCH($E848,tblMoveTypes[Movement],0)),"?")="No",$D848&lt;&gt;""),"Leave Item blank",IF(AND(IFERROR(INDEX(tblMoveTypes[Courier?],MATCH($E848,tblMoveTypes[Movement],0)),"?")="Yes",$H848=""),"Courier needed",IF(AND(IFERROR(INDEX(tblMoveTypes[Courier?],MATCH($E848,tblMoveTypes[Movement],0)),"?")="No",$H848&lt;&gt;""),"Leave Courier blank",IF(AND(IFERROR(INDEX(tblMoveTypes[Orders?],MATCH($E848,tblMoveTypes[Movement],0)),"?")="Yes",$G848=""),"Orders needed",IF(AND(IFERROR(INDEX(tblMoveTypes[Orders?],MATCH($E848,tblMoveTypes[Movement],0)),"?")="No",$G848&lt;&gt;""),"Leave Orders blank",IF(AND(IFERROR(INDEX(tblMoveTypes[Reason?],MATCH($E848,tblMoveTypes[Movement],0)),"?")="Yes",$I848=""),"Reason needed",IF(AND(IFERROR(INDEX(tblMoveTypes[Qty?],MATCH($E848,tblMoveTypes[Movement],0)),"?")="Yes",N($F848)&lt;=0),"Qty needed",IF($A848&lt;_xlfn.MINIFS(tblShipment[Arrival Date],tblShipment[Shipment ID],$C848),"Date before arrival",IF(AND($D848&lt;&gt;"",COUNTIFS(tblShipment[Shipment ID],$C848,tblShipment[Item Code],$D848)=0),"Item not in this shipment",IF(AND($H848&lt;&gt;"",COUNTIFS(tblCouriers[Courier],$H848,tblCouriers[Market],$B848)=0),"Courier not in this market","OK")))))))))))))))</f>
        <v>OK</v>
      </c>
    </row>
    <row r="849" customFormat="false" ht="15" hidden="false" customHeight="false" outlineLevel="0" collapsed="false">
      <c r="A849" s="27" t="n">
        <v>46247</v>
      </c>
      <c r="B849" s="26" t="s">
        <v>78</v>
      </c>
      <c r="C849" s="26" t="s">
        <v>138</v>
      </c>
      <c r="D849" s="26" t="s">
        <v>76</v>
      </c>
      <c r="E849" s="26" t="s">
        <v>93</v>
      </c>
      <c r="F849" s="28" t="n">
        <v>9</v>
      </c>
      <c r="G849" s="28"/>
      <c r="H849" s="26" t="s">
        <v>86</v>
      </c>
      <c r="I849" s="26"/>
      <c r="J849" s="26"/>
      <c r="K849" s="29" t="str">
        <f aca="false">IF($A849="","",IF(COUNTIFS(tblMoveTypes[Movement],$E849)=0,"Unknown movement type",IF(COUNTIF(tblShipment[Shipment ID],$C849)=0,"Unknown shipment",IF(COUNTIFS(tblShipment[Shipment ID],$C849,tblShipment[Market],$B849)=0,"Market does not match shipment",IF(AND(IFERROR(INDEX(tblMoveTypes[Item?],MATCH($E849,tblMoveTypes[Movement],0)),"?")="Yes",$D849=""),"Item needed",IF(AND(IFERROR(INDEX(tblMoveTypes[Item?],MATCH($E849,tblMoveTypes[Movement],0)),"?")="No",$D849&lt;&gt;""),"Leave Item blank",IF(AND(IFERROR(INDEX(tblMoveTypes[Courier?],MATCH($E849,tblMoveTypes[Movement],0)),"?")="Yes",$H849=""),"Courier needed",IF(AND(IFERROR(INDEX(tblMoveTypes[Courier?],MATCH($E849,tblMoveTypes[Movement],0)),"?")="No",$H849&lt;&gt;""),"Leave Courier blank",IF(AND(IFERROR(INDEX(tblMoveTypes[Orders?],MATCH($E849,tblMoveTypes[Movement],0)),"?")="Yes",$G849=""),"Orders needed",IF(AND(IFERROR(INDEX(tblMoveTypes[Orders?],MATCH($E849,tblMoveTypes[Movement],0)),"?")="No",$G849&lt;&gt;""),"Leave Orders blank",IF(AND(IFERROR(INDEX(tblMoveTypes[Reason?],MATCH($E849,tblMoveTypes[Movement],0)),"?")="Yes",$I849=""),"Reason needed",IF(AND(IFERROR(INDEX(tblMoveTypes[Qty?],MATCH($E849,tblMoveTypes[Movement],0)),"?")="Yes",N($F849)&lt;=0),"Qty needed",IF($A849&lt;_xlfn.MINIFS(tblShipment[Arrival Date],tblShipment[Shipment ID],$C849),"Date before arrival",IF(AND($D849&lt;&gt;"",COUNTIFS(tblShipment[Shipment ID],$C849,tblShipment[Item Code],$D849)=0),"Item not in this shipment",IF(AND($H849&lt;&gt;"",COUNTIFS(tblCouriers[Courier],$H849,tblCouriers[Market],$B849)=0),"Courier not in this market","OK")))))))))))))))</f>
        <v>OK</v>
      </c>
    </row>
    <row r="850" customFormat="false" ht="15" hidden="false" customHeight="false" outlineLevel="0" collapsed="false">
      <c r="A850" s="27" t="n">
        <v>46247</v>
      </c>
      <c r="B850" s="26" t="s">
        <v>78</v>
      </c>
      <c r="C850" s="26" t="s">
        <v>138</v>
      </c>
      <c r="D850" s="26"/>
      <c r="E850" s="26" t="s">
        <v>104</v>
      </c>
      <c r="F850" s="28"/>
      <c r="G850" s="28" t="n">
        <v>15</v>
      </c>
      <c r="H850" s="26" t="s">
        <v>79</v>
      </c>
      <c r="I850" s="26"/>
      <c r="J850" s="26"/>
      <c r="K850" s="29" t="str">
        <f aca="false">IF($A850="","",IF(COUNTIFS(tblMoveTypes[Movement],$E850)=0,"Unknown movement type",IF(COUNTIF(tblShipment[Shipment ID],$C850)=0,"Unknown shipment",IF(COUNTIFS(tblShipment[Shipment ID],$C850,tblShipment[Market],$B850)=0,"Market does not match shipment",IF(AND(IFERROR(INDEX(tblMoveTypes[Item?],MATCH($E850,tblMoveTypes[Movement],0)),"?")="Yes",$D850=""),"Item needed",IF(AND(IFERROR(INDEX(tblMoveTypes[Item?],MATCH($E850,tblMoveTypes[Movement],0)),"?")="No",$D850&lt;&gt;""),"Leave Item blank",IF(AND(IFERROR(INDEX(tblMoveTypes[Courier?],MATCH($E850,tblMoveTypes[Movement],0)),"?")="Yes",$H850=""),"Courier needed",IF(AND(IFERROR(INDEX(tblMoveTypes[Courier?],MATCH($E850,tblMoveTypes[Movement],0)),"?")="No",$H850&lt;&gt;""),"Leave Courier blank",IF(AND(IFERROR(INDEX(tblMoveTypes[Orders?],MATCH($E850,tblMoveTypes[Movement],0)),"?")="Yes",$G850=""),"Orders needed",IF(AND(IFERROR(INDEX(tblMoveTypes[Orders?],MATCH($E850,tblMoveTypes[Movement],0)),"?")="No",$G850&lt;&gt;""),"Leave Orders blank",IF(AND(IFERROR(INDEX(tblMoveTypes[Reason?],MATCH($E850,tblMoveTypes[Movement],0)),"?")="Yes",$I850=""),"Reason needed",IF(AND(IFERROR(INDEX(tblMoveTypes[Qty?],MATCH($E850,tblMoveTypes[Movement],0)),"?")="Yes",N($F850)&lt;=0),"Qty needed",IF($A850&lt;_xlfn.MINIFS(tblShipment[Arrival Date],tblShipment[Shipment ID],$C850),"Date before arrival",IF(AND($D850&lt;&gt;"",COUNTIFS(tblShipment[Shipment ID],$C850,tblShipment[Item Code],$D850)=0),"Item not in this shipment",IF(AND($H850&lt;&gt;"",COUNTIFS(tblCouriers[Courier],$H850,tblCouriers[Market],$B850)=0),"Courier not in this market","OK")))))))))))))))</f>
        <v>OK</v>
      </c>
    </row>
    <row r="851" customFormat="false" ht="15" hidden="false" customHeight="false" outlineLevel="0" collapsed="false">
      <c r="A851" s="27" t="n">
        <v>46247</v>
      </c>
      <c r="B851" s="26" t="s">
        <v>78</v>
      </c>
      <c r="C851" s="26" t="s">
        <v>138</v>
      </c>
      <c r="D851" s="26"/>
      <c r="E851" s="26" t="s">
        <v>106</v>
      </c>
      <c r="F851" s="28" t="n">
        <v>23</v>
      </c>
      <c r="G851" s="28" t="n">
        <v>5</v>
      </c>
      <c r="H851" s="26" t="s">
        <v>79</v>
      </c>
      <c r="I851" s="26"/>
      <c r="J851" s="26"/>
      <c r="K851" s="29" t="str">
        <f aca="false">IF($A851="","",IF(COUNTIFS(tblMoveTypes[Movement],$E851)=0,"Unknown movement type",IF(COUNTIF(tblShipment[Shipment ID],$C851)=0,"Unknown shipment",IF(COUNTIFS(tblShipment[Shipment ID],$C851,tblShipment[Market],$B851)=0,"Market does not match shipment",IF(AND(IFERROR(INDEX(tblMoveTypes[Item?],MATCH($E851,tblMoveTypes[Movement],0)),"?")="Yes",$D851=""),"Item needed",IF(AND(IFERROR(INDEX(tblMoveTypes[Item?],MATCH($E851,tblMoveTypes[Movement],0)),"?")="No",$D851&lt;&gt;""),"Leave Item blank",IF(AND(IFERROR(INDEX(tblMoveTypes[Courier?],MATCH($E851,tblMoveTypes[Movement],0)),"?")="Yes",$H851=""),"Courier needed",IF(AND(IFERROR(INDEX(tblMoveTypes[Courier?],MATCH($E851,tblMoveTypes[Movement],0)),"?")="No",$H851&lt;&gt;""),"Leave Courier blank",IF(AND(IFERROR(INDEX(tblMoveTypes[Orders?],MATCH($E851,tblMoveTypes[Movement],0)),"?")="Yes",$G851=""),"Orders needed",IF(AND(IFERROR(INDEX(tblMoveTypes[Orders?],MATCH($E851,tblMoveTypes[Movement],0)),"?")="No",$G851&lt;&gt;""),"Leave Orders blank",IF(AND(IFERROR(INDEX(tblMoveTypes[Reason?],MATCH($E851,tblMoveTypes[Movement],0)),"?")="Yes",$I851=""),"Reason needed",IF(AND(IFERROR(INDEX(tblMoveTypes[Qty?],MATCH($E851,tblMoveTypes[Movement],0)),"?")="Yes",N($F851)&lt;=0),"Qty needed",IF($A851&lt;_xlfn.MINIFS(tblShipment[Arrival Date],tblShipment[Shipment ID],$C851),"Date before arrival",IF(AND($D851&lt;&gt;"",COUNTIFS(tblShipment[Shipment ID],$C851,tblShipment[Item Code],$D851)=0),"Item not in this shipment",IF(AND($H851&lt;&gt;"",COUNTIFS(tblCouriers[Courier],$H851,tblCouriers[Market],$B851)=0),"Courier not in this market","OK")))))))))))))))</f>
        <v>OK</v>
      </c>
    </row>
    <row r="852" customFormat="false" ht="15" hidden="false" customHeight="false" outlineLevel="0" collapsed="false">
      <c r="A852" s="27" t="n">
        <v>46247</v>
      </c>
      <c r="B852" s="26" t="s">
        <v>78</v>
      </c>
      <c r="C852" s="26" t="s">
        <v>138</v>
      </c>
      <c r="D852" s="26"/>
      <c r="E852" s="26" t="s">
        <v>104</v>
      </c>
      <c r="F852" s="28"/>
      <c r="G852" s="28" t="n">
        <v>10</v>
      </c>
      <c r="H852" s="26" t="s">
        <v>86</v>
      </c>
      <c r="I852" s="26"/>
      <c r="J852" s="26"/>
      <c r="K852" s="29" t="str">
        <f aca="false">IF($A852="","",IF(COUNTIFS(tblMoveTypes[Movement],$E852)=0,"Unknown movement type",IF(COUNTIF(tblShipment[Shipment ID],$C852)=0,"Unknown shipment",IF(COUNTIFS(tblShipment[Shipment ID],$C852,tblShipment[Market],$B852)=0,"Market does not match shipment",IF(AND(IFERROR(INDEX(tblMoveTypes[Item?],MATCH($E852,tblMoveTypes[Movement],0)),"?")="Yes",$D852=""),"Item needed",IF(AND(IFERROR(INDEX(tblMoveTypes[Item?],MATCH($E852,tblMoveTypes[Movement],0)),"?")="No",$D852&lt;&gt;""),"Leave Item blank",IF(AND(IFERROR(INDEX(tblMoveTypes[Courier?],MATCH($E852,tblMoveTypes[Movement],0)),"?")="Yes",$H852=""),"Courier needed",IF(AND(IFERROR(INDEX(tblMoveTypes[Courier?],MATCH($E852,tblMoveTypes[Movement],0)),"?")="No",$H852&lt;&gt;""),"Leave Courier blank",IF(AND(IFERROR(INDEX(tblMoveTypes[Orders?],MATCH($E852,tblMoveTypes[Movement],0)),"?")="Yes",$G852=""),"Orders needed",IF(AND(IFERROR(INDEX(tblMoveTypes[Orders?],MATCH($E852,tblMoveTypes[Movement],0)),"?")="No",$G852&lt;&gt;""),"Leave Orders blank",IF(AND(IFERROR(INDEX(tblMoveTypes[Reason?],MATCH($E852,tblMoveTypes[Movement],0)),"?")="Yes",$I852=""),"Reason needed",IF(AND(IFERROR(INDEX(tblMoveTypes[Qty?],MATCH($E852,tblMoveTypes[Movement],0)),"?")="Yes",N($F852)&lt;=0),"Qty needed",IF($A852&lt;_xlfn.MINIFS(tblShipment[Arrival Date],tblShipment[Shipment ID],$C852),"Date before arrival",IF(AND($D852&lt;&gt;"",COUNTIFS(tblShipment[Shipment ID],$C852,tblShipment[Item Code],$D852)=0),"Item not in this shipment",IF(AND($H852&lt;&gt;"",COUNTIFS(tblCouriers[Courier],$H852,tblCouriers[Market],$B852)=0),"Courier not in this market","OK")))))))))))))))</f>
        <v>OK</v>
      </c>
    </row>
    <row r="853" customFormat="false" ht="15" hidden="false" customHeight="false" outlineLevel="0" collapsed="false">
      <c r="A853" s="27" t="n">
        <v>46248</v>
      </c>
      <c r="B853" s="26" t="s">
        <v>70</v>
      </c>
      <c r="C853" s="26" t="s">
        <v>126</v>
      </c>
      <c r="D853" s="26" t="s">
        <v>99</v>
      </c>
      <c r="E853" s="26" t="s">
        <v>73</v>
      </c>
      <c r="F853" s="28" t="n">
        <v>4</v>
      </c>
      <c r="G853" s="28"/>
      <c r="H853" s="26"/>
      <c r="I853" s="26" t="s">
        <v>87</v>
      </c>
      <c r="J853" s="26"/>
      <c r="K853" s="29" t="str">
        <f aca="false">IF($A853="","",IF(COUNTIFS(tblMoveTypes[Movement],$E853)=0,"Unknown movement type",IF(COUNTIF(tblShipment[Shipment ID],$C853)=0,"Unknown shipment",IF(COUNTIFS(tblShipment[Shipment ID],$C853,tblShipment[Market],$B853)=0,"Market does not match shipment",IF(AND(IFERROR(INDEX(tblMoveTypes[Item?],MATCH($E853,tblMoveTypes[Movement],0)),"?")="Yes",$D853=""),"Item needed",IF(AND(IFERROR(INDEX(tblMoveTypes[Item?],MATCH($E853,tblMoveTypes[Movement],0)),"?")="No",$D853&lt;&gt;""),"Leave Item blank",IF(AND(IFERROR(INDEX(tblMoveTypes[Courier?],MATCH($E853,tblMoveTypes[Movement],0)),"?")="Yes",$H853=""),"Courier needed",IF(AND(IFERROR(INDEX(tblMoveTypes[Courier?],MATCH($E853,tblMoveTypes[Movement],0)),"?")="No",$H853&lt;&gt;""),"Leave Courier blank",IF(AND(IFERROR(INDEX(tblMoveTypes[Orders?],MATCH($E853,tblMoveTypes[Movement],0)),"?")="Yes",$G853=""),"Orders needed",IF(AND(IFERROR(INDEX(tblMoveTypes[Orders?],MATCH($E853,tblMoveTypes[Movement],0)),"?")="No",$G853&lt;&gt;""),"Leave Orders blank",IF(AND(IFERROR(INDEX(tblMoveTypes[Reason?],MATCH($E853,tblMoveTypes[Movement],0)),"?")="Yes",$I853=""),"Reason needed",IF(AND(IFERROR(INDEX(tblMoveTypes[Qty?],MATCH($E853,tblMoveTypes[Movement],0)),"?")="Yes",N($F853)&lt;=0),"Qty needed",IF($A853&lt;_xlfn.MINIFS(tblShipment[Arrival Date],tblShipment[Shipment ID],$C853),"Date before arrival",IF(AND($D853&lt;&gt;"",COUNTIFS(tblShipment[Shipment ID],$C853,tblShipment[Item Code],$D853)=0),"Item not in this shipment",IF(AND($H853&lt;&gt;"",COUNTIFS(tblCouriers[Courier],$H853,tblCouriers[Market],$B853)=0),"Courier not in this market","OK")))))))))))))))</f>
        <v>OK</v>
      </c>
    </row>
    <row r="854" customFormat="false" ht="15" hidden="false" customHeight="false" outlineLevel="0" collapsed="false">
      <c r="A854" s="27" t="n">
        <v>46248</v>
      </c>
      <c r="B854" s="26" t="s">
        <v>70</v>
      </c>
      <c r="C854" s="26" t="s">
        <v>129</v>
      </c>
      <c r="D854" s="26"/>
      <c r="E854" s="26" t="s">
        <v>108</v>
      </c>
      <c r="F854" s="28" t="n">
        <v>7</v>
      </c>
      <c r="G854" s="28" t="n">
        <v>1</v>
      </c>
      <c r="H854" s="26" t="s">
        <v>71</v>
      </c>
      <c r="I854" s="26" t="s">
        <v>105</v>
      </c>
      <c r="J854" s="26"/>
      <c r="K854" s="29" t="str">
        <f aca="false">IF($A854="","",IF(COUNTIFS(tblMoveTypes[Movement],$E854)=0,"Unknown movement type",IF(COUNTIF(tblShipment[Shipment ID],$C854)=0,"Unknown shipment",IF(COUNTIFS(tblShipment[Shipment ID],$C854,tblShipment[Market],$B854)=0,"Market does not match shipment",IF(AND(IFERROR(INDEX(tblMoveTypes[Item?],MATCH($E854,tblMoveTypes[Movement],0)),"?")="Yes",$D854=""),"Item needed",IF(AND(IFERROR(INDEX(tblMoveTypes[Item?],MATCH($E854,tblMoveTypes[Movement],0)),"?")="No",$D854&lt;&gt;""),"Leave Item blank",IF(AND(IFERROR(INDEX(tblMoveTypes[Courier?],MATCH($E854,tblMoveTypes[Movement],0)),"?")="Yes",$H854=""),"Courier needed",IF(AND(IFERROR(INDEX(tblMoveTypes[Courier?],MATCH($E854,tblMoveTypes[Movement],0)),"?")="No",$H854&lt;&gt;""),"Leave Courier blank",IF(AND(IFERROR(INDEX(tblMoveTypes[Orders?],MATCH($E854,tblMoveTypes[Movement],0)),"?")="Yes",$G854=""),"Orders needed",IF(AND(IFERROR(INDEX(tblMoveTypes[Orders?],MATCH($E854,tblMoveTypes[Movement],0)),"?")="No",$G854&lt;&gt;""),"Leave Orders blank",IF(AND(IFERROR(INDEX(tblMoveTypes[Reason?],MATCH($E854,tblMoveTypes[Movement],0)),"?")="Yes",$I854=""),"Reason needed",IF(AND(IFERROR(INDEX(tblMoveTypes[Qty?],MATCH($E854,tblMoveTypes[Movement],0)),"?")="Yes",N($F854)&lt;=0),"Qty needed",IF($A854&lt;_xlfn.MINIFS(tblShipment[Arrival Date],tblShipment[Shipment ID],$C854),"Date before arrival",IF(AND($D854&lt;&gt;"",COUNTIFS(tblShipment[Shipment ID],$C854,tblShipment[Item Code],$D854)=0),"Item not in this shipment",IF(AND($H854&lt;&gt;"",COUNTIFS(tblCouriers[Courier],$H854,tblCouriers[Market],$B854)=0),"Courier not in this market","OK")))))))))))))))</f>
        <v>OK</v>
      </c>
    </row>
    <row r="855" customFormat="false" ht="15" hidden="false" customHeight="false" outlineLevel="0" collapsed="false">
      <c r="A855" s="27" t="n">
        <v>46248</v>
      </c>
      <c r="B855" s="26" t="s">
        <v>70</v>
      </c>
      <c r="C855" s="26" t="s">
        <v>129</v>
      </c>
      <c r="D855" s="26" t="s">
        <v>83</v>
      </c>
      <c r="E855" s="26" t="s">
        <v>110</v>
      </c>
      <c r="F855" s="28" t="n">
        <v>5</v>
      </c>
      <c r="G855" s="28"/>
      <c r="H855" s="26"/>
      <c r="I855" s="26"/>
      <c r="J855" s="26"/>
      <c r="K855" s="29" t="str">
        <f aca="false">IF($A855="","",IF(COUNTIFS(tblMoveTypes[Movement],$E855)=0,"Unknown movement type",IF(COUNTIF(tblShipment[Shipment ID],$C855)=0,"Unknown shipment",IF(COUNTIFS(tblShipment[Shipment ID],$C855,tblShipment[Market],$B855)=0,"Market does not match shipment",IF(AND(IFERROR(INDEX(tblMoveTypes[Item?],MATCH($E855,tblMoveTypes[Movement],0)),"?")="Yes",$D855=""),"Item needed",IF(AND(IFERROR(INDEX(tblMoveTypes[Item?],MATCH($E855,tblMoveTypes[Movement],0)),"?")="No",$D855&lt;&gt;""),"Leave Item blank",IF(AND(IFERROR(INDEX(tblMoveTypes[Courier?],MATCH($E855,tblMoveTypes[Movement],0)),"?")="Yes",$H855=""),"Courier needed",IF(AND(IFERROR(INDEX(tblMoveTypes[Courier?],MATCH($E855,tblMoveTypes[Movement],0)),"?")="No",$H855&lt;&gt;""),"Leave Courier blank",IF(AND(IFERROR(INDEX(tblMoveTypes[Orders?],MATCH($E855,tblMoveTypes[Movement],0)),"?")="Yes",$G855=""),"Orders needed",IF(AND(IFERROR(INDEX(tblMoveTypes[Orders?],MATCH($E855,tblMoveTypes[Movement],0)),"?")="No",$G855&lt;&gt;""),"Leave Orders blank",IF(AND(IFERROR(INDEX(tblMoveTypes[Reason?],MATCH($E855,tblMoveTypes[Movement],0)),"?")="Yes",$I855=""),"Reason needed",IF(AND(IFERROR(INDEX(tblMoveTypes[Qty?],MATCH($E855,tblMoveTypes[Movement],0)),"?")="Yes",N($F855)&lt;=0),"Qty needed",IF($A855&lt;_xlfn.MINIFS(tblShipment[Arrival Date],tblShipment[Shipment ID],$C855),"Date before arrival",IF(AND($D855&lt;&gt;"",COUNTIFS(tblShipment[Shipment ID],$C855,tblShipment[Item Code],$D855)=0),"Item not in this shipment",IF(AND($H855&lt;&gt;"",COUNTIFS(tblCouriers[Courier],$H855,tblCouriers[Market],$B855)=0),"Courier not in this market","OK")))))))))))))))</f>
        <v>OK</v>
      </c>
    </row>
    <row r="856" customFormat="false" ht="15" hidden="false" customHeight="false" outlineLevel="0" collapsed="false">
      <c r="A856" s="27" t="n">
        <v>46248</v>
      </c>
      <c r="B856" s="26" t="s">
        <v>70</v>
      </c>
      <c r="C856" s="26" t="s">
        <v>129</v>
      </c>
      <c r="D856" s="26" t="s">
        <v>83</v>
      </c>
      <c r="E856" s="26" t="s">
        <v>112</v>
      </c>
      <c r="F856" s="28" t="n">
        <v>2</v>
      </c>
      <c r="G856" s="28"/>
      <c r="H856" s="26"/>
      <c r="I856" s="26" t="s">
        <v>72</v>
      </c>
      <c r="J856" s="26"/>
      <c r="K856" s="29" t="str">
        <f aca="false">IF($A856="","",IF(COUNTIFS(tblMoveTypes[Movement],$E856)=0,"Unknown movement type",IF(COUNTIF(tblShipment[Shipment ID],$C856)=0,"Unknown shipment",IF(COUNTIFS(tblShipment[Shipment ID],$C856,tblShipment[Market],$B856)=0,"Market does not match shipment",IF(AND(IFERROR(INDEX(tblMoveTypes[Item?],MATCH($E856,tblMoveTypes[Movement],0)),"?")="Yes",$D856=""),"Item needed",IF(AND(IFERROR(INDEX(tblMoveTypes[Item?],MATCH($E856,tblMoveTypes[Movement],0)),"?")="No",$D856&lt;&gt;""),"Leave Item blank",IF(AND(IFERROR(INDEX(tblMoveTypes[Courier?],MATCH($E856,tblMoveTypes[Movement],0)),"?")="Yes",$H856=""),"Courier needed",IF(AND(IFERROR(INDEX(tblMoveTypes[Courier?],MATCH($E856,tblMoveTypes[Movement],0)),"?")="No",$H856&lt;&gt;""),"Leave Courier blank",IF(AND(IFERROR(INDEX(tblMoveTypes[Orders?],MATCH($E856,tblMoveTypes[Movement],0)),"?")="Yes",$G856=""),"Orders needed",IF(AND(IFERROR(INDEX(tblMoveTypes[Orders?],MATCH($E856,tblMoveTypes[Movement],0)),"?")="No",$G856&lt;&gt;""),"Leave Orders blank",IF(AND(IFERROR(INDEX(tblMoveTypes[Reason?],MATCH($E856,tblMoveTypes[Movement],0)),"?")="Yes",$I856=""),"Reason needed",IF(AND(IFERROR(INDEX(tblMoveTypes[Qty?],MATCH($E856,tblMoveTypes[Movement],0)),"?")="Yes",N($F856)&lt;=0),"Qty needed",IF($A856&lt;_xlfn.MINIFS(tblShipment[Arrival Date],tblShipment[Shipment ID],$C856),"Date before arrival",IF(AND($D856&lt;&gt;"",COUNTIFS(tblShipment[Shipment ID],$C856,tblShipment[Item Code],$D856)=0),"Item not in this shipment",IF(AND($H856&lt;&gt;"",COUNTIFS(tblCouriers[Courier],$H856,tblCouriers[Market],$B856)=0),"Courier not in this market","OK")))))))))))))))</f>
        <v>OK</v>
      </c>
    </row>
    <row r="857" customFormat="false" ht="15" hidden="false" customHeight="false" outlineLevel="0" collapsed="false">
      <c r="A857" s="27" t="n">
        <v>46248</v>
      </c>
      <c r="B857" s="26" t="s">
        <v>70</v>
      </c>
      <c r="C857" s="26" t="s">
        <v>129</v>
      </c>
      <c r="D857" s="26"/>
      <c r="E857" s="26" t="s">
        <v>106</v>
      </c>
      <c r="F857" s="28" t="n">
        <v>9</v>
      </c>
      <c r="G857" s="28" t="n">
        <v>1</v>
      </c>
      <c r="H857" s="26" t="s">
        <v>71</v>
      </c>
      <c r="I857" s="26"/>
      <c r="J857" s="26"/>
      <c r="K857" s="29" t="str">
        <f aca="false">IF($A857="","",IF(COUNTIFS(tblMoveTypes[Movement],$E857)=0,"Unknown movement type",IF(COUNTIF(tblShipment[Shipment ID],$C857)=0,"Unknown shipment",IF(COUNTIFS(tblShipment[Shipment ID],$C857,tblShipment[Market],$B857)=0,"Market does not match shipment",IF(AND(IFERROR(INDEX(tblMoveTypes[Item?],MATCH($E857,tblMoveTypes[Movement],0)),"?")="Yes",$D857=""),"Item needed",IF(AND(IFERROR(INDEX(tblMoveTypes[Item?],MATCH($E857,tblMoveTypes[Movement],0)),"?")="No",$D857&lt;&gt;""),"Leave Item blank",IF(AND(IFERROR(INDEX(tblMoveTypes[Courier?],MATCH($E857,tblMoveTypes[Movement],0)),"?")="Yes",$H857=""),"Courier needed",IF(AND(IFERROR(INDEX(tblMoveTypes[Courier?],MATCH($E857,tblMoveTypes[Movement],0)),"?")="No",$H857&lt;&gt;""),"Leave Courier blank",IF(AND(IFERROR(INDEX(tblMoveTypes[Orders?],MATCH($E857,tblMoveTypes[Movement],0)),"?")="Yes",$G857=""),"Orders needed",IF(AND(IFERROR(INDEX(tblMoveTypes[Orders?],MATCH($E857,tblMoveTypes[Movement],0)),"?")="No",$G857&lt;&gt;""),"Leave Orders blank",IF(AND(IFERROR(INDEX(tblMoveTypes[Reason?],MATCH($E857,tblMoveTypes[Movement],0)),"?")="Yes",$I857=""),"Reason needed",IF(AND(IFERROR(INDEX(tblMoveTypes[Qty?],MATCH($E857,tblMoveTypes[Movement],0)),"?")="Yes",N($F857)&lt;=0),"Qty needed",IF($A857&lt;_xlfn.MINIFS(tblShipment[Arrival Date],tblShipment[Shipment ID],$C857),"Date before arrival",IF(AND($D857&lt;&gt;"",COUNTIFS(tblShipment[Shipment ID],$C857,tblShipment[Item Code],$D857)=0),"Item not in this shipment",IF(AND($H857&lt;&gt;"",COUNTIFS(tblCouriers[Courier],$H857,tblCouriers[Market],$B857)=0),"Courier not in this market","OK")))))))))))))))</f>
        <v>OK</v>
      </c>
    </row>
    <row r="858" customFormat="false" ht="15" hidden="false" customHeight="false" outlineLevel="0" collapsed="false">
      <c r="A858" s="27" t="n">
        <v>46248</v>
      </c>
      <c r="B858" s="26" t="s">
        <v>70</v>
      </c>
      <c r="C858" s="26" t="s">
        <v>129</v>
      </c>
      <c r="D858" s="26"/>
      <c r="E858" s="26" t="s">
        <v>106</v>
      </c>
      <c r="F858" s="28" t="n">
        <v>17</v>
      </c>
      <c r="G858" s="28" t="n">
        <v>2</v>
      </c>
      <c r="H858" s="26" t="s">
        <v>71</v>
      </c>
      <c r="I858" s="26"/>
      <c r="J858" s="26"/>
      <c r="K858" s="29" t="str">
        <f aca="false">IF($A858="","",IF(COUNTIFS(tblMoveTypes[Movement],$E858)=0,"Unknown movement type",IF(COUNTIF(tblShipment[Shipment ID],$C858)=0,"Unknown shipment",IF(COUNTIFS(tblShipment[Shipment ID],$C858,tblShipment[Market],$B858)=0,"Market does not match shipment",IF(AND(IFERROR(INDEX(tblMoveTypes[Item?],MATCH($E858,tblMoveTypes[Movement],0)),"?")="Yes",$D858=""),"Item needed",IF(AND(IFERROR(INDEX(tblMoveTypes[Item?],MATCH($E858,tblMoveTypes[Movement],0)),"?")="No",$D858&lt;&gt;""),"Leave Item blank",IF(AND(IFERROR(INDEX(tblMoveTypes[Courier?],MATCH($E858,tblMoveTypes[Movement],0)),"?")="Yes",$H858=""),"Courier needed",IF(AND(IFERROR(INDEX(tblMoveTypes[Courier?],MATCH($E858,tblMoveTypes[Movement],0)),"?")="No",$H858&lt;&gt;""),"Leave Courier blank",IF(AND(IFERROR(INDEX(tblMoveTypes[Orders?],MATCH($E858,tblMoveTypes[Movement],0)),"?")="Yes",$G858=""),"Orders needed",IF(AND(IFERROR(INDEX(tblMoveTypes[Orders?],MATCH($E858,tblMoveTypes[Movement],0)),"?")="No",$G858&lt;&gt;""),"Leave Orders blank",IF(AND(IFERROR(INDEX(tblMoveTypes[Reason?],MATCH($E858,tblMoveTypes[Movement],0)),"?")="Yes",$I858=""),"Reason needed",IF(AND(IFERROR(INDEX(tblMoveTypes[Qty?],MATCH($E858,tblMoveTypes[Movement],0)),"?")="Yes",N($F858)&lt;=0),"Qty needed",IF($A858&lt;_xlfn.MINIFS(tblShipment[Arrival Date],tblShipment[Shipment ID],$C858),"Date before arrival",IF(AND($D858&lt;&gt;"",COUNTIFS(tblShipment[Shipment ID],$C858,tblShipment[Item Code],$D858)=0),"Item not in this shipment",IF(AND($H858&lt;&gt;"",COUNTIFS(tblCouriers[Courier],$H858,tblCouriers[Market],$B858)=0),"Courier not in this market","OK")))))))))))))))</f>
        <v>OK</v>
      </c>
    </row>
    <row r="859" customFormat="false" ht="15" hidden="false" customHeight="false" outlineLevel="0" collapsed="false">
      <c r="A859" s="27" t="n">
        <v>46248</v>
      </c>
      <c r="B859" s="26" t="s">
        <v>85</v>
      </c>
      <c r="C859" s="26" t="s">
        <v>140</v>
      </c>
      <c r="D859" s="26" t="s">
        <v>99</v>
      </c>
      <c r="E859" s="26" t="s">
        <v>73</v>
      </c>
      <c r="F859" s="28" t="n">
        <v>3</v>
      </c>
      <c r="G859" s="28"/>
      <c r="H859" s="26"/>
      <c r="I859" s="26" t="s">
        <v>87</v>
      </c>
      <c r="J859" s="26"/>
      <c r="K859" s="29" t="str">
        <f aca="false">IF($A859="","",IF(COUNTIFS(tblMoveTypes[Movement],$E859)=0,"Unknown movement type",IF(COUNTIF(tblShipment[Shipment ID],$C859)=0,"Unknown shipment",IF(COUNTIFS(tblShipment[Shipment ID],$C859,tblShipment[Market],$B859)=0,"Market does not match shipment",IF(AND(IFERROR(INDEX(tblMoveTypes[Item?],MATCH($E859,tblMoveTypes[Movement],0)),"?")="Yes",$D859=""),"Item needed",IF(AND(IFERROR(INDEX(tblMoveTypes[Item?],MATCH($E859,tblMoveTypes[Movement],0)),"?")="No",$D859&lt;&gt;""),"Leave Item blank",IF(AND(IFERROR(INDEX(tblMoveTypes[Courier?],MATCH($E859,tblMoveTypes[Movement],0)),"?")="Yes",$H859=""),"Courier needed",IF(AND(IFERROR(INDEX(tblMoveTypes[Courier?],MATCH($E859,tblMoveTypes[Movement],0)),"?")="No",$H859&lt;&gt;""),"Leave Courier blank",IF(AND(IFERROR(INDEX(tblMoveTypes[Orders?],MATCH($E859,tblMoveTypes[Movement],0)),"?")="Yes",$G859=""),"Orders needed",IF(AND(IFERROR(INDEX(tblMoveTypes[Orders?],MATCH($E859,tblMoveTypes[Movement],0)),"?")="No",$G859&lt;&gt;""),"Leave Orders blank",IF(AND(IFERROR(INDEX(tblMoveTypes[Reason?],MATCH($E859,tblMoveTypes[Movement],0)),"?")="Yes",$I859=""),"Reason needed",IF(AND(IFERROR(INDEX(tblMoveTypes[Qty?],MATCH($E859,tblMoveTypes[Movement],0)),"?")="Yes",N($F859)&lt;=0),"Qty needed",IF($A859&lt;_xlfn.MINIFS(tblShipment[Arrival Date],tblShipment[Shipment ID],$C859),"Date before arrival",IF(AND($D859&lt;&gt;"",COUNTIFS(tblShipment[Shipment ID],$C859,tblShipment[Item Code],$D859)=0),"Item not in this shipment",IF(AND($H859&lt;&gt;"",COUNTIFS(tblCouriers[Courier],$H859,tblCouriers[Market],$B859)=0),"Courier not in this market","OK")))))))))))))))</f>
        <v>OK</v>
      </c>
    </row>
    <row r="860" customFormat="false" ht="15" hidden="false" customHeight="false" outlineLevel="0" collapsed="false">
      <c r="A860" s="27" t="n">
        <v>46248</v>
      </c>
      <c r="B860" s="26" t="s">
        <v>85</v>
      </c>
      <c r="C860" s="26" t="s">
        <v>145</v>
      </c>
      <c r="D860" s="26"/>
      <c r="E860" s="26" t="s">
        <v>108</v>
      </c>
      <c r="F860" s="28" t="n">
        <v>5</v>
      </c>
      <c r="G860" s="28" t="n">
        <v>1</v>
      </c>
      <c r="H860" s="26" t="s">
        <v>91</v>
      </c>
      <c r="I860" s="26" t="s">
        <v>105</v>
      </c>
      <c r="J860" s="26"/>
      <c r="K860" s="29" t="str">
        <f aca="false">IF($A860="","",IF(COUNTIFS(tblMoveTypes[Movement],$E860)=0,"Unknown movement type",IF(COUNTIF(tblShipment[Shipment ID],$C860)=0,"Unknown shipment",IF(COUNTIFS(tblShipment[Shipment ID],$C860,tblShipment[Market],$B860)=0,"Market does not match shipment",IF(AND(IFERROR(INDEX(tblMoveTypes[Item?],MATCH($E860,tblMoveTypes[Movement],0)),"?")="Yes",$D860=""),"Item needed",IF(AND(IFERROR(INDEX(tblMoveTypes[Item?],MATCH($E860,tblMoveTypes[Movement],0)),"?")="No",$D860&lt;&gt;""),"Leave Item blank",IF(AND(IFERROR(INDEX(tblMoveTypes[Courier?],MATCH($E860,tblMoveTypes[Movement],0)),"?")="Yes",$H860=""),"Courier needed",IF(AND(IFERROR(INDEX(tblMoveTypes[Courier?],MATCH($E860,tblMoveTypes[Movement],0)),"?")="No",$H860&lt;&gt;""),"Leave Courier blank",IF(AND(IFERROR(INDEX(tblMoveTypes[Orders?],MATCH($E860,tblMoveTypes[Movement],0)),"?")="Yes",$G860=""),"Orders needed",IF(AND(IFERROR(INDEX(tblMoveTypes[Orders?],MATCH($E860,tblMoveTypes[Movement],0)),"?")="No",$G860&lt;&gt;""),"Leave Orders blank",IF(AND(IFERROR(INDEX(tblMoveTypes[Reason?],MATCH($E860,tblMoveTypes[Movement],0)),"?")="Yes",$I860=""),"Reason needed",IF(AND(IFERROR(INDEX(tblMoveTypes[Qty?],MATCH($E860,tblMoveTypes[Movement],0)),"?")="Yes",N($F860)&lt;=0),"Qty needed",IF($A860&lt;_xlfn.MINIFS(tblShipment[Arrival Date],tblShipment[Shipment ID],$C860),"Date before arrival",IF(AND($D860&lt;&gt;"",COUNTIFS(tblShipment[Shipment ID],$C860,tblShipment[Item Code],$D860)=0),"Item not in this shipment",IF(AND($H860&lt;&gt;"",COUNTIFS(tblCouriers[Courier],$H860,tblCouriers[Market],$B860)=0),"Courier not in this market","OK")))))))))))))))</f>
        <v>OK</v>
      </c>
    </row>
    <row r="861" customFormat="false" ht="15" hidden="false" customHeight="false" outlineLevel="0" collapsed="false">
      <c r="A861" s="27" t="n">
        <v>46248</v>
      </c>
      <c r="B861" s="26" t="s">
        <v>85</v>
      </c>
      <c r="C861" s="26" t="s">
        <v>145</v>
      </c>
      <c r="D861" s="26" t="s">
        <v>88</v>
      </c>
      <c r="E861" s="26" t="s">
        <v>110</v>
      </c>
      <c r="F861" s="28" t="n">
        <v>4</v>
      </c>
      <c r="G861" s="28"/>
      <c r="H861" s="26"/>
      <c r="I861" s="26"/>
      <c r="J861" s="26"/>
      <c r="K861" s="29" t="str">
        <f aca="false">IF($A861="","",IF(COUNTIFS(tblMoveTypes[Movement],$E861)=0,"Unknown movement type",IF(COUNTIF(tblShipment[Shipment ID],$C861)=0,"Unknown shipment",IF(COUNTIFS(tblShipment[Shipment ID],$C861,tblShipment[Market],$B861)=0,"Market does not match shipment",IF(AND(IFERROR(INDEX(tblMoveTypes[Item?],MATCH($E861,tblMoveTypes[Movement],0)),"?")="Yes",$D861=""),"Item needed",IF(AND(IFERROR(INDEX(tblMoveTypes[Item?],MATCH($E861,tblMoveTypes[Movement],0)),"?")="No",$D861&lt;&gt;""),"Leave Item blank",IF(AND(IFERROR(INDEX(tblMoveTypes[Courier?],MATCH($E861,tblMoveTypes[Movement],0)),"?")="Yes",$H861=""),"Courier needed",IF(AND(IFERROR(INDEX(tblMoveTypes[Courier?],MATCH($E861,tblMoveTypes[Movement],0)),"?")="No",$H861&lt;&gt;""),"Leave Courier blank",IF(AND(IFERROR(INDEX(tblMoveTypes[Orders?],MATCH($E861,tblMoveTypes[Movement],0)),"?")="Yes",$G861=""),"Orders needed",IF(AND(IFERROR(INDEX(tblMoveTypes[Orders?],MATCH($E861,tblMoveTypes[Movement],0)),"?")="No",$G861&lt;&gt;""),"Leave Orders blank",IF(AND(IFERROR(INDEX(tblMoveTypes[Reason?],MATCH($E861,tblMoveTypes[Movement],0)),"?")="Yes",$I861=""),"Reason needed",IF(AND(IFERROR(INDEX(tblMoveTypes[Qty?],MATCH($E861,tblMoveTypes[Movement],0)),"?")="Yes",N($F861)&lt;=0),"Qty needed",IF($A861&lt;_xlfn.MINIFS(tblShipment[Arrival Date],tblShipment[Shipment ID],$C861),"Date before arrival",IF(AND($D861&lt;&gt;"",COUNTIFS(tblShipment[Shipment ID],$C861,tblShipment[Item Code],$D861)=0),"Item not in this shipment",IF(AND($H861&lt;&gt;"",COUNTIFS(tblCouriers[Courier],$H861,tblCouriers[Market],$B861)=0),"Courier not in this market","OK")))))))))))))))</f>
        <v>OK</v>
      </c>
    </row>
    <row r="862" customFormat="false" ht="15" hidden="false" customHeight="false" outlineLevel="0" collapsed="false">
      <c r="A862" s="27" t="n">
        <v>46248</v>
      </c>
      <c r="B862" s="26" t="s">
        <v>85</v>
      </c>
      <c r="C862" s="26" t="s">
        <v>145</v>
      </c>
      <c r="D862" s="26" t="s">
        <v>88</v>
      </c>
      <c r="E862" s="26" t="s">
        <v>112</v>
      </c>
      <c r="F862" s="28" t="n">
        <v>1</v>
      </c>
      <c r="G862" s="28"/>
      <c r="H862" s="26"/>
      <c r="I862" s="26" t="s">
        <v>80</v>
      </c>
      <c r="J862" s="26"/>
      <c r="K862" s="29" t="str">
        <f aca="false">IF($A862="","",IF(COUNTIFS(tblMoveTypes[Movement],$E862)=0,"Unknown movement type",IF(COUNTIF(tblShipment[Shipment ID],$C862)=0,"Unknown shipment",IF(COUNTIFS(tblShipment[Shipment ID],$C862,tblShipment[Market],$B862)=0,"Market does not match shipment",IF(AND(IFERROR(INDEX(tblMoveTypes[Item?],MATCH($E862,tblMoveTypes[Movement],0)),"?")="Yes",$D862=""),"Item needed",IF(AND(IFERROR(INDEX(tblMoveTypes[Item?],MATCH($E862,tblMoveTypes[Movement],0)),"?")="No",$D862&lt;&gt;""),"Leave Item blank",IF(AND(IFERROR(INDEX(tblMoveTypes[Courier?],MATCH($E862,tblMoveTypes[Movement],0)),"?")="Yes",$H862=""),"Courier needed",IF(AND(IFERROR(INDEX(tblMoveTypes[Courier?],MATCH($E862,tblMoveTypes[Movement],0)),"?")="No",$H862&lt;&gt;""),"Leave Courier blank",IF(AND(IFERROR(INDEX(tblMoveTypes[Orders?],MATCH($E862,tblMoveTypes[Movement],0)),"?")="Yes",$G862=""),"Orders needed",IF(AND(IFERROR(INDEX(tblMoveTypes[Orders?],MATCH($E862,tblMoveTypes[Movement],0)),"?")="No",$G862&lt;&gt;""),"Leave Orders blank",IF(AND(IFERROR(INDEX(tblMoveTypes[Reason?],MATCH($E862,tblMoveTypes[Movement],0)),"?")="Yes",$I862=""),"Reason needed",IF(AND(IFERROR(INDEX(tblMoveTypes[Qty?],MATCH($E862,tblMoveTypes[Movement],0)),"?")="Yes",N($F862)&lt;=0),"Qty needed",IF($A862&lt;_xlfn.MINIFS(tblShipment[Arrival Date],tblShipment[Shipment ID],$C862),"Date before arrival",IF(AND($D862&lt;&gt;"",COUNTIFS(tblShipment[Shipment ID],$C862,tblShipment[Item Code],$D862)=0),"Item not in this shipment",IF(AND($H862&lt;&gt;"",COUNTIFS(tblCouriers[Courier],$H862,tblCouriers[Market],$B862)=0),"Courier not in this market","OK")))))))))))))))</f>
        <v>OK</v>
      </c>
    </row>
    <row r="863" customFormat="false" ht="15" hidden="false" customHeight="false" outlineLevel="0" collapsed="false">
      <c r="A863" s="27" t="n">
        <v>46248</v>
      </c>
      <c r="B863" s="26" t="s">
        <v>85</v>
      </c>
      <c r="C863" s="26" t="s">
        <v>145</v>
      </c>
      <c r="D863" s="26"/>
      <c r="E863" s="26" t="s">
        <v>106</v>
      </c>
      <c r="F863" s="28" t="n">
        <v>10</v>
      </c>
      <c r="G863" s="28" t="n">
        <v>1</v>
      </c>
      <c r="H863" s="26" t="s">
        <v>91</v>
      </c>
      <c r="I863" s="26"/>
      <c r="J863" s="26"/>
      <c r="K863" s="29" t="str">
        <f aca="false">IF($A863="","",IF(COUNTIFS(tblMoveTypes[Movement],$E863)=0,"Unknown movement type",IF(COUNTIF(tblShipment[Shipment ID],$C863)=0,"Unknown shipment",IF(COUNTIFS(tblShipment[Shipment ID],$C863,tblShipment[Market],$B863)=0,"Market does not match shipment",IF(AND(IFERROR(INDEX(tblMoveTypes[Item?],MATCH($E863,tblMoveTypes[Movement],0)),"?")="Yes",$D863=""),"Item needed",IF(AND(IFERROR(INDEX(tblMoveTypes[Item?],MATCH($E863,tblMoveTypes[Movement],0)),"?")="No",$D863&lt;&gt;""),"Leave Item blank",IF(AND(IFERROR(INDEX(tblMoveTypes[Courier?],MATCH($E863,tblMoveTypes[Movement],0)),"?")="Yes",$H863=""),"Courier needed",IF(AND(IFERROR(INDEX(tblMoveTypes[Courier?],MATCH($E863,tblMoveTypes[Movement],0)),"?")="No",$H863&lt;&gt;""),"Leave Courier blank",IF(AND(IFERROR(INDEX(tblMoveTypes[Orders?],MATCH($E863,tblMoveTypes[Movement],0)),"?")="Yes",$G863=""),"Orders needed",IF(AND(IFERROR(INDEX(tblMoveTypes[Orders?],MATCH($E863,tblMoveTypes[Movement],0)),"?")="No",$G863&lt;&gt;""),"Leave Orders blank",IF(AND(IFERROR(INDEX(tblMoveTypes[Reason?],MATCH($E863,tblMoveTypes[Movement],0)),"?")="Yes",$I863=""),"Reason needed",IF(AND(IFERROR(INDEX(tblMoveTypes[Qty?],MATCH($E863,tblMoveTypes[Movement],0)),"?")="Yes",N($F863)&lt;=0),"Qty needed",IF($A863&lt;_xlfn.MINIFS(tblShipment[Arrival Date],tblShipment[Shipment ID],$C863),"Date before arrival",IF(AND($D863&lt;&gt;"",COUNTIFS(tblShipment[Shipment ID],$C863,tblShipment[Item Code],$D863)=0),"Item not in this shipment",IF(AND($H863&lt;&gt;"",COUNTIFS(tblCouriers[Courier],$H863,tblCouriers[Market],$B863)=0),"Courier not in this market","OK")))))))))))))))</f>
        <v>OK</v>
      </c>
    </row>
    <row r="864" customFormat="false" ht="15" hidden="false" customHeight="false" outlineLevel="0" collapsed="false">
      <c r="A864" s="27" t="n">
        <v>46248</v>
      </c>
      <c r="B864" s="26" t="s">
        <v>85</v>
      </c>
      <c r="C864" s="26" t="s">
        <v>145</v>
      </c>
      <c r="D864" s="26" t="s">
        <v>67</v>
      </c>
      <c r="E864" s="26" t="s">
        <v>93</v>
      </c>
      <c r="F864" s="28" t="n">
        <v>8</v>
      </c>
      <c r="G864" s="28"/>
      <c r="H864" s="26" t="s">
        <v>91</v>
      </c>
      <c r="I864" s="26"/>
      <c r="J864" s="26"/>
      <c r="K864" s="29" t="str">
        <f aca="false">IF($A864="","",IF(COUNTIFS(tblMoveTypes[Movement],$E864)=0,"Unknown movement type",IF(COUNTIF(tblShipment[Shipment ID],$C864)=0,"Unknown shipment",IF(COUNTIFS(tblShipment[Shipment ID],$C864,tblShipment[Market],$B864)=0,"Market does not match shipment",IF(AND(IFERROR(INDEX(tblMoveTypes[Item?],MATCH($E864,tblMoveTypes[Movement],0)),"?")="Yes",$D864=""),"Item needed",IF(AND(IFERROR(INDEX(tblMoveTypes[Item?],MATCH($E864,tblMoveTypes[Movement],0)),"?")="No",$D864&lt;&gt;""),"Leave Item blank",IF(AND(IFERROR(INDEX(tblMoveTypes[Courier?],MATCH($E864,tblMoveTypes[Movement],0)),"?")="Yes",$H864=""),"Courier needed",IF(AND(IFERROR(INDEX(tblMoveTypes[Courier?],MATCH($E864,tblMoveTypes[Movement],0)),"?")="No",$H864&lt;&gt;""),"Leave Courier blank",IF(AND(IFERROR(INDEX(tblMoveTypes[Orders?],MATCH($E864,tblMoveTypes[Movement],0)),"?")="Yes",$G864=""),"Orders needed",IF(AND(IFERROR(INDEX(tblMoveTypes[Orders?],MATCH($E864,tblMoveTypes[Movement],0)),"?")="No",$G864&lt;&gt;""),"Leave Orders blank",IF(AND(IFERROR(INDEX(tblMoveTypes[Reason?],MATCH($E864,tblMoveTypes[Movement],0)),"?")="Yes",$I864=""),"Reason needed",IF(AND(IFERROR(INDEX(tblMoveTypes[Qty?],MATCH($E864,tblMoveTypes[Movement],0)),"?")="Yes",N($F864)&lt;=0),"Qty needed",IF($A864&lt;_xlfn.MINIFS(tblShipment[Arrival Date],tblShipment[Shipment ID],$C864),"Date before arrival",IF(AND($D864&lt;&gt;"",COUNTIFS(tblShipment[Shipment ID],$C864,tblShipment[Item Code],$D864)=0),"Item not in this shipment",IF(AND($H864&lt;&gt;"",COUNTIFS(tblCouriers[Courier],$H864,tblCouriers[Market],$B864)=0),"Courier not in this market","OK")))))))))))))))</f>
        <v>OK</v>
      </c>
    </row>
    <row r="865" customFormat="false" ht="15" hidden="false" customHeight="false" outlineLevel="0" collapsed="false">
      <c r="A865" s="27" t="n">
        <v>46248</v>
      </c>
      <c r="B865" s="26" t="s">
        <v>85</v>
      </c>
      <c r="C865" s="26" t="s">
        <v>145</v>
      </c>
      <c r="D865" s="26"/>
      <c r="E865" s="26" t="s">
        <v>104</v>
      </c>
      <c r="F865" s="28"/>
      <c r="G865" s="28" t="n">
        <v>1</v>
      </c>
      <c r="H865" s="26" t="s">
        <v>91</v>
      </c>
      <c r="I865" s="26"/>
      <c r="J865" s="26"/>
      <c r="K865" s="29" t="str">
        <f aca="false">IF($A865="","",IF(COUNTIFS(tblMoveTypes[Movement],$E865)=0,"Unknown movement type",IF(COUNTIF(tblShipment[Shipment ID],$C865)=0,"Unknown shipment",IF(COUNTIFS(tblShipment[Shipment ID],$C865,tblShipment[Market],$B865)=0,"Market does not match shipment",IF(AND(IFERROR(INDEX(tblMoveTypes[Item?],MATCH($E865,tblMoveTypes[Movement],0)),"?")="Yes",$D865=""),"Item needed",IF(AND(IFERROR(INDEX(tblMoveTypes[Item?],MATCH($E865,tblMoveTypes[Movement],0)),"?")="No",$D865&lt;&gt;""),"Leave Item blank",IF(AND(IFERROR(INDEX(tblMoveTypes[Courier?],MATCH($E865,tblMoveTypes[Movement],0)),"?")="Yes",$H865=""),"Courier needed",IF(AND(IFERROR(INDEX(tblMoveTypes[Courier?],MATCH($E865,tblMoveTypes[Movement],0)),"?")="No",$H865&lt;&gt;""),"Leave Courier blank",IF(AND(IFERROR(INDEX(tblMoveTypes[Orders?],MATCH($E865,tblMoveTypes[Movement],0)),"?")="Yes",$G865=""),"Orders needed",IF(AND(IFERROR(INDEX(tblMoveTypes[Orders?],MATCH($E865,tblMoveTypes[Movement],0)),"?")="No",$G865&lt;&gt;""),"Leave Orders blank",IF(AND(IFERROR(INDEX(tblMoveTypes[Reason?],MATCH($E865,tblMoveTypes[Movement],0)),"?")="Yes",$I865=""),"Reason needed",IF(AND(IFERROR(INDEX(tblMoveTypes[Qty?],MATCH($E865,tblMoveTypes[Movement],0)),"?")="Yes",N($F865)&lt;=0),"Qty needed",IF($A865&lt;_xlfn.MINIFS(tblShipment[Arrival Date],tblShipment[Shipment ID],$C865),"Date before arrival",IF(AND($D865&lt;&gt;"",COUNTIFS(tblShipment[Shipment ID],$C865,tblShipment[Item Code],$D865)=0),"Item not in this shipment",IF(AND($H865&lt;&gt;"",COUNTIFS(tblCouriers[Courier],$H865,tblCouriers[Market],$B865)=0),"Courier not in this market","OK")))))))))))))))</f>
        <v>OK</v>
      </c>
    </row>
    <row r="866" customFormat="false" ht="15" hidden="false" customHeight="false" outlineLevel="0" collapsed="false">
      <c r="A866" s="27" t="n">
        <v>46248</v>
      </c>
      <c r="B866" s="26" t="s">
        <v>85</v>
      </c>
      <c r="C866" s="26" t="s">
        <v>145</v>
      </c>
      <c r="D866" s="26"/>
      <c r="E866" s="26" t="s">
        <v>106</v>
      </c>
      <c r="F866" s="28" t="n">
        <v>7</v>
      </c>
      <c r="G866" s="28" t="n">
        <v>1</v>
      </c>
      <c r="H866" s="26" t="s">
        <v>91</v>
      </c>
      <c r="I866" s="26"/>
      <c r="J866" s="26"/>
      <c r="K866" s="29" t="str">
        <f aca="false">IF($A866="","",IF(COUNTIFS(tblMoveTypes[Movement],$E866)=0,"Unknown movement type",IF(COUNTIF(tblShipment[Shipment ID],$C866)=0,"Unknown shipment",IF(COUNTIFS(tblShipment[Shipment ID],$C866,tblShipment[Market],$B866)=0,"Market does not match shipment",IF(AND(IFERROR(INDEX(tblMoveTypes[Item?],MATCH($E866,tblMoveTypes[Movement],0)),"?")="Yes",$D866=""),"Item needed",IF(AND(IFERROR(INDEX(tblMoveTypes[Item?],MATCH($E866,tblMoveTypes[Movement],0)),"?")="No",$D866&lt;&gt;""),"Leave Item blank",IF(AND(IFERROR(INDEX(tblMoveTypes[Courier?],MATCH($E866,tblMoveTypes[Movement],0)),"?")="Yes",$H866=""),"Courier needed",IF(AND(IFERROR(INDEX(tblMoveTypes[Courier?],MATCH($E866,tblMoveTypes[Movement],0)),"?")="No",$H866&lt;&gt;""),"Leave Courier blank",IF(AND(IFERROR(INDEX(tblMoveTypes[Orders?],MATCH($E866,tblMoveTypes[Movement],0)),"?")="Yes",$G866=""),"Orders needed",IF(AND(IFERROR(INDEX(tblMoveTypes[Orders?],MATCH($E866,tblMoveTypes[Movement],0)),"?")="No",$G866&lt;&gt;""),"Leave Orders blank",IF(AND(IFERROR(INDEX(tblMoveTypes[Reason?],MATCH($E866,tblMoveTypes[Movement],0)),"?")="Yes",$I866=""),"Reason needed",IF(AND(IFERROR(INDEX(tblMoveTypes[Qty?],MATCH($E866,tblMoveTypes[Movement],0)),"?")="Yes",N($F866)&lt;=0),"Qty needed",IF($A866&lt;_xlfn.MINIFS(tblShipment[Arrival Date],tblShipment[Shipment ID],$C866),"Date before arrival",IF(AND($D866&lt;&gt;"",COUNTIFS(tblShipment[Shipment ID],$C866,tblShipment[Item Code],$D866)=0),"Item not in this shipment",IF(AND($H866&lt;&gt;"",COUNTIFS(tblCouriers[Courier],$H866,tblCouriers[Market],$B866)=0),"Courier not in this market","OK")))))))))))))))</f>
        <v>OK</v>
      </c>
    </row>
    <row r="867" customFormat="false" ht="15" hidden="false" customHeight="false" outlineLevel="0" collapsed="false">
      <c r="A867" s="27" t="n">
        <v>46248</v>
      </c>
      <c r="B867" s="26" t="s">
        <v>85</v>
      </c>
      <c r="C867" s="26" t="s">
        <v>146</v>
      </c>
      <c r="D867" s="26"/>
      <c r="E867" s="26" t="s">
        <v>106</v>
      </c>
      <c r="F867" s="28" t="n">
        <v>19</v>
      </c>
      <c r="G867" s="28" t="n">
        <v>4</v>
      </c>
      <c r="H867" s="26" t="s">
        <v>91</v>
      </c>
      <c r="I867" s="26"/>
      <c r="J867" s="26"/>
      <c r="K867" s="29" t="str">
        <f aca="false">IF($A867="","",IF(COUNTIFS(tblMoveTypes[Movement],$E867)=0,"Unknown movement type",IF(COUNTIF(tblShipment[Shipment ID],$C867)=0,"Unknown shipment",IF(COUNTIFS(tblShipment[Shipment ID],$C867,tblShipment[Market],$B867)=0,"Market does not match shipment",IF(AND(IFERROR(INDEX(tblMoveTypes[Item?],MATCH($E867,tblMoveTypes[Movement],0)),"?")="Yes",$D867=""),"Item needed",IF(AND(IFERROR(INDEX(tblMoveTypes[Item?],MATCH($E867,tblMoveTypes[Movement],0)),"?")="No",$D867&lt;&gt;""),"Leave Item blank",IF(AND(IFERROR(INDEX(tblMoveTypes[Courier?],MATCH($E867,tblMoveTypes[Movement],0)),"?")="Yes",$H867=""),"Courier needed",IF(AND(IFERROR(INDEX(tblMoveTypes[Courier?],MATCH($E867,tblMoveTypes[Movement],0)),"?")="No",$H867&lt;&gt;""),"Leave Courier blank",IF(AND(IFERROR(INDEX(tblMoveTypes[Orders?],MATCH($E867,tblMoveTypes[Movement],0)),"?")="Yes",$G867=""),"Orders needed",IF(AND(IFERROR(INDEX(tblMoveTypes[Orders?],MATCH($E867,tblMoveTypes[Movement],0)),"?")="No",$G867&lt;&gt;""),"Leave Orders blank",IF(AND(IFERROR(INDEX(tblMoveTypes[Reason?],MATCH($E867,tblMoveTypes[Movement],0)),"?")="Yes",$I867=""),"Reason needed",IF(AND(IFERROR(INDEX(tblMoveTypes[Qty?],MATCH($E867,tblMoveTypes[Movement],0)),"?")="Yes",N($F867)&lt;=0),"Qty needed",IF($A867&lt;_xlfn.MINIFS(tblShipment[Arrival Date],tblShipment[Shipment ID],$C867),"Date before arrival",IF(AND($D867&lt;&gt;"",COUNTIFS(tblShipment[Shipment ID],$C867,tblShipment[Item Code],$D867)=0),"Item not in this shipment",IF(AND($H867&lt;&gt;"",COUNTIFS(tblCouriers[Courier],$H867,tblCouriers[Market],$B867)=0),"Courier not in this market","OK")))))))))))))))</f>
        <v>OK</v>
      </c>
    </row>
    <row r="868" customFormat="false" ht="15" hidden="false" customHeight="false" outlineLevel="0" collapsed="false">
      <c r="A868" s="27" t="n">
        <v>46248</v>
      </c>
      <c r="B868" s="26" t="s">
        <v>85</v>
      </c>
      <c r="C868" s="26" t="s">
        <v>146</v>
      </c>
      <c r="D868" s="26"/>
      <c r="E868" s="26" t="s">
        <v>106</v>
      </c>
      <c r="F868" s="28" t="n">
        <v>30</v>
      </c>
      <c r="G868" s="28" t="n">
        <v>7</v>
      </c>
      <c r="H868" s="26" t="s">
        <v>96</v>
      </c>
      <c r="I868" s="26"/>
      <c r="J868" s="26"/>
      <c r="K868" s="29" t="str">
        <f aca="false">IF($A868="","",IF(COUNTIFS(tblMoveTypes[Movement],$E868)=0,"Unknown movement type",IF(COUNTIF(tblShipment[Shipment ID],$C868)=0,"Unknown shipment",IF(COUNTIFS(tblShipment[Shipment ID],$C868,tblShipment[Market],$B868)=0,"Market does not match shipment",IF(AND(IFERROR(INDEX(tblMoveTypes[Item?],MATCH($E868,tblMoveTypes[Movement],0)),"?")="Yes",$D868=""),"Item needed",IF(AND(IFERROR(INDEX(tblMoveTypes[Item?],MATCH($E868,tblMoveTypes[Movement],0)),"?")="No",$D868&lt;&gt;""),"Leave Item blank",IF(AND(IFERROR(INDEX(tblMoveTypes[Courier?],MATCH($E868,tblMoveTypes[Movement],0)),"?")="Yes",$H868=""),"Courier needed",IF(AND(IFERROR(INDEX(tblMoveTypes[Courier?],MATCH($E868,tblMoveTypes[Movement],0)),"?")="No",$H868&lt;&gt;""),"Leave Courier blank",IF(AND(IFERROR(INDEX(tblMoveTypes[Orders?],MATCH($E868,tblMoveTypes[Movement],0)),"?")="Yes",$G868=""),"Orders needed",IF(AND(IFERROR(INDEX(tblMoveTypes[Orders?],MATCH($E868,tblMoveTypes[Movement],0)),"?")="No",$G868&lt;&gt;""),"Leave Orders blank",IF(AND(IFERROR(INDEX(tblMoveTypes[Reason?],MATCH($E868,tblMoveTypes[Movement],0)),"?")="Yes",$I868=""),"Reason needed",IF(AND(IFERROR(INDEX(tblMoveTypes[Qty?],MATCH($E868,tblMoveTypes[Movement],0)),"?")="Yes",N($F868)&lt;=0),"Qty needed",IF($A868&lt;_xlfn.MINIFS(tblShipment[Arrival Date],tblShipment[Shipment ID],$C868),"Date before arrival",IF(AND($D868&lt;&gt;"",COUNTIFS(tblShipment[Shipment ID],$C868,tblShipment[Item Code],$D868)=0),"Item not in this shipment",IF(AND($H868&lt;&gt;"",COUNTIFS(tblCouriers[Courier],$H868,tblCouriers[Market],$B868)=0),"Courier not in this market","OK")))))))))))))))</f>
        <v>OK</v>
      </c>
    </row>
    <row r="869" customFormat="false" ht="15" hidden="false" customHeight="false" outlineLevel="0" collapsed="false">
      <c r="A869" s="27" t="n">
        <v>46248</v>
      </c>
      <c r="B869" s="26" t="s">
        <v>90</v>
      </c>
      <c r="C869" s="26" t="s">
        <v>148</v>
      </c>
      <c r="D869" s="26" t="s">
        <v>76</v>
      </c>
      <c r="E869" s="26" t="s">
        <v>73</v>
      </c>
      <c r="F869" s="28" t="n">
        <v>1</v>
      </c>
      <c r="G869" s="28"/>
      <c r="H869" s="26"/>
      <c r="I869" s="26" t="s">
        <v>87</v>
      </c>
      <c r="J869" s="26"/>
      <c r="K869" s="29" t="str">
        <f aca="false">IF($A869="","",IF(COUNTIFS(tblMoveTypes[Movement],$E869)=0,"Unknown movement type",IF(COUNTIF(tblShipment[Shipment ID],$C869)=0,"Unknown shipment",IF(COUNTIFS(tblShipment[Shipment ID],$C869,tblShipment[Market],$B869)=0,"Market does not match shipment",IF(AND(IFERROR(INDEX(tblMoveTypes[Item?],MATCH($E869,tblMoveTypes[Movement],0)),"?")="Yes",$D869=""),"Item needed",IF(AND(IFERROR(INDEX(tblMoveTypes[Item?],MATCH($E869,tblMoveTypes[Movement],0)),"?")="No",$D869&lt;&gt;""),"Leave Item blank",IF(AND(IFERROR(INDEX(tblMoveTypes[Courier?],MATCH($E869,tblMoveTypes[Movement],0)),"?")="Yes",$H869=""),"Courier needed",IF(AND(IFERROR(INDEX(tblMoveTypes[Courier?],MATCH($E869,tblMoveTypes[Movement],0)),"?")="No",$H869&lt;&gt;""),"Leave Courier blank",IF(AND(IFERROR(INDEX(tblMoveTypes[Orders?],MATCH($E869,tblMoveTypes[Movement],0)),"?")="Yes",$G869=""),"Orders needed",IF(AND(IFERROR(INDEX(tblMoveTypes[Orders?],MATCH($E869,tblMoveTypes[Movement],0)),"?")="No",$G869&lt;&gt;""),"Leave Orders blank",IF(AND(IFERROR(INDEX(tblMoveTypes[Reason?],MATCH($E869,tblMoveTypes[Movement],0)),"?")="Yes",$I869=""),"Reason needed",IF(AND(IFERROR(INDEX(tblMoveTypes[Qty?],MATCH($E869,tblMoveTypes[Movement],0)),"?")="Yes",N($F869)&lt;=0),"Qty needed",IF($A869&lt;_xlfn.MINIFS(tblShipment[Arrival Date],tblShipment[Shipment ID],$C869),"Date before arrival",IF(AND($D869&lt;&gt;"",COUNTIFS(tblShipment[Shipment ID],$C869,tblShipment[Item Code],$D869)=0),"Item not in this shipment",IF(AND($H869&lt;&gt;"",COUNTIFS(tblCouriers[Courier],$H869,tblCouriers[Market],$B869)=0),"Courier not in this market","OK")))))))))))))))</f>
        <v>OK</v>
      </c>
    </row>
    <row r="870" customFormat="false" ht="15" hidden="false" customHeight="false" outlineLevel="0" collapsed="false">
      <c r="A870" s="27" t="n">
        <v>46248</v>
      </c>
      <c r="B870" s="26" t="s">
        <v>90</v>
      </c>
      <c r="C870" s="26" t="s">
        <v>149</v>
      </c>
      <c r="D870" s="26" t="s">
        <v>67</v>
      </c>
      <c r="E870" s="26" t="s">
        <v>73</v>
      </c>
      <c r="F870" s="28" t="n">
        <v>3</v>
      </c>
      <c r="G870" s="28"/>
      <c r="H870" s="26"/>
      <c r="I870" s="26" t="s">
        <v>87</v>
      </c>
      <c r="J870" s="26"/>
      <c r="K870" s="29" t="str">
        <f aca="false">IF($A870="","",IF(COUNTIFS(tblMoveTypes[Movement],$E870)=0,"Unknown movement type",IF(COUNTIF(tblShipment[Shipment ID],$C870)=0,"Unknown shipment",IF(COUNTIFS(tblShipment[Shipment ID],$C870,tblShipment[Market],$B870)=0,"Market does not match shipment",IF(AND(IFERROR(INDEX(tblMoveTypes[Item?],MATCH($E870,tblMoveTypes[Movement],0)),"?")="Yes",$D870=""),"Item needed",IF(AND(IFERROR(INDEX(tblMoveTypes[Item?],MATCH($E870,tblMoveTypes[Movement],0)),"?")="No",$D870&lt;&gt;""),"Leave Item blank",IF(AND(IFERROR(INDEX(tblMoveTypes[Courier?],MATCH($E870,tblMoveTypes[Movement],0)),"?")="Yes",$H870=""),"Courier needed",IF(AND(IFERROR(INDEX(tblMoveTypes[Courier?],MATCH($E870,tblMoveTypes[Movement],0)),"?")="No",$H870&lt;&gt;""),"Leave Courier blank",IF(AND(IFERROR(INDEX(tblMoveTypes[Orders?],MATCH($E870,tblMoveTypes[Movement],0)),"?")="Yes",$G870=""),"Orders needed",IF(AND(IFERROR(INDEX(tblMoveTypes[Orders?],MATCH($E870,tblMoveTypes[Movement],0)),"?")="No",$G870&lt;&gt;""),"Leave Orders blank",IF(AND(IFERROR(INDEX(tblMoveTypes[Reason?],MATCH($E870,tblMoveTypes[Movement],0)),"?")="Yes",$I870=""),"Reason needed",IF(AND(IFERROR(INDEX(tblMoveTypes[Qty?],MATCH($E870,tblMoveTypes[Movement],0)),"?")="Yes",N($F870)&lt;=0),"Qty needed",IF($A870&lt;_xlfn.MINIFS(tblShipment[Arrival Date],tblShipment[Shipment ID],$C870),"Date before arrival",IF(AND($D870&lt;&gt;"",COUNTIFS(tblShipment[Shipment ID],$C870,tblShipment[Item Code],$D870)=0),"Item not in this shipment",IF(AND($H870&lt;&gt;"",COUNTIFS(tblCouriers[Courier],$H870,tblCouriers[Market],$B870)=0),"Courier not in this market","OK")))))))))))))))</f>
        <v>OK</v>
      </c>
    </row>
    <row r="871" customFormat="false" ht="15" hidden="false" customHeight="false" outlineLevel="0" collapsed="false">
      <c r="A871" s="27" t="n">
        <v>46248</v>
      </c>
      <c r="B871" s="26" t="s">
        <v>90</v>
      </c>
      <c r="C871" s="26" t="s">
        <v>152</v>
      </c>
      <c r="D871" s="26"/>
      <c r="E871" s="26" t="s">
        <v>106</v>
      </c>
      <c r="F871" s="28" t="n">
        <v>36</v>
      </c>
      <c r="G871" s="28" t="n">
        <v>6</v>
      </c>
      <c r="H871" s="26" t="s">
        <v>101</v>
      </c>
      <c r="I871" s="26"/>
      <c r="J871" s="26"/>
      <c r="K871" s="29" t="str">
        <f aca="false">IF($A871="","",IF(COUNTIFS(tblMoveTypes[Movement],$E871)=0,"Unknown movement type",IF(COUNTIF(tblShipment[Shipment ID],$C871)=0,"Unknown shipment",IF(COUNTIFS(tblShipment[Shipment ID],$C871,tblShipment[Market],$B871)=0,"Market does not match shipment",IF(AND(IFERROR(INDEX(tblMoveTypes[Item?],MATCH($E871,tblMoveTypes[Movement],0)),"?")="Yes",$D871=""),"Item needed",IF(AND(IFERROR(INDEX(tblMoveTypes[Item?],MATCH($E871,tblMoveTypes[Movement],0)),"?")="No",$D871&lt;&gt;""),"Leave Item blank",IF(AND(IFERROR(INDEX(tblMoveTypes[Courier?],MATCH($E871,tblMoveTypes[Movement],0)),"?")="Yes",$H871=""),"Courier needed",IF(AND(IFERROR(INDEX(tblMoveTypes[Courier?],MATCH($E871,tblMoveTypes[Movement],0)),"?")="No",$H871&lt;&gt;""),"Leave Courier blank",IF(AND(IFERROR(INDEX(tblMoveTypes[Orders?],MATCH($E871,tblMoveTypes[Movement],0)),"?")="Yes",$G871=""),"Orders needed",IF(AND(IFERROR(INDEX(tblMoveTypes[Orders?],MATCH($E871,tblMoveTypes[Movement],0)),"?")="No",$G871&lt;&gt;""),"Leave Orders blank",IF(AND(IFERROR(INDEX(tblMoveTypes[Reason?],MATCH($E871,tblMoveTypes[Movement],0)),"?")="Yes",$I871=""),"Reason needed",IF(AND(IFERROR(INDEX(tblMoveTypes[Qty?],MATCH($E871,tblMoveTypes[Movement],0)),"?")="Yes",N($F871)&lt;=0),"Qty needed",IF($A871&lt;_xlfn.MINIFS(tblShipment[Arrival Date],tblShipment[Shipment ID],$C871),"Date before arrival",IF(AND($D871&lt;&gt;"",COUNTIFS(tblShipment[Shipment ID],$C871,tblShipment[Item Code],$D871)=0),"Item not in this shipment",IF(AND($H871&lt;&gt;"",COUNTIFS(tblCouriers[Courier],$H871,tblCouriers[Market],$B871)=0),"Courier not in this market","OK")))))))))))))))</f>
        <v>OK</v>
      </c>
    </row>
    <row r="872" customFormat="false" ht="15" hidden="false" customHeight="false" outlineLevel="0" collapsed="false">
      <c r="A872" s="27" t="n">
        <v>46248</v>
      </c>
      <c r="B872" s="26" t="s">
        <v>90</v>
      </c>
      <c r="C872" s="26" t="s">
        <v>152</v>
      </c>
      <c r="D872" s="26"/>
      <c r="E872" s="26" t="s">
        <v>106</v>
      </c>
      <c r="F872" s="28" t="n">
        <v>23</v>
      </c>
      <c r="G872" s="28" t="n">
        <v>3</v>
      </c>
      <c r="H872" s="26" t="s">
        <v>101</v>
      </c>
      <c r="I872" s="26"/>
      <c r="J872" s="26"/>
      <c r="K872" s="29" t="str">
        <f aca="false">IF($A872="","",IF(COUNTIFS(tblMoveTypes[Movement],$E872)=0,"Unknown movement type",IF(COUNTIF(tblShipment[Shipment ID],$C872)=0,"Unknown shipment",IF(COUNTIFS(tblShipment[Shipment ID],$C872,tblShipment[Market],$B872)=0,"Market does not match shipment",IF(AND(IFERROR(INDEX(tblMoveTypes[Item?],MATCH($E872,tblMoveTypes[Movement],0)),"?")="Yes",$D872=""),"Item needed",IF(AND(IFERROR(INDEX(tblMoveTypes[Item?],MATCH($E872,tblMoveTypes[Movement],0)),"?")="No",$D872&lt;&gt;""),"Leave Item blank",IF(AND(IFERROR(INDEX(tblMoveTypes[Courier?],MATCH($E872,tblMoveTypes[Movement],0)),"?")="Yes",$H872=""),"Courier needed",IF(AND(IFERROR(INDEX(tblMoveTypes[Courier?],MATCH($E872,tblMoveTypes[Movement],0)),"?")="No",$H872&lt;&gt;""),"Leave Courier blank",IF(AND(IFERROR(INDEX(tblMoveTypes[Orders?],MATCH($E872,tblMoveTypes[Movement],0)),"?")="Yes",$G872=""),"Orders needed",IF(AND(IFERROR(INDEX(tblMoveTypes[Orders?],MATCH($E872,tblMoveTypes[Movement],0)),"?")="No",$G872&lt;&gt;""),"Leave Orders blank",IF(AND(IFERROR(INDEX(tblMoveTypes[Reason?],MATCH($E872,tblMoveTypes[Movement],0)),"?")="Yes",$I872=""),"Reason needed",IF(AND(IFERROR(INDEX(tblMoveTypes[Qty?],MATCH($E872,tblMoveTypes[Movement],0)),"?")="Yes",N($F872)&lt;=0),"Qty needed",IF($A872&lt;_xlfn.MINIFS(tblShipment[Arrival Date],tblShipment[Shipment ID],$C872),"Date before arrival",IF(AND($D872&lt;&gt;"",COUNTIFS(tblShipment[Shipment ID],$C872,tblShipment[Item Code],$D872)=0),"Item not in this shipment",IF(AND($H872&lt;&gt;"",COUNTIFS(tblCouriers[Courier],$H872,tblCouriers[Market],$B872)=0),"Courier not in this market","OK")))))))))))))))</f>
        <v>OK</v>
      </c>
    </row>
    <row r="873" customFormat="false" ht="15" hidden="false" customHeight="false" outlineLevel="0" collapsed="false">
      <c r="A873" s="27" t="n">
        <v>46248</v>
      </c>
      <c r="B873" s="26" t="s">
        <v>90</v>
      </c>
      <c r="C873" s="26" t="s">
        <v>152</v>
      </c>
      <c r="D873" s="26"/>
      <c r="E873" s="26" t="s">
        <v>106</v>
      </c>
      <c r="F873" s="28" t="n">
        <v>15</v>
      </c>
      <c r="G873" s="28" t="n">
        <v>2</v>
      </c>
      <c r="H873" s="26" t="s">
        <v>101</v>
      </c>
      <c r="I873" s="26"/>
      <c r="J873" s="26"/>
      <c r="K873" s="29" t="str">
        <f aca="false">IF($A873="","",IF(COUNTIFS(tblMoveTypes[Movement],$E873)=0,"Unknown movement type",IF(COUNTIF(tblShipment[Shipment ID],$C873)=0,"Unknown shipment",IF(COUNTIFS(tblShipment[Shipment ID],$C873,tblShipment[Market],$B873)=0,"Market does not match shipment",IF(AND(IFERROR(INDEX(tblMoveTypes[Item?],MATCH($E873,tblMoveTypes[Movement],0)),"?")="Yes",$D873=""),"Item needed",IF(AND(IFERROR(INDEX(tblMoveTypes[Item?],MATCH($E873,tblMoveTypes[Movement],0)),"?")="No",$D873&lt;&gt;""),"Leave Item blank",IF(AND(IFERROR(INDEX(tblMoveTypes[Courier?],MATCH($E873,tblMoveTypes[Movement],0)),"?")="Yes",$H873=""),"Courier needed",IF(AND(IFERROR(INDEX(tblMoveTypes[Courier?],MATCH($E873,tblMoveTypes[Movement],0)),"?")="No",$H873&lt;&gt;""),"Leave Courier blank",IF(AND(IFERROR(INDEX(tblMoveTypes[Orders?],MATCH($E873,tblMoveTypes[Movement],0)),"?")="Yes",$G873=""),"Orders needed",IF(AND(IFERROR(INDEX(tblMoveTypes[Orders?],MATCH($E873,tblMoveTypes[Movement],0)),"?")="No",$G873&lt;&gt;""),"Leave Orders blank",IF(AND(IFERROR(INDEX(tblMoveTypes[Reason?],MATCH($E873,tblMoveTypes[Movement],0)),"?")="Yes",$I873=""),"Reason needed",IF(AND(IFERROR(INDEX(tblMoveTypes[Qty?],MATCH($E873,tblMoveTypes[Movement],0)),"?")="Yes",N($F873)&lt;=0),"Qty needed",IF($A873&lt;_xlfn.MINIFS(tblShipment[Arrival Date],tblShipment[Shipment ID],$C873),"Date before arrival",IF(AND($D873&lt;&gt;"",COUNTIFS(tblShipment[Shipment ID],$C873,tblShipment[Item Code],$D873)=0),"Item not in this shipment",IF(AND($H873&lt;&gt;"",COUNTIFS(tblCouriers[Courier],$H873,tblCouriers[Market],$B873)=0),"Courier not in this market","OK")))))))))))))))</f>
        <v>OK</v>
      </c>
    </row>
    <row r="874" customFormat="false" ht="15" hidden="false" customHeight="false" outlineLevel="0" collapsed="false">
      <c r="A874" s="27" t="n">
        <v>46248</v>
      </c>
      <c r="B874" s="26" t="s">
        <v>90</v>
      </c>
      <c r="C874" s="26" t="s">
        <v>153</v>
      </c>
      <c r="D874" s="26" t="s">
        <v>94</v>
      </c>
      <c r="E874" s="26" t="s">
        <v>81</v>
      </c>
      <c r="F874" s="28" t="n">
        <v>2</v>
      </c>
      <c r="G874" s="28"/>
      <c r="H874" s="26"/>
      <c r="I874" s="26"/>
      <c r="J874" s="26" t="s">
        <v>162</v>
      </c>
      <c r="K874" s="29" t="str">
        <f aca="false">IF($A874="","",IF(COUNTIFS(tblMoveTypes[Movement],$E874)=0,"Unknown movement type",IF(COUNTIF(tblShipment[Shipment ID],$C874)=0,"Unknown shipment",IF(COUNTIFS(tblShipment[Shipment ID],$C874,tblShipment[Market],$B874)=0,"Market does not match shipment",IF(AND(IFERROR(INDEX(tblMoveTypes[Item?],MATCH($E874,tblMoveTypes[Movement],0)),"?")="Yes",$D874=""),"Item needed",IF(AND(IFERROR(INDEX(tblMoveTypes[Item?],MATCH($E874,tblMoveTypes[Movement],0)),"?")="No",$D874&lt;&gt;""),"Leave Item blank",IF(AND(IFERROR(INDEX(tblMoveTypes[Courier?],MATCH($E874,tblMoveTypes[Movement],0)),"?")="Yes",$H874=""),"Courier needed",IF(AND(IFERROR(INDEX(tblMoveTypes[Courier?],MATCH($E874,tblMoveTypes[Movement],0)),"?")="No",$H874&lt;&gt;""),"Leave Courier blank",IF(AND(IFERROR(INDEX(tblMoveTypes[Orders?],MATCH($E874,tblMoveTypes[Movement],0)),"?")="Yes",$G874=""),"Orders needed",IF(AND(IFERROR(INDEX(tblMoveTypes[Orders?],MATCH($E874,tblMoveTypes[Movement],0)),"?")="No",$G874&lt;&gt;""),"Leave Orders blank",IF(AND(IFERROR(INDEX(tblMoveTypes[Reason?],MATCH($E874,tblMoveTypes[Movement],0)),"?")="Yes",$I874=""),"Reason needed",IF(AND(IFERROR(INDEX(tblMoveTypes[Qty?],MATCH($E874,tblMoveTypes[Movement],0)),"?")="Yes",N($F874)&lt;=0),"Qty needed",IF($A874&lt;_xlfn.MINIFS(tblShipment[Arrival Date],tblShipment[Shipment ID],$C874),"Date before arrival",IF(AND($D874&lt;&gt;"",COUNTIFS(tblShipment[Shipment ID],$C874,tblShipment[Item Code],$D874)=0),"Item not in this shipment",IF(AND($H874&lt;&gt;"",COUNTIFS(tblCouriers[Courier],$H874,tblCouriers[Market],$B874)=0),"Courier not in this market","OK")))))))))))))))</f>
        <v>OK</v>
      </c>
    </row>
    <row r="875" customFormat="false" ht="15" hidden="false" customHeight="false" outlineLevel="0" collapsed="false">
      <c r="A875" s="27" t="n">
        <v>46248</v>
      </c>
      <c r="B875" s="26" t="s">
        <v>90</v>
      </c>
      <c r="C875" s="26" t="s">
        <v>153</v>
      </c>
      <c r="D875" s="26" t="s">
        <v>94</v>
      </c>
      <c r="E875" s="26" t="s">
        <v>74</v>
      </c>
      <c r="F875" s="28" t="n">
        <v>98</v>
      </c>
      <c r="G875" s="28"/>
      <c r="H875" s="26"/>
      <c r="I875" s="26"/>
      <c r="J875" s="26"/>
      <c r="K875" s="29" t="str">
        <f aca="false">IF($A875="","",IF(COUNTIFS(tblMoveTypes[Movement],$E875)=0,"Unknown movement type",IF(COUNTIF(tblShipment[Shipment ID],$C875)=0,"Unknown shipment",IF(COUNTIFS(tblShipment[Shipment ID],$C875,tblShipment[Market],$B875)=0,"Market does not match shipment",IF(AND(IFERROR(INDEX(tblMoveTypes[Item?],MATCH($E875,tblMoveTypes[Movement],0)),"?")="Yes",$D875=""),"Item needed",IF(AND(IFERROR(INDEX(tblMoveTypes[Item?],MATCH($E875,tblMoveTypes[Movement],0)),"?")="No",$D875&lt;&gt;""),"Leave Item blank",IF(AND(IFERROR(INDEX(tblMoveTypes[Courier?],MATCH($E875,tblMoveTypes[Movement],0)),"?")="Yes",$H875=""),"Courier needed",IF(AND(IFERROR(INDEX(tblMoveTypes[Courier?],MATCH($E875,tblMoveTypes[Movement],0)),"?")="No",$H875&lt;&gt;""),"Leave Courier blank",IF(AND(IFERROR(INDEX(tblMoveTypes[Orders?],MATCH($E875,tblMoveTypes[Movement],0)),"?")="Yes",$G875=""),"Orders needed",IF(AND(IFERROR(INDEX(tblMoveTypes[Orders?],MATCH($E875,tblMoveTypes[Movement],0)),"?")="No",$G875&lt;&gt;""),"Leave Orders blank",IF(AND(IFERROR(INDEX(tblMoveTypes[Reason?],MATCH($E875,tblMoveTypes[Movement],0)),"?")="Yes",$I875=""),"Reason needed",IF(AND(IFERROR(INDEX(tblMoveTypes[Qty?],MATCH($E875,tblMoveTypes[Movement],0)),"?")="Yes",N($F875)&lt;=0),"Qty needed",IF($A875&lt;_xlfn.MINIFS(tblShipment[Arrival Date],tblShipment[Shipment ID],$C875),"Date before arrival",IF(AND($D875&lt;&gt;"",COUNTIFS(tblShipment[Shipment ID],$C875,tblShipment[Item Code],$D875)=0),"Item not in this shipment",IF(AND($H875&lt;&gt;"",COUNTIFS(tblCouriers[Courier],$H875,tblCouriers[Market],$B875)=0),"Courier not in this market","OK")))))))))))))))</f>
        <v>OK</v>
      </c>
    </row>
    <row r="876" customFormat="false" ht="15" hidden="false" customHeight="false" outlineLevel="0" collapsed="false">
      <c r="A876" s="27" t="n">
        <v>46248</v>
      </c>
      <c r="B876" s="26" t="s">
        <v>90</v>
      </c>
      <c r="C876" s="26" t="s">
        <v>153</v>
      </c>
      <c r="D876" s="26" t="s">
        <v>83</v>
      </c>
      <c r="E876" s="26" t="s">
        <v>74</v>
      </c>
      <c r="F876" s="28" t="n">
        <v>50</v>
      </c>
      <c r="G876" s="28"/>
      <c r="H876" s="26"/>
      <c r="I876" s="26"/>
      <c r="J876" s="26"/>
      <c r="K876" s="29" t="str">
        <f aca="false">IF($A876="","",IF(COUNTIFS(tblMoveTypes[Movement],$E876)=0,"Unknown movement type",IF(COUNTIF(tblShipment[Shipment ID],$C876)=0,"Unknown shipment",IF(COUNTIFS(tblShipment[Shipment ID],$C876,tblShipment[Market],$B876)=0,"Market does not match shipment",IF(AND(IFERROR(INDEX(tblMoveTypes[Item?],MATCH($E876,tblMoveTypes[Movement],0)),"?")="Yes",$D876=""),"Item needed",IF(AND(IFERROR(INDEX(tblMoveTypes[Item?],MATCH($E876,tblMoveTypes[Movement],0)),"?")="No",$D876&lt;&gt;""),"Leave Item blank",IF(AND(IFERROR(INDEX(tblMoveTypes[Courier?],MATCH($E876,tblMoveTypes[Movement],0)),"?")="Yes",$H876=""),"Courier needed",IF(AND(IFERROR(INDEX(tblMoveTypes[Courier?],MATCH($E876,tblMoveTypes[Movement],0)),"?")="No",$H876&lt;&gt;""),"Leave Courier blank",IF(AND(IFERROR(INDEX(tblMoveTypes[Orders?],MATCH($E876,tblMoveTypes[Movement],0)),"?")="Yes",$G876=""),"Orders needed",IF(AND(IFERROR(INDEX(tblMoveTypes[Orders?],MATCH($E876,tblMoveTypes[Movement],0)),"?")="No",$G876&lt;&gt;""),"Leave Orders blank",IF(AND(IFERROR(INDEX(tblMoveTypes[Reason?],MATCH($E876,tblMoveTypes[Movement],0)),"?")="Yes",$I876=""),"Reason needed",IF(AND(IFERROR(INDEX(tblMoveTypes[Qty?],MATCH($E876,tblMoveTypes[Movement],0)),"?")="Yes",N($F876)&lt;=0),"Qty needed",IF($A876&lt;_xlfn.MINIFS(tblShipment[Arrival Date],tblShipment[Shipment ID],$C876),"Date before arrival",IF(AND($D876&lt;&gt;"",COUNTIFS(tblShipment[Shipment ID],$C876,tblShipment[Item Code],$D876)=0),"Item not in this shipment",IF(AND($H876&lt;&gt;"",COUNTIFS(tblCouriers[Courier],$H876,tblCouriers[Market],$B876)=0),"Courier not in this market","OK")))))))))))))))</f>
        <v>OK</v>
      </c>
    </row>
    <row r="877" customFormat="false" ht="15" hidden="false" customHeight="false" outlineLevel="0" collapsed="false">
      <c r="A877" s="27" t="n">
        <v>46248</v>
      </c>
      <c r="B877" s="26" t="s">
        <v>90</v>
      </c>
      <c r="C877" s="26" t="s">
        <v>153</v>
      </c>
      <c r="D877" s="26" t="s">
        <v>88</v>
      </c>
      <c r="E877" s="26" t="s">
        <v>74</v>
      </c>
      <c r="F877" s="28" t="n">
        <v>80</v>
      </c>
      <c r="G877" s="28"/>
      <c r="H877" s="26"/>
      <c r="I877" s="26"/>
      <c r="J877" s="26"/>
      <c r="K877" s="29" t="str">
        <f aca="false">IF($A877="","",IF(COUNTIFS(tblMoveTypes[Movement],$E877)=0,"Unknown movement type",IF(COUNTIF(tblShipment[Shipment ID],$C877)=0,"Unknown shipment",IF(COUNTIFS(tblShipment[Shipment ID],$C877,tblShipment[Market],$B877)=0,"Market does not match shipment",IF(AND(IFERROR(INDEX(tblMoveTypes[Item?],MATCH($E877,tblMoveTypes[Movement],0)),"?")="Yes",$D877=""),"Item needed",IF(AND(IFERROR(INDEX(tblMoveTypes[Item?],MATCH($E877,tblMoveTypes[Movement],0)),"?")="No",$D877&lt;&gt;""),"Leave Item blank",IF(AND(IFERROR(INDEX(tblMoveTypes[Courier?],MATCH($E877,tblMoveTypes[Movement],0)),"?")="Yes",$H877=""),"Courier needed",IF(AND(IFERROR(INDEX(tblMoveTypes[Courier?],MATCH($E877,tblMoveTypes[Movement],0)),"?")="No",$H877&lt;&gt;""),"Leave Courier blank",IF(AND(IFERROR(INDEX(tblMoveTypes[Orders?],MATCH($E877,tblMoveTypes[Movement],0)),"?")="Yes",$G877=""),"Orders needed",IF(AND(IFERROR(INDEX(tblMoveTypes[Orders?],MATCH($E877,tblMoveTypes[Movement],0)),"?")="No",$G877&lt;&gt;""),"Leave Orders blank",IF(AND(IFERROR(INDEX(tblMoveTypes[Reason?],MATCH($E877,tblMoveTypes[Movement],0)),"?")="Yes",$I877=""),"Reason needed",IF(AND(IFERROR(INDEX(tblMoveTypes[Qty?],MATCH($E877,tblMoveTypes[Movement],0)),"?")="Yes",N($F877)&lt;=0),"Qty needed",IF($A877&lt;_xlfn.MINIFS(tblShipment[Arrival Date],tblShipment[Shipment ID],$C877),"Date before arrival",IF(AND($D877&lt;&gt;"",COUNTIFS(tblShipment[Shipment ID],$C877,tblShipment[Item Code],$D877)=0),"Item not in this shipment",IF(AND($H877&lt;&gt;"",COUNTIFS(tblCouriers[Courier],$H877,tblCouriers[Market],$B877)=0),"Courier not in this market","OK")))))))))))))))</f>
        <v>OK</v>
      </c>
    </row>
    <row r="878" customFormat="false" ht="15" hidden="false" customHeight="false" outlineLevel="0" collapsed="false">
      <c r="A878" s="27" t="n">
        <v>46248</v>
      </c>
      <c r="B878" s="26" t="s">
        <v>90</v>
      </c>
      <c r="C878" s="26" t="s">
        <v>153</v>
      </c>
      <c r="D878" s="26" t="s">
        <v>76</v>
      </c>
      <c r="E878" s="26" t="s">
        <v>74</v>
      </c>
      <c r="F878" s="28" t="n">
        <v>80</v>
      </c>
      <c r="G878" s="28"/>
      <c r="H878" s="26"/>
      <c r="I878" s="26"/>
      <c r="J878" s="26"/>
      <c r="K878" s="29" t="str">
        <f aca="false">IF($A878="","",IF(COUNTIFS(tblMoveTypes[Movement],$E878)=0,"Unknown movement type",IF(COUNTIF(tblShipment[Shipment ID],$C878)=0,"Unknown shipment",IF(COUNTIFS(tblShipment[Shipment ID],$C878,tblShipment[Market],$B878)=0,"Market does not match shipment",IF(AND(IFERROR(INDEX(tblMoveTypes[Item?],MATCH($E878,tblMoveTypes[Movement],0)),"?")="Yes",$D878=""),"Item needed",IF(AND(IFERROR(INDEX(tblMoveTypes[Item?],MATCH($E878,tblMoveTypes[Movement],0)),"?")="No",$D878&lt;&gt;""),"Leave Item blank",IF(AND(IFERROR(INDEX(tblMoveTypes[Courier?],MATCH($E878,tblMoveTypes[Movement],0)),"?")="Yes",$H878=""),"Courier needed",IF(AND(IFERROR(INDEX(tblMoveTypes[Courier?],MATCH($E878,tblMoveTypes[Movement],0)),"?")="No",$H878&lt;&gt;""),"Leave Courier blank",IF(AND(IFERROR(INDEX(tblMoveTypes[Orders?],MATCH($E878,tblMoveTypes[Movement],0)),"?")="Yes",$G878=""),"Orders needed",IF(AND(IFERROR(INDEX(tblMoveTypes[Orders?],MATCH($E878,tblMoveTypes[Movement],0)),"?")="No",$G878&lt;&gt;""),"Leave Orders blank",IF(AND(IFERROR(INDEX(tblMoveTypes[Reason?],MATCH($E878,tblMoveTypes[Movement],0)),"?")="Yes",$I878=""),"Reason needed",IF(AND(IFERROR(INDEX(tblMoveTypes[Qty?],MATCH($E878,tblMoveTypes[Movement],0)),"?")="Yes",N($F878)&lt;=0),"Qty needed",IF($A878&lt;_xlfn.MINIFS(tblShipment[Arrival Date],tblShipment[Shipment ID],$C878),"Date before arrival",IF(AND($D878&lt;&gt;"",COUNTIFS(tblShipment[Shipment ID],$C878,tblShipment[Item Code],$D878)=0),"Item not in this shipment",IF(AND($H878&lt;&gt;"",COUNTIFS(tblCouriers[Courier],$H878,tblCouriers[Market],$B878)=0),"Courier not in this market","OK")))))))))))))))</f>
        <v>OK</v>
      </c>
    </row>
    <row r="879" customFormat="false" ht="15" hidden="false" customHeight="false" outlineLevel="0" collapsed="false">
      <c r="A879" s="27" t="n">
        <v>46248</v>
      </c>
      <c r="B879" s="26" t="s">
        <v>90</v>
      </c>
      <c r="C879" s="26" t="s">
        <v>153</v>
      </c>
      <c r="D879" s="26"/>
      <c r="E879" s="26" t="s">
        <v>98</v>
      </c>
      <c r="F879" s="28"/>
      <c r="G879" s="28" t="n">
        <v>44</v>
      </c>
      <c r="H879" s="26"/>
      <c r="I879" s="26"/>
      <c r="J879" s="26"/>
      <c r="K879" s="29" t="str">
        <f aca="false">IF($A879="","",IF(COUNTIFS(tblMoveTypes[Movement],$E879)=0,"Unknown movement type",IF(COUNTIF(tblShipment[Shipment ID],$C879)=0,"Unknown shipment",IF(COUNTIFS(tblShipment[Shipment ID],$C879,tblShipment[Market],$B879)=0,"Market does not match shipment",IF(AND(IFERROR(INDEX(tblMoveTypes[Item?],MATCH($E879,tblMoveTypes[Movement],0)),"?")="Yes",$D879=""),"Item needed",IF(AND(IFERROR(INDEX(tblMoveTypes[Item?],MATCH($E879,tblMoveTypes[Movement],0)),"?")="No",$D879&lt;&gt;""),"Leave Item blank",IF(AND(IFERROR(INDEX(tblMoveTypes[Courier?],MATCH($E879,tblMoveTypes[Movement],0)),"?")="Yes",$H879=""),"Courier needed",IF(AND(IFERROR(INDEX(tblMoveTypes[Courier?],MATCH($E879,tblMoveTypes[Movement],0)),"?")="No",$H879&lt;&gt;""),"Leave Courier blank",IF(AND(IFERROR(INDEX(tblMoveTypes[Orders?],MATCH($E879,tblMoveTypes[Movement],0)),"?")="Yes",$G879=""),"Orders needed",IF(AND(IFERROR(INDEX(tblMoveTypes[Orders?],MATCH($E879,tblMoveTypes[Movement],0)),"?")="No",$G879&lt;&gt;""),"Leave Orders blank",IF(AND(IFERROR(INDEX(tblMoveTypes[Reason?],MATCH($E879,tblMoveTypes[Movement],0)),"?")="Yes",$I879=""),"Reason needed",IF(AND(IFERROR(INDEX(tblMoveTypes[Qty?],MATCH($E879,tblMoveTypes[Movement],0)),"?")="Yes",N($F879)&lt;=0),"Qty needed",IF($A879&lt;_xlfn.MINIFS(tblShipment[Arrival Date],tblShipment[Shipment ID],$C879),"Date before arrival",IF(AND($D879&lt;&gt;"",COUNTIFS(tblShipment[Shipment ID],$C879,tblShipment[Item Code],$D879)=0),"Item not in this shipment",IF(AND($H879&lt;&gt;"",COUNTIFS(tblCouriers[Courier],$H879,tblCouriers[Market],$B879)=0),"Courier not in this market","OK")))))))))))))))</f>
        <v>OK</v>
      </c>
    </row>
    <row r="880" customFormat="false" ht="15" hidden="false" customHeight="false" outlineLevel="0" collapsed="false">
      <c r="A880" s="27" t="n">
        <v>46248</v>
      </c>
      <c r="B880" s="26" t="s">
        <v>90</v>
      </c>
      <c r="C880" s="26" t="s">
        <v>153</v>
      </c>
      <c r="D880" s="26" t="s">
        <v>94</v>
      </c>
      <c r="E880" s="26" t="s">
        <v>73</v>
      </c>
      <c r="F880" s="28" t="n">
        <v>7</v>
      </c>
      <c r="G880" s="28"/>
      <c r="H880" s="26"/>
      <c r="I880" s="26" t="s">
        <v>87</v>
      </c>
      <c r="J880" s="26"/>
      <c r="K880" s="29" t="str">
        <f aca="false">IF($A880="","",IF(COUNTIFS(tblMoveTypes[Movement],$E880)=0,"Unknown movement type",IF(COUNTIF(tblShipment[Shipment ID],$C880)=0,"Unknown shipment",IF(COUNTIFS(tblShipment[Shipment ID],$C880,tblShipment[Market],$B880)=0,"Market does not match shipment",IF(AND(IFERROR(INDEX(tblMoveTypes[Item?],MATCH($E880,tblMoveTypes[Movement],0)),"?")="Yes",$D880=""),"Item needed",IF(AND(IFERROR(INDEX(tblMoveTypes[Item?],MATCH($E880,tblMoveTypes[Movement],0)),"?")="No",$D880&lt;&gt;""),"Leave Item blank",IF(AND(IFERROR(INDEX(tblMoveTypes[Courier?],MATCH($E880,tblMoveTypes[Movement],0)),"?")="Yes",$H880=""),"Courier needed",IF(AND(IFERROR(INDEX(tblMoveTypes[Courier?],MATCH($E880,tblMoveTypes[Movement],0)),"?")="No",$H880&lt;&gt;""),"Leave Courier blank",IF(AND(IFERROR(INDEX(tblMoveTypes[Orders?],MATCH($E880,tblMoveTypes[Movement],0)),"?")="Yes",$G880=""),"Orders needed",IF(AND(IFERROR(INDEX(tblMoveTypes[Orders?],MATCH($E880,tblMoveTypes[Movement],0)),"?")="No",$G880&lt;&gt;""),"Leave Orders blank",IF(AND(IFERROR(INDEX(tblMoveTypes[Reason?],MATCH($E880,tblMoveTypes[Movement],0)),"?")="Yes",$I880=""),"Reason needed",IF(AND(IFERROR(INDEX(tblMoveTypes[Qty?],MATCH($E880,tblMoveTypes[Movement],0)),"?")="Yes",N($F880)&lt;=0),"Qty needed",IF($A880&lt;_xlfn.MINIFS(tblShipment[Arrival Date],tblShipment[Shipment ID],$C880),"Date before arrival",IF(AND($D880&lt;&gt;"",COUNTIFS(tblShipment[Shipment ID],$C880,tblShipment[Item Code],$D880)=0),"Item not in this shipment",IF(AND($H880&lt;&gt;"",COUNTIFS(tblCouriers[Courier],$H880,tblCouriers[Market],$B880)=0),"Courier not in this market","OK")))))))))))))))</f>
        <v>OK</v>
      </c>
    </row>
    <row r="881" customFormat="false" ht="15" hidden="false" customHeight="false" outlineLevel="0" collapsed="false">
      <c r="A881" s="27" t="n">
        <v>46248</v>
      </c>
      <c r="B881" s="26" t="s">
        <v>90</v>
      </c>
      <c r="C881" s="26" t="s">
        <v>153</v>
      </c>
      <c r="D881" s="26" t="s">
        <v>83</v>
      </c>
      <c r="E881" s="26" t="s">
        <v>73</v>
      </c>
      <c r="F881" s="28" t="n">
        <v>2</v>
      </c>
      <c r="G881" s="28"/>
      <c r="H881" s="26"/>
      <c r="I881" s="26" t="s">
        <v>80</v>
      </c>
      <c r="J881" s="26"/>
      <c r="K881" s="29" t="str">
        <f aca="false">IF($A881="","",IF(COUNTIFS(tblMoveTypes[Movement],$E881)=0,"Unknown movement type",IF(COUNTIF(tblShipment[Shipment ID],$C881)=0,"Unknown shipment",IF(COUNTIFS(tblShipment[Shipment ID],$C881,tblShipment[Market],$B881)=0,"Market does not match shipment",IF(AND(IFERROR(INDEX(tblMoveTypes[Item?],MATCH($E881,tblMoveTypes[Movement],0)),"?")="Yes",$D881=""),"Item needed",IF(AND(IFERROR(INDEX(tblMoveTypes[Item?],MATCH($E881,tblMoveTypes[Movement],0)),"?")="No",$D881&lt;&gt;""),"Leave Item blank",IF(AND(IFERROR(INDEX(tblMoveTypes[Courier?],MATCH($E881,tblMoveTypes[Movement],0)),"?")="Yes",$H881=""),"Courier needed",IF(AND(IFERROR(INDEX(tblMoveTypes[Courier?],MATCH($E881,tblMoveTypes[Movement],0)),"?")="No",$H881&lt;&gt;""),"Leave Courier blank",IF(AND(IFERROR(INDEX(tblMoveTypes[Orders?],MATCH($E881,tblMoveTypes[Movement],0)),"?")="Yes",$G881=""),"Orders needed",IF(AND(IFERROR(INDEX(tblMoveTypes[Orders?],MATCH($E881,tblMoveTypes[Movement],0)),"?")="No",$G881&lt;&gt;""),"Leave Orders blank",IF(AND(IFERROR(INDEX(tblMoveTypes[Reason?],MATCH($E881,tblMoveTypes[Movement],0)),"?")="Yes",$I881=""),"Reason needed",IF(AND(IFERROR(INDEX(tblMoveTypes[Qty?],MATCH($E881,tblMoveTypes[Movement],0)),"?")="Yes",N($F881)&lt;=0),"Qty needed",IF($A881&lt;_xlfn.MINIFS(tblShipment[Arrival Date],tblShipment[Shipment ID],$C881),"Date before arrival",IF(AND($D881&lt;&gt;"",COUNTIFS(tblShipment[Shipment ID],$C881,tblShipment[Item Code],$D881)=0),"Item not in this shipment",IF(AND($H881&lt;&gt;"",COUNTIFS(tblCouriers[Courier],$H881,tblCouriers[Market],$B881)=0),"Courier not in this market","OK")))))))))))))))</f>
        <v>OK</v>
      </c>
    </row>
    <row r="882" customFormat="false" ht="15" hidden="false" customHeight="false" outlineLevel="0" collapsed="false">
      <c r="A882" s="27" t="n">
        <v>46248</v>
      </c>
      <c r="B882" s="26" t="s">
        <v>90</v>
      </c>
      <c r="C882" s="26" t="s">
        <v>153</v>
      </c>
      <c r="D882" s="26" t="s">
        <v>88</v>
      </c>
      <c r="E882" s="26" t="s">
        <v>73</v>
      </c>
      <c r="F882" s="28" t="n">
        <v>5</v>
      </c>
      <c r="G882" s="28"/>
      <c r="H882" s="26"/>
      <c r="I882" s="26" t="s">
        <v>87</v>
      </c>
      <c r="J882" s="26"/>
      <c r="K882" s="29" t="str">
        <f aca="false">IF($A882="","",IF(COUNTIFS(tblMoveTypes[Movement],$E882)=0,"Unknown movement type",IF(COUNTIF(tblShipment[Shipment ID],$C882)=0,"Unknown shipment",IF(COUNTIFS(tblShipment[Shipment ID],$C882,tblShipment[Market],$B882)=0,"Market does not match shipment",IF(AND(IFERROR(INDEX(tblMoveTypes[Item?],MATCH($E882,tblMoveTypes[Movement],0)),"?")="Yes",$D882=""),"Item needed",IF(AND(IFERROR(INDEX(tblMoveTypes[Item?],MATCH($E882,tblMoveTypes[Movement],0)),"?")="No",$D882&lt;&gt;""),"Leave Item blank",IF(AND(IFERROR(INDEX(tblMoveTypes[Courier?],MATCH($E882,tblMoveTypes[Movement],0)),"?")="Yes",$H882=""),"Courier needed",IF(AND(IFERROR(INDEX(tblMoveTypes[Courier?],MATCH($E882,tblMoveTypes[Movement],0)),"?")="No",$H882&lt;&gt;""),"Leave Courier blank",IF(AND(IFERROR(INDEX(tblMoveTypes[Orders?],MATCH($E882,tblMoveTypes[Movement],0)),"?")="Yes",$G882=""),"Orders needed",IF(AND(IFERROR(INDEX(tblMoveTypes[Orders?],MATCH($E882,tblMoveTypes[Movement],0)),"?")="No",$G882&lt;&gt;""),"Leave Orders blank",IF(AND(IFERROR(INDEX(tblMoveTypes[Reason?],MATCH($E882,tblMoveTypes[Movement],0)),"?")="Yes",$I882=""),"Reason needed",IF(AND(IFERROR(INDEX(tblMoveTypes[Qty?],MATCH($E882,tblMoveTypes[Movement],0)),"?")="Yes",N($F882)&lt;=0),"Qty needed",IF($A882&lt;_xlfn.MINIFS(tblShipment[Arrival Date],tblShipment[Shipment ID],$C882),"Date before arrival",IF(AND($D882&lt;&gt;"",COUNTIFS(tblShipment[Shipment ID],$C882,tblShipment[Item Code],$D882)=0),"Item not in this shipment",IF(AND($H882&lt;&gt;"",COUNTIFS(tblCouriers[Courier],$H882,tblCouriers[Market],$B882)=0),"Courier not in this market","OK")))))))))))))))</f>
        <v>OK</v>
      </c>
    </row>
    <row r="883" customFormat="false" ht="15" hidden="false" customHeight="false" outlineLevel="0" collapsed="false">
      <c r="A883" s="27" t="n">
        <v>46248</v>
      </c>
      <c r="B883" s="26" t="s">
        <v>90</v>
      </c>
      <c r="C883" s="26" t="s">
        <v>153</v>
      </c>
      <c r="D883" s="26" t="s">
        <v>76</v>
      </c>
      <c r="E883" s="26" t="s">
        <v>73</v>
      </c>
      <c r="F883" s="28" t="n">
        <v>5</v>
      </c>
      <c r="G883" s="28"/>
      <c r="H883" s="26"/>
      <c r="I883" s="26" t="s">
        <v>87</v>
      </c>
      <c r="J883" s="26"/>
      <c r="K883" s="29" t="str">
        <f aca="false">IF($A883="","",IF(COUNTIFS(tblMoveTypes[Movement],$E883)=0,"Unknown movement type",IF(COUNTIF(tblShipment[Shipment ID],$C883)=0,"Unknown shipment",IF(COUNTIFS(tblShipment[Shipment ID],$C883,tblShipment[Market],$B883)=0,"Market does not match shipment",IF(AND(IFERROR(INDEX(tblMoveTypes[Item?],MATCH($E883,tblMoveTypes[Movement],0)),"?")="Yes",$D883=""),"Item needed",IF(AND(IFERROR(INDEX(tblMoveTypes[Item?],MATCH($E883,tblMoveTypes[Movement],0)),"?")="No",$D883&lt;&gt;""),"Leave Item blank",IF(AND(IFERROR(INDEX(tblMoveTypes[Courier?],MATCH($E883,tblMoveTypes[Movement],0)),"?")="Yes",$H883=""),"Courier needed",IF(AND(IFERROR(INDEX(tblMoveTypes[Courier?],MATCH($E883,tblMoveTypes[Movement],0)),"?")="No",$H883&lt;&gt;""),"Leave Courier blank",IF(AND(IFERROR(INDEX(tblMoveTypes[Orders?],MATCH($E883,tblMoveTypes[Movement],0)),"?")="Yes",$G883=""),"Orders needed",IF(AND(IFERROR(INDEX(tblMoveTypes[Orders?],MATCH($E883,tblMoveTypes[Movement],0)),"?")="No",$G883&lt;&gt;""),"Leave Orders blank",IF(AND(IFERROR(INDEX(tblMoveTypes[Reason?],MATCH($E883,tblMoveTypes[Movement],0)),"?")="Yes",$I883=""),"Reason needed",IF(AND(IFERROR(INDEX(tblMoveTypes[Qty?],MATCH($E883,tblMoveTypes[Movement],0)),"?")="Yes",N($F883)&lt;=0),"Qty needed",IF($A883&lt;_xlfn.MINIFS(tblShipment[Arrival Date],tblShipment[Shipment ID],$C883),"Date before arrival",IF(AND($D883&lt;&gt;"",COUNTIFS(tblShipment[Shipment ID],$C883,tblShipment[Item Code],$D883)=0),"Item not in this shipment",IF(AND($H883&lt;&gt;"",COUNTIFS(tblCouriers[Courier],$H883,tblCouriers[Market],$B883)=0),"Courier not in this market","OK")))))))))))))))</f>
        <v>OK</v>
      </c>
    </row>
    <row r="884" customFormat="false" ht="15" hidden="false" customHeight="false" outlineLevel="0" collapsed="false">
      <c r="A884" s="27" t="n">
        <v>46248</v>
      </c>
      <c r="B884" s="26" t="s">
        <v>90</v>
      </c>
      <c r="C884" s="26" t="s">
        <v>153</v>
      </c>
      <c r="D884" s="26" t="s">
        <v>94</v>
      </c>
      <c r="E884" s="26" t="s">
        <v>93</v>
      </c>
      <c r="F884" s="28" t="n">
        <v>38</v>
      </c>
      <c r="G884" s="28"/>
      <c r="H884" s="26" t="s">
        <v>101</v>
      </c>
      <c r="I884" s="26"/>
      <c r="J884" s="26"/>
      <c r="K884" s="29" t="str">
        <f aca="false">IF($A884="","",IF(COUNTIFS(tblMoveTypes[Movement],$E884)=0,"Unknown movement type",IF(COUNTIF(tblShipment[Shipment ID],$C884)=0,"Unknown shipment",IF(COUNTIFS(tblShipment[Shipment ID],$C884,tblShipment[Market],$B884)=0,"Market does not match shipment",IF(AND(IFERROR(INDEX(tblMoveTypes[Item?],MATCH($E884,tblMoveTypes[Movement],0)),"?")="Yes",$D884=""),"Item needed",IF(AND(IFERROR(INDEX(tblMoveTypes[Item?],MATCH($E884,tblMoveTypes[Movement],0)),"?")="No",$D884&lt;&gt;""),"Leave Item blank",IF(AND(IFERROR(INDEX(tblMoveTypes[Courier?],MATCH($E884,tblMoveTypes[Movement],0)),"?")="Yes",$H884=""),"Courier needed",IF(AND(IFERROR(INDEX(tblMoveTypes[Courier?],MATCH($E884,tblMoveTypes[Movement],0)),"?")="No",$H884&lt;&gt;""),"Leave Courier blank",IF(AND(IFERROR(INDEX(tblMoveTypes[Orders?],MATCH($E884,tblMoveTypes[Movement],0)),"?")="Yes",$G884=""),"Orders needed",IF(AND(IFERROR(INDEX(tblMoveTypes[Orders?],MATCH($E884,tblMoveTypes[Movement],0)),"?")="No",$G884&lt;&gt;""),"Leave Orders blank",IF(AND(IFERROR(INDEX(tblMoveTypes[Reason?],MATCH($E884,tblMoveTypes[Movement],0)),"?")="Yes",$I884=""),"Reason needed",IF(AND(IFERROR(INDEX(tblMoveTypes[Qty?],MATCH($E884,tblMoveTypes[Movement],0)),"?")="Yes",N($F884)&lt;=0),"Qty needed",IF($A884&lt;_xlfn.MINIFS(tblShipment[Arrival Date],tblShipment[Shipment ID],$C884),"Date before arrival",IF(AND($D884&lt;&gt;"",COUNTIFS(tblShipment[Shipment ID],$C884,tblShipment[Item Code],$D884)=0),"Item not in this shipment",IF(AND($H884&lt;&gt;"",COUNTIFS(tblCouriers[Courier],$H884,tblCouriers[Market],$B884)=0),"Courier not in this market","OK")))))))))))))))</f>
        <v>OK</v>
      </c>
    </row>
    <row r="885" customFormat="false" ht="15" hidden="false" customHeight="false" outlineLevel="0" collapsed="false">
      <c r="A885" s="27" t="n">
        <v>46248</v>
      </c>
      <c r="B885" s="26" t="s">
        <v>90</v>
      </c>
      <c r="C885" s="26" t="s">
        <v>153</v>
      </c>
      <c r="D885" s="26" t="s">
        <v>83</v>
      </c>
      <c r="E885" s="26" t="s">
        <v>93</v>
      </c>
      <c r="F885" s="28" t="n">
        <v>20</v>
      </c>
      <c r="G885" s="28"/>
      <c r="H885" s="26" t="s">
        <v>101</v>
      </c>
      <c r="I885" s="26"/>
      <c r="J885" s="26"/>
      <c r="K885" s="29" t="str">
        <f aca="false">IF($A885="","",IF(COUNTIFS(tblMoveTypes[Movement],$E885)=0,"Unknown movement type",IF(COUNTIF(tblShipment[Shipment ID],$C885)=0,"Unknown shipment",IF(COUNTIFS(tblShipment[Shipment ID],$C885,tblShipment[Market],$B885)=0,"Market does not match shipment",IF(AND(IFERROR(INDEX(tblMoveTypes[Item?],MATCH($E885,tblMoveTypes[Movement],0)),"?")="Yes",$D885=""),"Item needed",IF(AND(IFERROR(INDEX(tblMoveTypes[Item?],MATCH($E885,tblMoveTypes[Movement],0)),"?")="No",$D885&lt;&gt;""),"Leave Item blank",IF(AND(IFERROR(INDEX(tblMoveTypes[Courier?],MATCH($E885,tblMoveTypes[Movement],0)),"?")="Yes",$H885=""),"Courier needed",IF(AND(IFERROR(INDEX(tblMoveTypes[Courier?],MATCH($E885,tblMoveTypes[Movement],0)),"?")="No",$H885&lt;&gt;""),"Leave Courier blank",IF(AND(IFERROR(INDEX(tblMoveTypes[Orders?],MATCH($E885,tblMoveTypes[Movement],0)),"?")="Yes",$G885=""),"Orders needed",IF(AND(IFERROR(INDEX(tblMoveTypes[Orders?],MATCH($E885,tblMoveTypes[Movement],0)),"?")="No",$G885&lt;&gt;""),"Leave Orders blank",IF(AND(IFERROR(INDEX(tblMoveTypes[Reason?],MATCH($E885,tblMoveTypes[Movement],0)),"?")="Yes",$I885=""),"Reason needed",IF(AND(IFERROR(INDEX(tblMoveTypes[Qty?],MATCH($E885,tblMoveTypes[Movement],0)),"?")="Yes",N($F885)&lt;=0),"Qty needed",IF($A885&lt;_xlfn.MINIFS(tblShipment[Arrival Date],tblShipment[Shipment ID],$C885),"Date before arrival",IF(AND($D885&lt;&gt;"",COUNTIFS(tblShipment[Shipment ID],$C885,tblShipment[Item Code],$D885)=0),"Item not in this shipment",IF(AND($H885&lt;&gt;"",COUNTIFS(tblCouriers[Courier],$H885,tblCouriers[Market],$B885)=0),"Courier not in this market","OK")))))))))))))))</f>
        <v>OK</v>
      </c>
    </row>
    <row r="886" customFormat="false" ht="15" hidden="false" customHeight="false" outlineLevel="0" collapsed="false">
      <c r="A886" s="27" t="n">
        <v>46248</v>
      </c>
      <c r="B886" s="26" t="s">
        <v>90</v>
      </c>
      <c r="C886" s="26" t="s">
        <v>153</v>
      </c>
      <c r="D886" s="26" t="s">
        <v>88</v>
      </c>
      <c r="E886" s="26" t="s">
        <v>93</v>
      </c>
      <c r="F886" s="28" t="n">
        <v>31</v>
      </c>
      <c r="G886" s="28"/>
      <c r="H886" s="26" t="s">
        <v>101</v>
      </c>
      <c r="I886" s="26"/>
      <c r="J886" s="26"/>
      <c r="K886" s="29" t="str">
        <f aca="false">IF($A886="","",IF(COUNTIFS(tblMoveTypes[Movement],$E886)=0,"Unknown movement type",IF(COUNTIF(tblShipment[Shipment ID],$C886)=0,"Unknown shipment",IF(COUNTIFS(tblShipment[Shipment ID],$C886,tblShipment[Market],$B886)=0,"Market does not match shipment",IF(AND(IFERROR(INDEX(tblMoveTypes[Item?],MATCH($E886,tblMoveTypes[Movement],0)),"?")="Yes",$D886=""),"Item needed",IF(AND(IFERROR(INDEX(tblMoveTypes[Item?],MATCH($E886,tblMoveTypes[Movement],0)),"?")="No",$D886&lt;&gt;""),"Leave Item blank",IF(AND(IFERROR(INDEX(tblMoveTypes[Courier?],MATCH($E886,tblMoveTypes[Movement],0)),"?")="Yes",$H886=""),"Courier needed",IF(AND(IFERROR(INDEX(tblMoveTypes[Courier?],MATCH($E886,tblMoveTypes[Movement],0)),"?")="No",$H886&lt;&gt;""),"Leave Courier blank",IF(AND(IFERROR(INDEX(tblMoveTypes[Orders?],MATCH($E886,tblMoveTypes[Movement],0)),"?")="Yes",$G886=""),"Orders needed",IF(AND(IFERROR(INDEX(tblMoveTypes[Orders?],MATCH($E886,tblMoveTypes[Movement],0)),"?")="No",$G886&lt;&gt;""),"Leave Orders blank",IF(AND(IFERROR(INDEX(tblMoveTypes[Reason?],MATCH($E886,tblMoveTypes[Movement],0)),"?")="Yes",$I886=""),"Reason needed",IF(AND(IFERROR(INDEX(tblMoveTypes[Qty?],MATCH($E886,tblMoveTypes[Movement],0)),"?")="Yes",N($F886)&lt;=0),"Qty needed",IF($A886&lt;_xlfn.MINIFS(tblShipment[Arrival Date],tblShipment[Shipment ID],$C886),"Date before arrival",IF(AND($D886&lt;&gt;"",COUNTIFS(tblShipment[Shipment ID],$C886,tblShipment[Item Code],$D886)=0),"Item not in this shipment",IF(AND($H886&lt;&gt;"",COUNTIFS(tblCouriers[Courier],$H886,tblCouriers[Market],$B886)=0),"Courier not in this market","OK")))))))))))))))</f>
        <v>OK</v>
      </c>
    </row>
    <row r="887" customFormat="false" ht="15" hidden="false" customHeight="false" outlineLevel="0" collapsed="false">
      <c r="A887" s="27" t="n">
        <v>46248</v>
      </c>
      <c r="B887" s="26" t="s">
        <v>90</v>
      </c>
      <c r="C887" s="26" t="s">
        <v>153</v>
      </c>
      <c r="D887" s="26" t="s">
        <v>76</v>
      </c>
      <c r="E887" s="26" t="s">
        <v>93</v>
      </c>
      <c r="F887" s="28" t="n">
        <v>31</v>
      </c>
      <c r="G887" s="28"/>
      <c r="H887" s="26" t="s">
        <v>101</v>
      </c>
      <c r="I887" s="26"/>
      <c r="J887" s="26"/>
      <c r="K887" s="29" t="str">
        <f aca="false">IF($A887="","",IF(COUNTIFS(tblMoveTypes[Movement],$E887)=0,"Unknown movement type",IF(COUNTIF(tblShipment[Shipment ID],$C887)=0,"Unknown shipment",IF(COUNTIFS(tblShipment[Shipment ID],$C887,tblShipment[Market],$B887)=0,"Market does not match shipment",IF(AND(IFERROR(INDEX(tblMoveTypes[Item?],MATCH($E887,tblMoveTypes[Movement],0)),"?")="Yes",$D887=""),"Item needed",IF(AND(IFERROR(INDEX(tblMoveTypes[Item?],MATCH($E887,tblMoveTypes[Movement],0)),"?")="No",$D887&lt;&gt;""),"Leave Item blank",IF(AND(IFERROR(INDEX(tblMoveTypes[Courier?],MATCH($E887,tblMoveTypes[Movement],0)),"?")="Yes",$H887=""),"Courier needed",IF(AND(IFERROR(INDEX(tblMoveTypes[Courier?],MATCH($E887,tblMoveTypes[Movement],0)),"?")="No",$H887&lt;&gt;""),"Leave Courier blank",IF(AND(IFERROR(INDEX(tblMoveTypes[Orders?],MATCH($E887,tblMoveTypes[Movement],0)),"?")="Yes",$G887=""),"Orders needed",IF(AND(IFERROR(INDEX(tblMoveTypes[Orders?],MATCH($E887,tblMoveTypes[Movement],0)),"?")="No",$G887&lt;&gt;""),"Leave Orders blank",IF(AND(IFERROR(INDEX(tblMoveTypes[Reason?],MATCH($E887,tblMoveTypes[Movement],0)),"?")="Yes",$I887=""),"Reason needed",IF(AND(IFERROR(INDEX(tblMoveTypes[Qty?],MATCH($E887,tblMoveTypes[Movement],0)),"?")="Yes",N($F887)&lt;=0),"Qty needed",IF($A887&lt;_xlfn.MINIFS(tblShipment[Arrival Date],tblShipment[Shipment ID],$C887),"Date before arrival",IF(AND($D887&lt;&gt;"",COUNTIFS(tblShipment[Shipment ID],$C887,tblShipment[Item Code],$D887)=0),"Item not in this shipment",IF(AND($H887&lt;&gt;"",COUNTIFS(tblCouriers[Courier],$H887,tblCouriers[Market],$B887)=0),"Courier not in this market","OK")))))))))))))))</f>
        <v>OK</v>
      </c>
    </row>
    <row r="888" customFormat="false" ht="15" hidden="false" customHeight="false" outlineLevel="0" collapsed="false">
      <c r="A888" s="27" t="n">
        <v>46248</v>
      </c>
      <c r="B888" s="26" t="s">
        <v>90</v>
      </c>
      <c r="C888" s="26" t="s">
        <v>153</v>
      </c>
      <c r="D888" s="26"/>
      <c r="E888" s="26" t="s">
        <v>104</v>
      </c>
      <c r="F888" s="28"/>
      <c r="G888" s="28" t="n">
        <v>44</v>
      </c>
      <c r="H888" s="26" t="s">
        <v>101</v>
      </c>
      <c r="I888" s="26"/>
      <c r="J888" s="26"/>
      <c r="K888" s="29" t="str">
        <f aca="false">IF($A888="","",IF(COUNTIFS(tblMoveTypes[Movement],$E888)=0,"Unknown movement type",IF(COUNTIF(tblShipment[Shipment ID],$C888)=0,"Unknown shipment",IF(COUNTIFS(tblShipment[Shipment ID],$C888,tblShipment[Market],$B888)=0,"Market does not match shipment",IF(AND(IFERROR(INDEX(tblMoveTypes[Item?],MATCH($E888,tblMoveTypes[Movement],0)),"?")="Yes",$D888=""),"Item needed",IF(AND(IFERROR(INDEX(tblMoveTypes[Item?],MATCH($E888,tblMoveTypes[Movement],0)),"?")="No",$D888&lt;&gt;""),"Leave Item blank",IF(AND(IFERROR(INDEX(tblMoveTypes[Courier?],MATCH($E888,tblMoveTypes[Movement],0)),"?")="Yes",$H888=""),"Courier needed",IF(AND(IFERROR(INDEX(tblMoveTypes[Courier?],MATCH($E888,tblMoveTypes[Movement],0)),"?")="No",$H888&lt;&gt;""),"Leave Courier blank",IF(AND(IFERROR(INDEX(tblMoveTypes[Orders?],MATCH($E888,tblMoveTypes[Movement],0)),"?")="Yes",$G888=""),"Orders needed",IF(AND(IFERROR(INDEX(tblMoveTypes[Orders?],MATCH($E888,tblMoveTypes[Movement],0)),"?")="No",$G888&lt;&gt;""),"Leave Orders blank",IF(AND(IFERROR(INDEX(tblMoveTypes[Reason?],MATCH($E888,tblMoveTypes[Movement],0)),"?")="Yes",$I888=""),"Reason needed",IF(AND(IFERROR(INDEX(tblMoveTypes[Qty?],MATCH($E888,tblMoveTypes[Movement],0)),"?")="Yes",N($F888)&lt;=0),"Qty needed",IF($A888&lt;_xlfn.MINIFS(tblShipment[Arrival Date],tblShipment[Shipment ID],$C888),"Date before arrival",IF(AND($D888&lt;&gt;"",COUNTIFS(tblShipment[Shipment ID],$C888,tblShipment[Item Code],$D888)=0),"Item not in this shipment",IF(AND($H888&lt;&gt;"",COUNTIFS(tblCouriers[Courier],$H888,tblCouriers[Market],$B888)=0),"Courier not in this market","OK")))))))))))))))</f>
        <v>OK</v>
      </c>
    </row>
    <row r="889" customFormat="false" ht="15" hidden="false" customHeight="false" outlineLevel="0" collapsed="false">
      <c r="A889" s="27" t="n">
        <v>46248</v>
      </c>
      <c r="B889" s="26" t="s">
        <v>90</v>
      </c>
      <c r="C889" s="26" t="s">
        <v>153</v>
      </c>
      <c r="D889" s="26"/>
      <c r="E889" s="26" t="s">
        <v>106</v>
      </c>
      <c r="F889" s="28" t="n">
        <v>45</v>
      </c>
      <c r="G889" s="28" t="n">
        <v>16</v>
      </c>
      <c r="H889" s="26" t="s">
        <v>101</v>
      </c>
      <c r="I889" s="26"/>
      <c r="J889" s="26"/>
      <c r="K889" s="29" t="str">
        <f aca="false">IF($A889="","",IF(COUNTIFS(tblMoveTypes[Movement],$E889)=0,"Unknown movement type",IF(COUNTIF(tblShipment[Shipment ID],$C889)=0,"Unknown shipment",IF(COUNTIFS(tblShipment[Shipment ID],$C889,tblShipment[Market],$B889)=0,"Market does not match shipment",IF(AND(IFERROR(INDEX(tblMoveTypes[Item?],MATCH($E889,tblMoveTypes[Movement],0)),"?")="Yes",$D889=""),"Item needed",IF(AND(IFERROR(INDEX(tblMoveTypes[Item?],MATCH($E889,tblMoveTypes[Movement],0)),"?")="No",$D889&lt;&gt;""),"Leave Item blank",IF(AND(IFERROR(INDEX(tblMoveTypes[Courier?],MATCH($E889,tblMoveTypes[Movement],0)),"?")="Yes",$H889=""),"Courier needed",IF(AND(IFERROR(INDEX(tblMoveTypes[Courier?],MATCH($E889,tblMoveTypes[Movement],0)),"?")="No",$H889&lt;&gt;""),"Leave Courier blank",IF(AND(IFERROR(INDEX(tblMoveTypes[Orders?],MATCH($E889,tblMoveTypes[Movement],0)),"?")="Yes",$G889=""),"Orders needed",IF(AND(IFERROR(INDEX(tblMoveTypes[Orders?],MATCH($E889,tblMoveTypes[Movement],0)),"?")="No",$G889&lt;&gt;""),"Leave Orders blank",IF(AND(IFERROR(INDEX(tblMoveTypes[Reason?],MATCH($E889,tblMoveTypes[Movement],0)),"?")="Yes",$I889=""),"Reason needed",IF(AND(IFERROR(INDEX(tblMoveTypes[Qty?],MATCH($E889,tblMoveTypes[Movement],0)),"?")="Yes",N($F889)&lt;=0),"Qty needed",IF($A889&lt;_xlfn.MINIFS(tblShipment[Arrival Date],tblShipment[Shipment ID],$C889),"Date before arrival",IF(AND($D889&lt;&gt;"",COUNTIFS(tblShipment[Shipment ID],$C889,tblShipment[Item Code],$D889)=0),"Item not in this shipment",IF(AND($H889&lt;&gt;"",COUNTIFS(tblCouriers[Courier],$H889,tblCouriers[Market],$B889)=0),"Courier not in this market","OK")))))))))))))))</f>
        <v>OK</v>
      </c>
    </row>
    <row r="890" customFormat="false" ht="15" hidden="false" customHeight="false" outlineLevel="0" collapsed="false">
      <c r="A890" s="27" t="n">
        <v>46248</v>
      </c>
      <c r="B890" s="26" t="s">
        <v>78</v>
      </c>
      <c r="C890" s="26" t="s">
        <v>131</v>
      </c>
      <c r="D890" s="26" t="s">
        <v>83</v>
      </c>
      <c r="E890" s="26" t="s">
        <v>73</v>
      </c>
      <c r="F890" s="28" t="n">
        <v>1</v>
      </c>
      <c r="G890" s="28"/>
      <c r="H890" s="26"/>
      <c r="I890" s="26" t="s">
        <v>87</v>
      </c>
      <c r="J890" s="26"/>
      <c r="K890" s="29" t="str">
        <f aca="false">IF($A890="","",IF(COUNTIFS(tblMoveTypes[Movement],$E890)=0,"Unknown movement type",IF(COUNTIF(tblShipment[Shipment ID],$C890)=0,"Unknown shipment",IF(COUNTIFS(tblShipment[Shipment ID],$C890,tblShipment[Market],$B890)=0,"Market does not match shipment",IF(AND(IFERROR(INDEX(tblMoveTypes[Item?],MATCH($E890,tblMoveTypes[Movement],0)),"?")="Yes",$D890=""),"Item needed",IF(AND(IFERROR(INDEX(tblMoveTypes[Item?],MATCH($E890,tblMoveTypes[Movement],0)),"?")="No",$D890&lt;&gt;""),"Leave Item blank",IF(AND(IFERROR(INDEX(tblMoveTypes[Courier?],MATCH($E890,tblMoveTypes[Movement],0)),"?")="Yes",$H890=""),"Courier needed",IF(AND(IFERROR(INDEX(tblMoveTypes[Courier?],MATCH($E890,tblMoveTypes[Movement],0)),"?")="No",$H890&lt;&gt;""),"Leave Courier blank",IF(AND(IFERROR(INDEX(tblMoveTypes[Orders?],MATCH($E890,tblMoveTypes[Movement],0)),"?")="Yes",$G890=""),"Orders needed",IF(AND(IFERROR(INDEX(tblMoveTypes[Orders?],MATCH($E890,tblMoveTypes[Movement],0)),"?")="No",$G890&lt;&gt;""),"Leave Orders blank",IF(AND(IFERROR(INDEX(tblMoveTypes[Reason?],MATCH($E890,tblMoveTypes[Movement],0)),"?")="Yes",$I890=""),"Reason needed",IF(AND(IFERROR(INDEX(tblMoveTypes[Qty?],MATCH($E890,tblMoveTypes[Movement],0)),"?")="Yes",N($F890)&lt;=0),"Qty needed",IF($A890&lt;_xlfn.MINIFS(tblShipment[Arrival Date],tblShipment[Shipment ID],$C890),"Date before arrival",IF(AND($D890&lt;&gt;"",COUNTIFS(tblShipment[Shipment ID],$C890,tblShipment[Item Code],$D890)=0),"Item not in this shipment",IF(AND($H890&lt;&gt;"",COUNTIFS(tblCouriers[Courier],$H890,tblCouriers[Market],$B890)=0),"Courier not in this market","OK")))))))))))))))</f>
        <v>OK</v>
      </c>
    </row>
    <row r="891" customFormat="false" ht="15" hidden="false" customHeight="false" outlineLevel="0" collapsed="false">
      <c r="A891" s="27" t="n">
        <v>46248</v>
      </c>
      <c r="B891" s="26" t="s">
        <v>78</v>
      </c>
      <c r="C891" s="26" t="s">
        <v>137</v>
      </c>
      <c r="D891" s="26"/>
      <c r="E891" s="26" t="s">
        <v>106</v>
      </c>
      <c r="F891" s="28" t="n">
        <v>6</v>
      </c>
      <c r="G891" s="28" t="n">
        <v>1</v>
      </c>
      <c r="H891" s="26" t="s">
        <v>79</v>
      </c>
      <c r="I891" s="26"/>
      <c r="J891" s="26"/>
      <c r="K891" s="29" t="str">
        <f aca="false">IF($A891="","",IF(COUNTIFS(tblMoveTypes[Movement],$E891)=0,"Unknown movement type",IF(COUNTIF(tblShipment[Shipment ID],$C891)=0,"Unknown shipment",IF(COUNTIFS(tblShipment[Shipment ID],$C891,tblShipment[Market],$B891)=0,"Market does not match shipment",IF(AND(IFERROR(INDEX(tblMoveTypes[Item?],MATCH($E891,tblMoveTypes[Movement],0)),"?")="Yes",$D891=""),"Item needed",IF(AND(IFERROR(INDEX(tblMoveTypes[Item?],MATCH($E891,tblMoveTypes[Movement],0)),"?")="No",$D891&lt;&gt;""),"Leave Item blank",IF(AND(IFERROR(INDEX(tblMoveTypes[Courier?],MATCH($E891,tblMoveTypes[Movement],0)),"?")="Yes",$H891=""),"Courier needed",IF(AND(IFERROR(INDEX(tblMoveTypes[Courier?],MATCH($E891,tblMoveTypes[Movement],0)),"?")="No",$H891&lt;&gt;""),"Leave Courier blank",IF(AND(IFERROR(INDEX(tblMoveTypes[Orders?],MATCH($E891,tblMoveTypes[Movement],0)),"?")="Yes",$G891=""),"Orders needed",IF(AND(IFERROR(INDEX(tblMoveTypes[Orders?],MATCH($E891,tblMoveTypes[Movement],0)),"?")="No",$G891&lt;&gt;""),"Leave Orders blank",IF(AND(IFERROR(INDEX(tblMoveTypes[Reason?],MATCH($E891,tblMoveTypes[Movement],0)),"?")="Yes",$I891=""),"Reason needed",IF(AND(IFERROR(INDEX(tblMoveTypes[Qty?],MATCH($E891,tblMoveTypes[Movement],0)),"?")="Yes",N($F891)&lt;=0),"Qty needed",IF($A891&lt;_xlfn.MINIFS(tblShipment[Arrival Date],tblShipment[Shipment ID],$C891),"Date before arrival",IF(AND($D891&lt;&gt;"",COUNTIFS(tblShipment[Shipment ID],$C891,tblShipment[Item Code],$D891)=0),"Item not in this shipment",IF(AND($H891&lt;&gt;"",COUNTIFS(tblCouriers[Courier],$H891,tblCouriers[Market],$B891)=0),"Courier not in this market","OK")))))))))))))))</f>
        <v>OK</v>
      </c>
    </row>
    <row r="892" customFormat="false" ht="15" hidden="false" customHeight="false" outlineLevel="0" collapsed="false">
      <c r="A892" s="27" t="n">
        <v>46248</v>
      </c>
      <c r="B892" s="26" t="s">
        <v>78</v>
      </c>
      <c r="C892" s="26" t="s">
        <v>138</v>
      </c>
      <c r="D892" s="26"/>
      <c r="E892" s="26" t="s">
        <v>106</v>
      </c>
      <c r="F892" s="28" t="n">
        <v>10</v>
      </c>
      <c r="G892" s="28" t="n">
        <v>2</v>
      </c>
      <c r="H892" s="26" t="s">
        <v>79</v>
      </c>
      <c r="I892" s="26"/>
      <c r="J892" s="26"/>
      <c r="K892" s="29" t="str">
        <f aca="false">IF($A892="","",IF(COUNTIFS(tblMoveTypes[Movement],$E892)=0,"Unknown movement type",IF(COUNTIF(tblShipment[Shipment ID],$C892)=0,"Unknown shipment",IF(COUNTIFS(tblShipment[Shipment ID],$C892,tblShipment[Market],$B892)=0,"Market does not match shipment",IF(AND(IFERROR(INDEX(tblMoveTypes[Item?],MATCH($E892,tblMoveTypes[Movement],0)),"?")="Yes",$D892=""),"Item needed",IF(AND(IFERROR(INDEX(tblMoveTypes[Item?],MATCH($E892,tblMoveTypes[Movement],0)),"?")="No",$D892&lt;&gt;""),"Leave Item blank",IF(AND(IFERROR(INDEX(tblMoveTypes[Courier?],MATCH($E892,tblMoveTypes[Movement],0)),"?")="Yes",$H892=""),"Courier needed",IF(AND(IFERROR(INDEX(tblMoveTypes[Courier?],MATCH($E892,tblMoveTypes[Movement],0)),"?")="No",$H892&lt;&gt;""),"Leave Courier blank",IF(AND(IFERROR(INDEX(tblMoveTypes[Orders?],MATCH($E892,tblMoveTypes[Movement],0)),"?")="Yes",$G892=""),"Orders needed",IF(AND(IFERROR(INDEX(tblMoveTypes[Orders?],MATCH($E892,tblMoveTypes[Movement],0)),"?")="No",$G892&lt;&gt;""),"Leave Orders blank",IF(AND(IFERROR(INDEX(tblMoveTypes[Reason?],MATCH($E892,tblMoveTypes[Movement],0)),"?")="Yes",$I892=""),"Reason needed",IF(AND(IFERROR(INDEX(tblMoveTypes[Qty?],MATCH($E892,tblMoveTypes[Movement],0)),"?")="Yes",N($F892)&lt;=0),"Qty needed",IF($A892&lt;_xlfn.MINIFS(tblShipment[Arrival Date],tblShipment[Shipment ID],$C892),"Date before arrival",IF(AND($D892&lt;&gt;"",COUNTIFS(tblShipment[Shipment ID],$C892,tblShipment[Item Code],$D892)=0),"Item not in this shipment",IF(AND($H892&lt;&gt;"",COUNTIFS(tblCouriers[Courier],$H892,tblCouriers[Market],$B892)=0),"Courier not in this market","OK")))))))))))))))</f>
        <v>OK</v>
      </c>
    </row>
    <row r="893" customFormat="false" ht="15" hidden="false" customHeight="false" outlineLevel="0" collapsed="false">
      <c r="A893" s="27" t="n">
        <v>46248</v>
      </c>
      <c r="B893" s="26" t="s">
        <v>78</v>
      </c>
      <c r="C893" s="26" t="s">
        <v>138</v>
      </c>
      <c r="D893" s="26"/>
      <c r="E893" s="26" t="s">
        <v>106</v>
      </c>
      <c r="F893" s="28" t="n">
        <v>15</v>
      </c>
      <c r="G893" s="28" t="n">
        <v>3</v>
      </c>
      <c r="H893" s="26" t="s">
        <v>86</v>
      </c>
      <c r="I893" s="26"/>
      <c r="J893" s="26"/>
      <c r="K893" s="29" t="str">
        <f aca="false">IF($A893="","",IF(COUNTIFS(tblMoveTypes[Movement],$E893)=0,"Unknown movement type",IF(COUNTIF(tblShipment[Shipment ID],$C893)=0,"Unknown shipment",IF(COUNTIFS(tblShipment[Shipment ID],$C893,tblShipment[Market],$B893)=0,"Market does not match shipment",IF(AND(IFERROR(INDEX(tblMoveTypes[Item?],MATCH($E893,tblMoveTypes[Movement],0)),"?")="Yes",$D893=""),"Item needed",IF(AND(IFERROR(INDEX(tblMoveTypes[Item?],MATCH($E893,tblMoveTypes[Movement],0)),"?")="No",$D893&lt;&gt;""),"Leave Item blank",IF(AND(IFERROR(INDEX(tblMoveTypes[Courier?],MATCH($E893,tblMoveTypes[Movement],0)),"?")="Yes",$H893=""),"Courier needed",IF(AND(IFERROR(INDEX(tblMoveTypes[Courier?],MATCH($E893,tblMoveTypes[Movement],0)),"?")="No",$H893&lt;&gt;""),"Leave Courier blank",IF(AND(IFERROR(INDEX(tblMoveTypes[Orders?],MATCH($E893,tblMoveTypes[Movement],0)),"?")="Yes",$G893=""),"Orders needed",IF(AND(IFERROR(INDEX(tblMoveTypes[Orders?],MATCH($E893,tblMoveTypes[Movement],0)),"?")="No",$G893&lt;&gt;""),"Leave Orders blank",IF(AND(IFERROR(INDEX(tblMoveTypes[Reason?],MATCH($E893,tblMoveTypes[Movement],0)),"?")="Yes",$I893=""),"Reason needed",IF(AND(IFERROR(INDEX(tblMoveTypes[Qty?],MATCH($E893,tblMoveTypes[Movement],0)),"?")="Yes",N($F893)&lt;=0),"Qty needed",IF($A893&lt;_xlfn.MINIFS(tblShipment[Arrival Date],tblShipment[Shipment ID],$C893),"Date before arrival",IF(AND($D893&lt;&gt;"",COUNTIFS(tblShipment[Shipment ID],$C893,tblShipment[Item Code],$D893)=0),"Item not in this shipment",IF(AND($H893&lt;&gt;"",COUNTIFS(tblCouriers[Courier],$H893,tblCouriers[Market],$B893)=0),"Courier not in this market","OK")))))))))))))))</f>
        <v>OK</v>
      </c>
    </row>
    <row r="894" customFormat="false" ht="15" hidden="false" customHeight="false" outlineLevel="0" collapsed="false">
      <c r="A894" s="27" t="n">
        <v>46249</v>
      </c>
      <c r="B894" s="26" t="s">
        <v>70</v>
      </c>
      <c r="C894" s="26" t="s">
        <v>124</v>
      </c>
      <c r="D894" s="26" t="s">
        <v>88</v>
      </c>
      <c r="E894" s="26" t="s">
        <v>73</v>
      </c>
      <c r="F894" s="28" t="n">
        <v>3</v>
      </c>
      <c r="G894" s="28"/>
      <c r="H894" s="26"/>
      <c r="I894" s="26" t="s">
        <v>87</v>
      </c>
      <c r="J894" s="26"/>
      <c r="K894" s="29" t="str">
        <f aca="false">IF($A894="","",IF(COUNTIFS(tblMoveTypes[Movement],$E894)=0,"Unknown movement type",IF(COUNTIF(tblShipment[Shipment ID],$C894)=0,"Unknown shipment",IF(COUNTIFS(tblShipment[Shipment ID],$C894,tblShipment[Market],$B894)=0,"Market does not match shipment",IF(AND(IFERROR(INDEX(tblMoveTypes[Item?],MATCH($E894,tblMoveTypes[Movement],0)),"?")="Yes",$D894=""),"Item needed",IF(AND(IFERROR(INDEX(tblMoveTypes[Item?],MATCH($E894,tblMoveTypes[Movement],0)),"?")="No",$D894&lt;&gt;""),"Leave Item blank",IF(AND(IFERROR(INDEX(tblMoveTypes[Courier?],MATCH($E894,tblMoveTypes[Movement],0)),"?")="Yes",$H894=""),"Courier needed",IF(AND(IFERROR(INDEX(tblMoveTypes[Courier?],MATCH($E894,tblMoveTypes[Movement],0)),"?")="No",$H894&lt;&gt;""),"Leave Courier blank",IF(AND(IFERROR(INDEX(tblMoveTypes[Orders?],MATCH($E894,tblMoveTypes[Movement],0)),"?")="Yes",$G894=""),"Orders needed",IF(AND(IFERROR(INDEX(tblMoveTypes[Orders?],MATCH($E894,tblMoveTypes[Movement],0)),"?")="No",$G894&lt;&gt;""),"Leave Orders blank",IF(AND(IFERROR(INDEX(tblMoveTypes[Reason?],MATCH($E894,tblMoveTypes[Movement],0)),"?")="Yes",$I894=""),"Reason needed",IF(AND(IFERROR(INDEX(tblMoveTypes[Qty?],MATCH($E894,tblMoveTypes[Movement],0)),"?")="Yes",N($F894)&lt;=0),"Qty needed",IF($A894&lt;_xlfn.MINIFS(tblShipment[Arrival Date],tblShipment[Shipment ID],$C894),"Date before arrival",IF(AND($D894&lt;&gt;"",COUNTIFS(tblShipment[Shipment ID],$C894,tblShipment[Item Code],$D894)=0),"Item not in this shipment",IF(AND($H894&lt;&gt;"",COUNTIFS(tblCouriers[Courier],$H894,tblCouriers[Market],$B894)=0),"Courier not in this market","OK")))))))))))))))</f>
        <v>OK</v>
      </c>
    </row>
    <row r="895" customFormat="false" ht="15" hidden="false" customHeight="false" outlineLevel="0" collapsed="false">
      <c r="A895" s="27" t="n">
        <v>46249</v>
      </c>
      <c r="B895" s="26" t="s">
        <v>70</v>
      </c>
      <c r="C895" s="26" t="s">
        <v>127</v>
      </c>
      <c r="D895" s="26" t="s">
        <v>94</v>
      </c>
      <c r="E895" s="26" t="s">
        <v>73</v>
      </c>
      <c r="F895" s="28" t="n">
        <v>2</v>
      </c>
      <c r="G895" s="28"/>
      <c r="H895" s="26"/>
      <c r="I895" s="26" t="s">
        <v>87</v>
      </c>
      <c r="J895" s="26"/>
      <c r="K895" s="29" t="str">
        <f aca="false">IF($A895="","",IF(COUNTIFS(tblMoveTypes[Movement],$E895)=0,"Unknown movement type",IF(COUNTIF(tblShipment[Shipment ID],$C895)=0,"Unknown shipment",IF(COUNTIFS(tblShipment[Shipment ID],$C895,tblShipment[Market],$B895)=0,"Market does not match shipment",IF(AND(IFERROR(INDEX(tblMoveTypes[Item?],MATCH($E895,tblMoveTypes[Movement],0)),"?")="Yes",$D895=""),"Item needed",IF(AND(IFERROR(INDEX(tblMoveTypes[Item?],MATCH($E895,tblMoveTypes[Movement],0)),"?")="No",$D895&lt;&gt;""),"Leave Item blank",IF(AND(IFERROR(INDEX(tblMoveTypes[Courier?],MATCH($E895,tblMoveTypes[Movement],0)),"?")="Yes",$H895=""),"Courier needed",IF(AND(IFERROR(INDEX(tblMoveTypes[Courier?],MATCH($E895,tblMoveTypes[Movement],0)),"?")="No",$H895&lt;&gt;""),"Leave Courier blank",IF(AND(IFERROR(INDEX(tblMoveTypes[Orders?],MATCH($E895,tblMoveTypes[Movement],0)),"?")="Yes",$G895=""),"Orders needed",IF(AND(IFERROR(INDEX(tblMoveTypes[Orders?],MATCH($E895,tblMoveTypes[Movement],0)),"?")="No",$G895&lt;&gt;""),"Leave Orders blank",IF(AND(IFERROR(INDEX(tblMoveTypes[Reason?],MATCH($E895,tblMoveTypes[Movement],0)),"?")="Yes",$I895=""),"Reason needed",IF(AND(IFERROR(INDEX(tblMoveTypes[Qty?],MATCH($E895,tblMoveTypes[Movement],0)),"?")="Yes",N($F895)&lt;=0),"Qty needed",IF($A895&lt;_xlfn.MINIFS(tblShipment[Arrival Date],tblShipment[Shipment ID],$C895),"Date before arrival",IF(AND($D895&lt;&gt;"",COUNTIFS(tblShipment[Shipment ID],$C895,tblShipment[Item Code],$D895)=0),"Item not in this shipment",IF(AND($H895&lt;&gt;"",COUNTIFS(tblCouriers[Courier],$H895,tblCouriers[Market],$B895)=0),"Courier not in this market","OK")))))))))))))))</f>
        <v>OK</v>
      </c>
    </row>
    <row r="896" customFormat="false" ht="15" hidden="false" customHeight="false" outlineLevel="0" collapsed="false">
      <c r="A896" s="27" t="n">
        <v>46249</v>
      </c>
      <c r="B896" s="26" t="s">
        <v>70</v>
      </c>
      <c r="C896" s="26" t="s">
        <v>129</v>
      </c>
      <c r="D896" s="26"/>
      <c r="E896" s="26" t="s">
        <v>106</v>
      </c>
      <c r="F896" s="28" t="n">
        <v>29</v>
      </c>
      <c r="G896" s="28" t="n">
        <v>5</v>
      </c>
      <c r="H896" s="26" t="s">
        <v>71</v>
      </c>
      <c r="I896" s="26"/>
      <c r="J896" s="26"/>
      <c r="K896" s="29" t="str">
        <f aca="false">IF($A896="","",IF(COUNTIFS(tblMoveTypes[Movement],$E896)=0,"Unknown movement type",IF(COUNTIF(tblShipment[Shipment ID],$C896)=0,"Unknown shipment",IF(COUNTIFS(tblShipment[Shipment ID],$C896,tblShipment[Market],$B896)=0,"Market does not match shipment",IF(AND(IFERROR(INDEX(tblMoveTypes[Item?],MATCH($E896,tblMoveTypes[Movement],0)),"?")="Yes",$D896=""),"Item needed",IF(AND(IFERROR(INDEX(tblMoveTypes[Item?],MATCH($E896,tblMoveTypes[Movement],0)),"?")="No",$D896&lt;&gt;""),"Leave Item blank",IF(AND(IFERROR(INDEX(tblMoveTypes[Courier?],MATCH($E896,tblMoveTypes[Movement],0)),"?")="Yes",$H896=""),"Courier needed",IF(AND(IFERROR(INDEX(tblMoveTypes[Courier?],MATCH($E896,tblMoveTypes[Movement],0)),"?")="No",$H896&lt;&gt;""),"Leave Courier blank",IF(AND(IFERROR(INDEX(tblMoveTypes[Orders?],MATCH($E896,tblMoveTypes[Movement],0)),"?")="Yes",$G896=""),"Orders needed",IF(AND(IFERROR(INDEX(tblMoveTypes[Orders?],MATCH($E896,tblMoveTypes[Movement],0)),"?")="No",$G896&lt;&gt;""),"Leave Orders blank",IF(AND(IFERROR(INDEX(tblMoveTypes[Reason?],MATCH($E896,tblMoveTypes[Movement],0)),"?")="Yes",$I896=""),"Reason needed",IF(AND(IFERROR(INDEX(tblMoveTypes[Qty?],MATCH($E896,tblMoveTypes[Movement],0)),"?")="Yes",N($F896)&lt;=0),"Qty needed",IF($A896&lt;_xlfn.MINIFS(tblShipment[Arrival Date],tblShipment[Shipment ID],$C896),"Date before arrival",IF(AND($D896&lt;&gt;"",COUNTIFS(tblShipment[Shipment ID],$C896,tblShipment[Item Code],$D896)=0),"Item not in this shipment",IF(AND($H896&lt;&gt;"",COUNTIFS(tblCouriers[Courier],$H896,tblCouriers[Market],$B896)=0),"Courier not in this market","OK")))))))))))))))</f>
        <v>OK</v>
      </c>
    </row>
    <row r="897" customFormat="false" ht="15" hidden="false" customHeight="false" outlineLevel="0" collapsed="false">
      <c r="A897" s="27" t="n">
        <v>46249</v>
      </c>
      <c r="B897" s="26" t="s">
        <v>70</v>
      </c>
      <c r="C897" s="26" t="s">
        <v>129</v>
      </c>
      <c r="D897" s="26" t="s">
        <v>76</v>
      </c>
      <c r="E897" s="26" t="s">
        <v>93</v>
      </c>
      <c r="F897" s="28" t="n">
        <v>17</v>
      </c>
      <c r="G897" s="28"/>
      <c r="H897" s="26" t="s">
        <v>71</v>
      </c>
      <c r="I897" s="26"/>
      <c r="J897" s="26"/>
      <c r="K897" s="29" t="str">
        <f aca="false">IF($A897="","",IF(COUNTIFS(tblMoveTypes[Movement],$E897)=0,"Unknown movement type",IF(COUNTIF(tblShipment[Shipment ID],$C897)=0,"Unknown shipment",IF(COUNTIFS(tblShipment[Shipment ID],$C897,tblShipment[Market],$B897)=0,"Market does not match shipment",IF(AND(IFERROR(INDEX(tblMoveTypes[Item?],MATCH($E897,tblMoveTypes[Movement],0)),"?")="Yes",$D897=""),"Item needed",IF(AND(IFERROR(INDEX(tblMoveTypes[Item?],MATCH($E897,tblMoveTypes[Movement],0)),"?")="No",$D897&lt;&gt;""),"Leave Item blank",IF(AND(IFERROR(INDEX(tblMoveTypes[Courier?],MATCH($E897,tblMoveTypes[Movement],0)),"?")="Yes",$H897=""),"Courier needed",IF(AND(IFERROR(INDEX(tblMoveTypes[Courier?],MATCH($E897,tblMoveTypes[Movement],0)),"?")="No",$H897&lt;&gt;""),"Leave Courier blank",IF(AND(IFERROR(INDEX(tblMoveTypes[Orders?],MATCH($E897,tblMoveTypes[Movement],0)),"?")="Yes",$G897=""),"Orders needed",IF(AND(IFERROR(INDEX(tblMoveTypes[Orders?],MATCH($E897,tblMoveTypes[Movement],0)),"?")="No",$G897&lt;&gt;""),"Leave Orders blank",IF(AND(IFERROR(INDEX(tblMoveTypes[Reason?],MATCH($E897,tblMoveTypes[Movement],0)),"?")="Yes",$I897=""),"Reason needed",IF(AND(IFERROR(INDEX(tblMoveTypes[Qty?],MATCH($E897,tblMoveTypes[Movement],0)),"?")="Yes",N($F897)&lt;=0),"Qty needed",IF($A897&lt;_xlfn.MINIFS(tblShipment[Arrival Date],tblShipment[Shipment ID],$C897),"Date before arrival",IF(AND($D897&lt;&gt;"",COUNTIFS(tblShipment[Shipment ID],$C897,tblShipment[Item Code],$D897)=0),"Item not in this shipment",IF(AND($H897&lt;&gt;"",COUNTIFS(tblCouriers[Courier],$H897,tblCouriers[Market],$B897)=0),"Courier not in this market","OK")))))))))))))))</f>
        <v>OK</v>
      </c>
    </row>
    <row r="898" customFormat="false" ht="15" hidden="false" customHeight="false" outlineLevel="0" collapsed="false">
      <c r="A898" s="27" t="n">
        <v>46249</v>
      </c>
      <c r="B898" s="26" t="s">
        <v>70</v>
      </c>
      <c r="C898" s="26" t="s">
        <v>129</v>
      </c>
      <c r="D898" s="26"/>
      <c r="E898" s="26" t="s">
        <v>104</v>
      </c>
      <c r="F898" s="28"/>
      <c r="G898" s="28" t="n">
        <v>2</v>
      </c>
      <c r="H898" s="26" t="s">
        <v>71</v>
      </c>
      <c r="I898" s="26"/>
      <c r="J898" s="26"/>
      <c r="K898" s="29" t="str">
        <f aca="false">IF($A898="","",IF(COUNTIFS(tblMoveTypes[Movement],$E898)=0,"Unknown movement type",IF(COUNTIF(tblShipment[Shipment ID],$C898)=0,"Unknown shipment",IF(COUNTIFS(tblShipment[Shipment ID],$C898,tblShipment[Market],$B898)=0,"Market does not match shipment",IF(AND(IFERROR(INDEX(tblMoveTypes[Item?],MATCH($E898,tblMoveTypes[Movement],0)),"?")="Yes",$D898=""),"Item needed",IF(AND(IFERROR(INDEX(tblMoveTypes[Item?],MATCH($E898,tblMoveTypes[Movement],0)),"?")="No",$D898&lt;&gt;""),"Leave Item blank",IF(AND(IFERROR(INDEX(tblMoveTypes[Courier?],MATCH($E898,tblMoveTypes[Movement],0)),"?")="Yes",$H898=""),"Courier needed",IF(AND(IFERROR(INDEX(tblMoveTypes[Courier?],MATCH($E898,tblMoveTypes[Movement],0)),"?")="No",$H898&lt;&gt;""),"Leave Courier blank",IF(AND(IFERROR(INDEX(tblMoveTypes[Orders?],MATCH($E898,tblMoveTypes[Movement],0)),"?")="Yes",$G898=""),"Orders needed",IF(AND(IFERROR(INDEX(tblMoveTypes[Orders?],MATCH($E898,tblMoveTypes[Movement],0)),"?")="No",$G898&lt;&gt;""),"Leave Orders blank",IF(AND(IFERROR(INDEX(tblMoveTypes[Reason?],MATCH($E898,tblMoveTypes[Movement],0)),"?")="Yes",$I898=""),"Reason needed",IF(AND(IFERROR(INDEX(tblMoveTypes[Qty?],MATCH($E898,tblMoveTypes[Movement],0)),"?")="Yes",N($F898)&lt;=0),"Qty needed",IF($A898&lt;_xlfn.MINIFS(tblShipment[Arrival Date],tblShipment[Shipment ID],$C898),"Date before arrival",IF(AND($D898&lt;&gt;"",COUNTIFS(tblShipment[Shipment ID],$C898,tblShipment[Item Code],$D898)=0),"Item not in this shipment",IF(AND($H898&lt;&gt;"",COUNTIFS(tblCouriers[Courier],$H898,tblCouriers[Market],$B898)=0),"Courier not in this market","OK")))))))))))))))</f>
        <v>OK</v>
      </c>
    </row>
    <row r="899" customFormat="false" ht="15" hidden="false" customHeight="false" outlineLevel="0" collapsed="false">
      <c r="A899" s="27" t="n">
        <v>46249</v>
      </c>
      <c r="B899" s="26" t="s">
        <v>70</v>
      </c>
      <c r="C899" s="26" t="s">
        <v>130</v>
      </c>
      <c r="D899" s="26" t="s">
        <v>94</v>
      </c>
      <c r="E899" s="26" t="s">
        <v>74</v>
      </c>
      <c r="F899" s="28" t="n">
        <v>80</v>
      </c>
      <c r="G899" s="28"/>
      <c r="H899" s="26"/>
      <c r="I899" s="26"/>
      <c r="J899" s="26"/>
      <c r="K899" s="29" t="str">
        <f aca="false">IF($A899="","",IF(COUNTIFS(tblMoveTypes[Movement],$E899)=0,"Unknown movement type",IF(COUNTIF(tblShipment[Shipment ID],$C899)=0,"Unknown shipment",IF(COUNTIFS(tblShipment[Shipment ID],$C899,tblShipment[Market],$B899)=0,"Market does not match shipment",IF(AND(IFERROR(INDEX(tblMoveTypes[Item?],MATCH($E899,tblMoveTypes[Movement],0)),"?")="Yes",$D899=""),"Item needed",IF(AND(IFERROR(INDEX(tblMoveTypes[Item?],MATCH($E899,tblMoveTypes[Movement],0)),"?")="No",$D899&lt;&gt;""),"Leave Item blank",IF(AND(IFERROR(INDEX(tblMoveTypes[Courier?],MATCH($E899,tblMoveTypes[Movement],0)),"?")="Yes",$H899=""),"Courier needed",IF(AND(IFERROR(INDEX(tblMoveTypes[Courier?],MATCH($E899,tblMoveTypes[Movement],0)),"?")="No",$H899&lt;&gt;""),"Leave Courier blank",IF(AND(IFERROR(INDEX(tblMoveTypes[Orders?],MATCH($E899,tblMoveTypes[Movement],0)),"?")="Yes",$G899=""),"Orders needed",IF(AND(IFERROR(INDEX(tblMoveTypes[Orders?],MATCH($E899,tblMoveTypes[Movement],0)),"?")="No",$G899&lt;&gt;""),"Leave Orders blank",IF(AND(IFERROR(INDEX(tblMoveTypes[Reason?],MATCH($E899,tblMoveTypes[Movement],0)),"?")="Yes",$I899=""),"Reason needed",IF(AND(IFERROR(INDEX(tblMoveTypes[Qty?],MATCH($E899,tblMoveTypes[Movement],0)),"?")="Yes",N($F899)&lt;=0),"Qty needed",IF($A899&lt;_xlfn.MINIFS(tblShipment[Arrival Date],tblShipment[Shipment ID],$C899),"Date before arrival",IF(AND($D899&lt;&gt;"",COUNTIFS(tblShipment[Shipment ID],$C899,tblShipment[Item Code],$D899)=0),"Item not in this shipment",IF(AND($H899&lt;&gt;"",COUNTIFS(tblCouriers[Courier],$H899,tblCouriers[Market],$B899)=0),"Courier not in this market","OK")))))))))))))))</f>
        <v>OK</v>
      </c>
    </row>
    <row r="900" customFormat="false" ht="15" hidden="false" customHeight="false" outlineLevel="0" collapsed="false">
      <c r="A900" s="27" t="n">
        <v>46249</v>
      </c>
      <c r="B900" s="26" t="s">
        <v>70</v>
      </c>
      <c r="C900" s="26" t="s">
        <v>130</v>
      </c>
      <c r="D900" s="26" t="s">
        <v>76</v>
      </c>
      <c r="E900" s="26" t="s">
        <v>74</v>
      </c>
      <c r="F900" s="28" t="n">
        <v>120</v>
      </c>
      <c r="G900" s="28"/>
      <c r="H900" s="26"/>
      <c r="I900" s="26"/>
      <c r="J900" s="26"/>
      <c r="K900" s="29" t="str">
        <f aca="false">IF($A900="","",IF(COUNTIFS(tblMoveTypes[Movement],$E900)=0,"Unknown movement type",IF(COUNTIF(tblShipment[Shipment ID],$C900)=0,"Unknown shipment",IF(COUNTIFS(tblShipment[Shipment ID],$C900,tblShipment[Market],$B900)=0,"Market does not match shipment",IF(AND(IFERROR(INDEX(tblMoveTypes[Item?],MATCH($E900,tblMoveTypes[Movement],0)),"?")="Yes",$D900=""),"Item needed",IF(AND(IFERROR(INDEX(tblMoveTypes[Item?],MATCH($E900,tblMoveTypes[Movement],0)),"?")="No",$D900&lt;&gt;""),"Leave Item blank",IF(AND(IFERROR(INDEX(tblMoveTypes[Courier?],MATCH($E900,tblMoveTypes[Movement],0)),"?")="Yes",$H900=""),"Courier needed",IF(AND(IFERROR(INDEX(tblMoveTypes[Courier?],MATCH($E900,tblMoveTypes[Movement],0)),"?")="No",$H900&lt;&gt;""),"Leave Courier blank",IF(AND(IFERROR(INDEX(tblMoveTypes[Orders?],MATCH($E900,tblMoveTypes[Movement],0)),"?")="Yes",$G900=""),"Orders needed",IF(AND(IFERROR(INDEX(tblMoveTypes[Orders?],MATCH($E900,tblMoveTypes[Movement],0)),"?")="No",$G900&lt;&gt;""),"Leave Orders blank",IF(AND(IFERROR(INDEX(tblMoveTypes[Reason?],MATCH($E900,tblMoveTypes[Movement],0)),"?")="Yes",$I900=""),"Reason needed",IF(AND(IFERROR(INDEX(tblMoveTypes[Qty?],MATCH($E900,tblMoveTypes[Movement],0)),"?")="Yes",N($F900)&lt;=0),"Qty needed",IF($A900&lt;_xlfn.MINIFS(tblShipment[Arrival Date],tblShipment[Shipment ID],$C900),"Date before arrival",IF(AND($D900&lt;&gt;"",COUNTIFS(tblShipment[Shipment ID],$C900,tblShipment[Item Code],$D900)=0),"Item not in this shipment",IF(AND($H900&lt;&gt;"",COUNTIFS(tblCouriers[Courier],$H900,tblCouriers[Market],$B900)=0),"Courier not in this market","OK")))))))))))))))</f>
        <v>OK</v>
      </c>
    </row>
    <row r="901" customFormat="false" ht="15" hidden="false" customHeight="false" outlineLevel="0" collapsed="false">
      <c r="A901" s="27" t="n">
        <v>46249</v>
      </c>
      <c r="B901" s="26" t="s">
        <v>70</v>
      </c>
      <c r="C901" s="26" t="s">
        <v>130</v>
      </c>
      <c r="D901" s="26" t="s">
        <v>99</v>
      </c>
      <c r="E901" s="26" t="s">
        <v>81</v>
      </c>
      <c r="F901" s="28" t="n">
        <v>1</v>
      </c>
      <c r="G901" s="28"/>
      <c r="H901" s="26"/>
      <c r="I901" s="26"/>
      <c r="J901" s="26" t="s">
        <v>162</v>
      </c>
      <c r="K901" s="29" t="str">
        <f aca="false">IF($A901="","",IF(COUNTIFS(tblMoveTypes[Movement],$E901)=0,"Unknown movement type",IF(COUNTIF(tblShipment[Shipment ID],$C901)=0,"Unknown shipment",IF(COUNTIFS(tblShipment[Shipment ID],$C901,tblShipment[Market],$B901)=0,"Market does not match shipment",IF(AND(IFERROR(INDEX(tblMoveTypes[Item?],MATCH($E901,tblMoveTypes[Movement],0)),"?")="Yes",$D901=""),"Item needed",IF(AND(IFERROR(INDEX(tblMoveTypes[Item?],MATCH($E901,tblMoveTypes[Movement],0)),"?")="No",$D901&lt;&gt;""),"Leave Item blank",IF(AND(IFERROR(INDEX(tblMoveTypes[Courier?],MATCH($E901,tblMoveTypes[Movement],0)),"?")="Yes",$H901=""),"Courier needed",IF(AND(IFERROR(INDEX(tblMoveTypes[Courier?],MATCH($E901,tblMoveTypes[Movement],0)),"?")="No",$H901&lt;&gt;""),"Leave Courier blank",IF(AND(IFERROR(INDEX(tblMoveTypes[Orders?],MATCH($E901,tblMoveTypes[Movement],0)),"?")="Yes",$G901=""),"Orders needed",IF(AND(IFERROR(INDEX(tblMoveTypes[Orders?],MATCH($E901,tblMoveTypes[Movement],0)),"?")="No",$G901&lt;&gt;""),"Leave Orders blank",IF(AND(IFERROR(INDEX(tblMoveTypes[Reason?],MATCH($E901,tblMoveTypes[Movement],0)),"?")="Yes",$I901=""),"Reason needed",IF(AND(IFERROR(INDEX(tblMoveTypes[Qty?],MATCH($E901,tblMoveTypes[Movement],0)),"?")="Yes",N($F901)&lt;=0),"Qty needed",IF($A901&lt;_xlfn.MINIFS(tblShipment[Arrival Date],tblShipment[Shipment ID],$C901),"Date before arrival",IF(AND($D901&lt;&gt;"",COUNTIFS(tblShipment[Shipment ID],$C901,tblShipment[Item Code],$D901)=0),"Item not in this shipment",IF(AND($H901&lt;&gt;"",COUNTIFS(tblCouriers[Courier],$H901,tblCouriers[Market],$B901)=0),"Courier not in this market","OK")))))))))))))))</f>
        <v>OK</v>
      </c>
    </row>
    <row r="902" customFormat="false" ht="15" hidden="false" customHeight="false" outlineLevel="0" collapsed="false">
      <c r="A902" s="27" t="n">
        <v>46249</v>
      </c>
      <c r="B902" s="26" t="s">
        <v>70</v>
      </c>
      <c r="C902" s="26" t="s">
        <v>130</v>
      </c>
      <c r="D902" s="26" t="s">
        <v>99</v>
      </c>
      <c r="E902" s="26" t="s">
        <v>74</v>
      </c>
      <c r="F902" s="28" t="n">
        <v>49</v>
      </c>
      <c r="G902" s="28"/>
      <c r="H902" s="26"/>
      <c r="I902" s="26"/>
      <c r="J902" s="26"/>
      <c r="K902" s="29" t="str">
        <f aca="false">IF($A902="","",IF(COUNTIFS(tblMoveTypes[Movement],$E902)=0,"Unknown movement type",IF(COUNTIF(tblShipment[Shipment ID],$C902)=0,"Unknown shipment",IF(COUNTIFS(tblShipment[Shipment ID],$C902,tblShipment[Market],$B902)=0,"Market does not match shipment",IF(AND(IFERROR(INDEX(tblMoveTypes[Item?],MATCH($E902,tblMoveTypes[Movement],0)),"?")="Yes",$D902=""),"Item needed",IF(AND(IFERROR(INDEX(tblMoveTypes[Item?],MATCH($E902,tblMoveTypes[Movement],0)),"?")="No",$D902&lt;&gt;""),"Leave Item blank",IF(AND(IFERROR(INDEX(tblMoveTypes[Courier?],MATCH($E902,tblMoveTypes[Movement],0)),"?")="Yes",$H902=""),"Courier needed",IF(AND(IFERROR(INDEX(tblMoveTypes[Courier?],MATCH($E902,tblMoveTypes[Movement],0)),"?")="No",$H902&lt;&gt;""),"Leave Courier blank",IF(AND(IFERROR(INDEX(tblMoveTypes[Orders?],MATCH($E902,tblMoveTypes[Movement],0)),"?")="Yes",$G902=""),"Orders needed",IF(AND(IFERROR(INDEX(tblMoveTypes[Orders?],MATCH($E902,tblMoveTypes[Movement],0)),"?")="No",$G902&lt;&gt;""),"Leave Orders blank",IF(AND(IFERROR(INDEX(tblMoveTypes[Reason?],MATCH($E902,tblMoveTypes[Movement],0)),"?")="Yes",$I902=""),"Reason needed",IF(AND(IFERROR(INDEX(tblMoveTypes[Qty?],MATCH($E902,tblMoveTypes[Movement],0)),"?")="Yes",N($F902)&lt;=0),"Qty needed",IF($A902&lt;_xlfn.MINIFS(tblShipment[Arrival Date],tblShipment[Shipment ID],$C902),"Date before arrival",IF(AND($D902&lt;&gt;"",COUNTIFS(tblShipment[Shipment ID],$C902,tblShipment[Item Code],$D902)=0),"Item not in this shipment",IF(AND($H902&lt;&gt;"",COUNTIFS(tblCouriers[Courier],$H902,tblCouriers[Market],$B902)=0),"Courier not in this market","OK")))))))))))))))</f>
        <v>OK</v>
      </c>
    </row>
    <row r="903" customFormat="false" ht="15" hidden="false" customHeight="false" outlineLevel="0" collapsed="false">
      <c r="A903" s="27" t="n">
        <v>46249</v>
      </c>
      <c r="B903" s="26" t="s">
        <v>70</v>
      </c>
      <c r="C903" s="26" t="s">
        <v>130</v>
      </c>
      <c r="D903" s="26"/>
      <c r="E903" s="26" t="s">
        <v>98</v>
      </c>
      <c r="F903" s="28"/>
      <c r="G903" s="28" t="n">
        <v>36</v>
      </c>
      <c r="H903" s="26"/>
      <c r="I903" s="26"/>
      <c r="J903" s="26"/>
      <c r="K903" s="29" t="str">
        <f aca="false">IF($A903="","",IF(COUNTIFS(tblMoveTypes[Movement],$E903)=0,"Unknown movement type",IF(COUNTIF(tblShipment[Shipment ID],$C903)=0,"Unknown shipment",IF(COUNTIFS(tblShipment[Shipment ID],$C903,tblShipment[Market],$B903)=0,"Market does not match shipment",IF(AND(IFERROR(INDEX(tblMoveTypes[Item?],MATCH($E903,tblMoveTypes[Movement],0)),"?")="Yes",$D903=""),"Item needed",IF(AND(IFERROR(INDEX(tblMoveTypes[Item?],MATCH($E903,tblMoveTypes[Movement],0)),"?")="No",$D903&lt;&gt;""),"Leave Item blank",IF(AND(IFERROR(INDEX(tblMoveTypes[Courier?],MATCH($E903,tblMoveTypes[Movement],0)),"?")="Yes",$H903=""),"Courier needed",IF(AND(IFERROR(INDEX(tblMoveTypes[Courier?],MATCH($E903,tblMoveTypes[Movement],0)),"?")="No",$H903&lt;&gt;""),"Leave Courier blank",IF(AND(IFERROR(INDEX(tblMoveTypes[Orders?],MATCH($E903,tblMoveTypes[Movement],0)),"?")="Yes",$G903=""),"Orders needed",IF(AND(IFERROR(INDEX(tblMoveTypes[Orders?],MATCH($E903,tblMoveTypes[Movement],0)),"?")="No",$G903&lt;&gt;""),"Leave Orders blank",IF(AND(IFERROR(INDEX(tblMoveTypes[Reason?],MATCH($E903,tblMoveTypes[Movement],0)),"?")="Yes",$I903=""),"Reason needed",IF(AND(IFERROR(INDEX(tblMoveTypes[Qty?],MATCH($E903,tblMoveTypes[Movement],0)),"?")="Yes",N($F903)&lt;=0),"Qty needed",IF($A903&lt;_xlfn.MINIFS(tblShipment[Arrival Date],tblShipment[Shipment ID],$C903),"Date before arrival",IF(AND($D903&lt;&gt;"",COUNTIFS(tblShipment[Shipment ID],$C903,tblShipment[Item Code],$D903)=0),"Item not in this shipment",IF(AND($H903&lt;&gt;"",COUNTIFS(tblCouriers[Courier],$H903,tblCouriers[Market],$B903)=0),"Courier not in this market","OK")))))))))))))))</f>
        <v>OK</v>
      </c>
    </row>
    <row r="904" customFormat="false" ht="15" hidden="false" customHeight="false" outlineLevel="0" collapsed="false">
      <c r="A904" s="27" t="n">
        <v>46249</v>
      </c>
      <c r="B904" s="26" t="s">
        <v>70</v>
      </c>
      <c r="C904" s="26" t="s">
        <v>130</v>
      </c>
      <c r="D904" s="26" t="s">
        <v>94</v>
      </c>
      <c r="E904" s="26" t="s">
        <v>73</v>
      </c>
      <c r="F904" s="28" t="n">
        <v>5</v>
      </c>
      <c r="G904" s="28"/>
      <c r="H904" s="26"/>
      <c r="I904" s="26" t="s">
        <v>87</v>
      </c>
      <c r="J904" s="26"/>
      <c r="K904" s="29" t="str">
        <f aca="false">IF($A904="","",IF(COUNTIFS(tblMoveTypes[Movement],$E904)=0,"Unknown movement type",IF(COUNTIF(tblShipment[Shipment ID],$C904)=0,"Unknown shipment",IF(COUNTIFS(tblShipment[Shipment ID],$C904,tblShipment[Market],$B904)=0,"Market does not match shipment",IF(AND(IFERROR(INDEX(tblMoveTypes[Item?],MATCH($E904,tblMoveTypes[Movement],0)),"?")="Yes",$D904=""),"Item needed",IF(AND(IFERROR(INDEX(tblMoveTypes[Item?],MATCH($E904,tblMoveTypes[Movement],0)),"?")="No",$D904&lt;&gt;""),"Leave Item blank",IF(AND(IFERROR(INDEX(tblMoveTypes[Courier?],MATCH($E904,tblMoveTypes[Movement],0)),"?")="Yes",$H904=""),"Courier needed",IF(AND(IFERROR(INDEX(tblMoveTypes[Courier?],MATCH($E904,tblMoveTypes[Movement],0)),"?")="No",$H904&lt;&gt;""),"Leave Courier blank",IF(AND(IFERROR(INDEX(tblMoveTypes[Orders?],MATCH($E904,tblMoveTypes[Movement],0)),"?")="Yes",$G904=""),"Orders needed",IF(AND(IFERROR(INDEX(tblMoveTypes[Orders?],MATCH($E904,tblMoveTypes[Movement],0)),"?")="No",$G904&lt;&gt;""),"Leave Orders blank",IF(AND(IFERROR(INDEX(tblMoveTypes[Reason?],MATCH($E904,tblMoveTypes[Movement],0)),"?")="Yes",$I904=""),"Reason needed",IF(AND(IFERROR(INDEX(tblMoveTypes[Qty?],MATCH($E904,tblMoveTypes[Movement],0)),"?")="Yes",N($F904)&lt;=0),"Qty needed",IF($A904&lt;_xlfn.MINIFS(tblShipment[Arrival Date],tblShipment[Shipment ID],$C904),"Date before arrival",IF(AND($D904&lt;&gt;"",COUNTIFS(tblShipment[Shipment ID],$C904,tblShipment[Item Code],$D904)=0),"Item not in this shipment",IF(AND($H904&lt;&gt;"",COUNTIFS(tblCouriers[Courier],$H904,tblCouriers[Market],$B904)=0),"Courier not in this market","OK")))))))))))))))</f>
        <v>OK</v>
      </c>
    </row>
    <row r="905" customFormat="false" ht="15" hidden="false" customHeight="false" outlineLevel="0" collapsed="false">
      <c r="A905" s="27" t="n">
        <v>46249</v>
      </c>
      <c r="B905" s="26" t="s">
        <v>70</v>
      </c>
      <c r="C905" s="26" t="s">
        <v>130</v>
      </c>
      <c r="D905" s="26" t="s">
        <v>76</v>
      </c>
      <c r="E905" s="26" t="s">
        <v>73</v>
      </c>
      <c r="F905" s="28" t="n">
        <v>4</v>
      </c>
      <c r="G905" s="28"/>
      <c r="H905" s="26"/>
      <c r="I905" s="26" t="s">
        <v>80</v>
      </c>
      <c r="J905" s="26"/>
      <c r="K905" s="29" t="str">
        <f aca="false">IF($A905="","",IF(COUNTIFS(tblMoveTypes[Movement],$E905)=0,"Unknown movement type",IF(COUNTIF(tblShipment[Shipment ID],$C905)=0,"Unknown shipment",IF(COUNTIFS(tblShipment[Shipment ID],$C905,tblShipment[Market],$B905)=0,"Market does not match shipment",IF(AND(IFERROR(INDEX(tblMoveTypes[Item?],MATCH($E905,tblMoveTypes[Movement],0)),"?")="Yes",$D905=""),"Item needed",IF(AND(IFERROR(INDEX(tblMoveTypes[Item?],MATCH($E905,tblMoveTypes[Movement],0)),"?")="No",$D905&lt;&gt;""),"Leave Item blank",IF(AND(IFERROR(INDEX(tblMoveTypes[Courier?],MATCH($E905,tblMoveTypes[Movement],0)),"?")="Yes",$H905=""),"Courier needed",IF(AND(IFERROR(INDEX(tblMoveTypes[Courier?],MATCH($E905,tblMoveTypes[Movement],0)),"?")="No",$H905&lt;&gt;""),"Leave Courier blank",IF(AND(IFERROR(INDEX(tblMoveTypes[Orders?],MATCH($E905,tblMoveTypes[Movement],0)),"?")="Yes",$G905=""),"Orders needed",IF(AND(IFERROR(INDEX(tblMoveTypes[Orders?],MATCH($E905,tblMoveTypes[Movement],0)),"?")="No",$G905&lt;&gt;""),"Leave Orders blank",IF(AND(IFERROR(INDEX(tblMoveTypes[Reason?],MATCH($E905,tblMoveTypes[Movement],0)),"?")="Yes",$I905=""),"Reason needed",IF(AND(IFERROR(INDEX(tblMoveTypes[Qty?],MATCH($E905,tblMoveTypes[Movement],0)),"?")="Yes",N($F905)&lt;=0),"Qty needed",IF($A905&lt;_xlfn.MINIFS(tblShipment[Arrival Date],tblShipment[Shipment ID],$C905),"Date before arrival",IF(AND($D905&lt;&gt;"",COUNTIFS(tblShipment[Shipment ID],$C905,tblShipment[Item Code],$D905)=0),"Item not in this shipment",IF(AND($H905&lt;&gt;"",COUNTIFS(tblCouriers[Courier],$H905,tblCouriers[Market],$B905)=0),"Courier not in this market","OK")))))))))))))))</f>
        <v>OK</v>
      </c>
    </row>
    <row r="906" customFormat="false" ht="15" hidden="false" customHeight="false" outlineLevel="0" collapsed="false">
      <c r="A906" s="27" t="n">
        <v>46249</v>
      </c>
      <c r="B906" s="26" t="s">
        <v>70</v>
      </c>
      <c r="C906" s="26" t="s">
        <v>130</v>
      </c>
      <c r="D906" s="26" t="s">
        <v>99</v>
      </c>
      <c r="E906" s="26" t="s">
        <v>73</v>
      </c>
      <c r="F906" s="28" t="n">
        <v>3</v>
      </c>
      <c r="G906" s="28"/>
      <c r="H906" s="26"/>
      <c r="I906" s="26" t="s">
        <v>87</v>
      </c>
      <c r="J906" s="26"/>
      <c r="K906" s="29" t="str">
        <f aca="false">IF($A906="","",IF(COUNTIFS(tblMoveTypes[Movement],$E906)=0,"Unknown movement type",IF(COUNTIF(tblShipment[Shipment ID],$C906)=0,"Unknown shipment",IF(COUNTIFS(tblShipment[Shipment ID],$C906,tblShipment[Market],$B906)=0,"Market does not match shipment",IF(AND(IFERROR(INDEX(tblMoveTypes[Item?],MATCH($E906,tblMoveTypes[Movement],0)),"?")="Yes",$D906=""),"Item needed",IF(AND(IFERROR(INDEX(tblMoveTypes[Item?],MATCH($E906,tblMoveTypes[Movement],0)),"?")="No",$D906&lt;&gt;""),"Leave Item blank",IF(AND(IFERROR(INDEX(tblMoveTypes[Courier?],MATCH($E906,tblMoveTypes[Movement],0)),"?")="Yes",$H906=""),"Courier needed",IF(AND(IFERROR(INDEX(tblMoveTypes[Courier?],MATCH($E906,tblMoveTypes[Movement],0)),"?")="No",$H906&lt;&gt;""),"Leave Courier blank",IF(AND(IFERROR(INDEX(tblMoveTypes[Orders?],MATCH($E906,tblMoveTypes[Movement],0)),"?")="Yes",$G906=""),"Orders needed",IF(AND(IFERROR(INDEX(tblMoveTypes[Orders?],MATCH($E906,tblMoveTypes[Movement],0)),"?")="No",$G906&lt;&gt;""),"Leave Orders blank",IF(AND(IFERROR(INDEX(tblMoveTypes[Reason?],MATCH($E906,tblMoveTypes[Movement],0)),"?")="Yes",$I906=""),"Reason needed",IF(AND(IFERROR(INDEX(tblMoveTypes[Qty?],MATCH($E906,tblMoveTypes[Movement],0)),"?")="Yes",N($F906)&lt;=0),"Qty needed",IF($A906&lt;_xlfn.MINIFS(tblShipment[Arrival Date],tblShipment[Shipment ID],$C906),"Date before arrival",IF(AND($D906&lt;&gt;"",COUNTIFS(tblShipment[Shipment ID],$C906,tblShipment[Item Code],$D906)=0),"Item not in this shipment",IF(AND($H906&lt;&gt;"",COUNTIFS(tblCouriers[Courier],$H906,tblCouriers[Market],$B906)=0),"Courier not in this market","OK")))))))))))))))</f>
        <v>OK</v>
      </c>
    </row>
    <row r="907" customFormat="false" ht="15" hidden="false" customHeight="false" outlineLevel="0" collapsed="false">
      <c r="A907" s="27" t="n">
        <v>46249</v>
      </c>
      <c r="B907" s="26" t="s">
        <v>70</v>
      </c>
      <c r="C907" s="26" t="s">
        <v>130</v>
      </c>
      <c r="D907" s="26" t="s">
        <v>94</v>
      </c>
      <c r="E907" s="26" t="s">
        <v>93</v>
      </c>
      <c r="F907" s="28" t="n">
        <v>40</v>
      </c>
      <c r="G907" s="28"/>
      <c r="H907" s="26" t="s">
        <v>71</v>
      </c>
      <c r="I907" s="26"/>
      <c r="J907" s="26"/>
      <c r="K907" s="29" t="str">
        <f aca="false">IF($A907="","",IF(COUNTIFS(tblMoveTypes[Movement],$E907)=0,"Unknown movement type",IF(COUNTIF(tblShipment[Shipment ID],$C907)=0,"Unknown shipment",IF(COUNTIFS(tblShipment[Shipment ID],$C907,tblShipment[Market],$B907)=0,"Market does not match shipment",IF(AND(IFERROR(INDEX(tblMoveTypes[Item?],MATCH($E907,tblMoveTypes[Movement],0)),"?")="Yes",$D907=""),"Item needed",IF(AND(IFERROR(INDEX(tblMoveTypes[Item?],MATCH($E907,tblMoveTypes[Movement],0)),"?")="No",$D907&lt;&gt;""),"Leave Item blank",IF(AND(IFERROR(INDEX(tblMoveTypes[Courier?],MATCH($E907,tblMoveTypes[Movement],0)),"?")="Yes",$H907=""),"Courier needed",IF(AND(IFERROR(INDEX(tblMoveTypes[Courier?],MATCH($E907,tblMoveTypes[Movement],0)),"?")="No",$H907&lt;&gt;""),"Leave Courier blank",IF(AND(IFERROR(INDEX(tblMoveTypes[Orders?],MATCH($E907,tblMoveTypes[Movement],0)),"?")="Yes",$G907=""),"Orders needed",IF(AND(IFERROR(INDEX(tblMoveTypes[Orders?],MATCH($E907,tblMoveTypes[Movement],0)),"?")="No",$G907&lt;&gt;""),"Leave Orders blank",IF(AND(IFERROR(INDEX(tblMoveTypes[Reason?],MATCH($E907,tblMoveTypes[Movement],0)),"?")="Yes",$I907=""),"Reason needed",IF(AND(IFERROR(INDEX(tblMoveTypes[Qty?],MATCH($E907,tblMoveTypes[Movement],0)),"?")="Yes",N($F907)&lt;=0),"Qty needed",IF($A907&lt;_xlfn.MINIFS(tblShipment[Arrival Date],tblShipment[Shipment ID],$C907),"Date before arrival",IF(AND($D907&lt;&gt;"",COUNTIFS(tblShipment[Shipment ID],$C907,tblShipment[Item Code],$D907)=0),"Item not in this shipment",IF(AND($H907&lt;&gt;"",COUNTIFS(tblCouriers[Courier],$H907,tblCouriers[Market],$B907)=0),"Courier not in this market","OK")))))))))))))))</f>
        <v>OK</v>
      </c>
    </row>
    <row r="908" customFormat="false" ht="15" hidden="false" customHeight="false" outlineLevel="0" collapsed="false">
      <c r="A908" s="27" t="n">
        <v>46249</v>
      </c>
      <c r="B908" s="26" t="s">
        <v>70</v>
      </c>
      <c r="C908" s="26" t="s">
        <v>130</v>
      </c>
      <c r="D908" s="26" t="s">
        <v>76</v>
      </c>
      <c r="E908" s="26" t="s">
        <v>93</v>
      </c>
      <c r="F908" s="28" t="n">
        <v>62</v>
      </c>
      <c r="G908" s="28"/>
      <c r="H908" s="26" t="s">
        <v>71</v>
      </c>
      <c r="I908" s="26"/>
      <c r="J908" s="26"/>
      <c r="K908" s="29" t="str">
        <f aca="false">IF($A908="","",IF(COUNTIFS(tblMoveTypes[Movement],$E908)=0,"Unknown movement type",IF(COUNTIF(tblShipment[Shipment ID],$C908)=0,"Unknown shipment",IF(COUNTIFS(tblShipment[Shipment ID],$C908,tblShipment[Market],$B908)=0,"Market does not match shipment",IF(AND(IFERROR(INDEX(tblMoveTypes[Item?],MATCH($E908,tblMoveTypes[Movement],0)),"?")="Yes",$D908=""),"Item needed",IF(AND(IFERROR(INDEX(tblMoveTypes[Item?],MATCH($E908,tblMoveTypes[Movement],0)),"?")="No",$D908&lt;&gt;""),"Leave Item blank",IF(AND(IFERROR(INDEX(tblMoveTypes[Courier?],MATCH($E908,tblMoveTypes[Movement],0)),"?")="Yes",$H908=""),"Courier needed",IF(AND(IFERROR(INDEX(tblMoveTypes[Courier?],MATCH($E908,tblMoveTypes[Movement],0)),"?")="No",$H908&lt;&gt;""),"Leave Courier blank",IF(AND(IFERROR(INDEX(tblMoveTypes[Orders?],MATCH($E908,tblMoveTypes[Movement],0)),"?")="Yes",$G908=""),"Orders needed",IF(AND(IFERROR(INDEX(tblMoveTypes[Orders?],MATCH($E908,tblMoveTypes[Movement],0)),"?")="No",$G908&lt;&gt;""),"Leave Orders blank",IF(AND(IFERROR(INDEX(tblMoveTypes[Reason?],MATCH($E908,tblMoveTypes[Movement],0)),"?")="Yes",$I908=""),"Reason needed",IF(AND(IFERROR(INDEX(tblMoveTypes[Qty?],MATCH($E908,tblMoveTypes[Movement],0)),"?")="Yes",N($F908)&lt;=0),"Qty needed",IF($A908&lt;_xlfn.MINIFS(tblShipment[Arrival Date],tblShipment[Shipment ID],$C908),"Date before arrival",IF(AND($D908&lt;&gt;"",COUNTIFS(tblShipment[Shipment ID],$C908,tblShipment[Item Code],$D908)=0),"Item not in this shipment",IF(AND($H908&lt;&gt;"",COUNTIFS(tblCouriers[Courier],$H908,tblCouriers[Market],$B908)=0),"Courier not in this market","OK")))))))))))))))</f>
        <v>OK</v>
      </c>
    </row>
    <row r="909" customFormat="false" ht="15" hidden="false" customHeight="false" outlineLevel="0" collapsed="false">
      <c r="A909" s="27" t="n">
        <v>46249</v>
      </c>
      <c r="B909" s="26" t="s">
        <v>70</v>
      </c>
      <c r="C909" s="26" t="s">
        <v>130</v>
      </c>
      <c r="D909" s="26" t="s">
        <v>99</v>
      </c>
      <c r="E909" s="26" t="s">
        <v>93</v>
      </c>
      <c r="F909" s="28" t="n">
        <v>24</v>
      </c>
      <c r="G909" s="28"/>
      <c r="H909" s="26" t="s">
        <v>71</v>
      </c>
      <c r="I909" s="26"/>
      <c r="J909" s="26"/>
      <c r="K909" s="29" t="str">
        <f aca="false">IF($A909="","",IF(COUNTIFS(tblMoveTypes[Movement],$E909)=0,"Unknown movement type",IF(COUNTIF(tblShipment[Shipment ID],$C909)=0,"Unknown shipment",IF(COUNTIFS(tblShipment[Shipment ID],$C909,tblShipment[Market],$B909)=0,"Market does not match shipment",IF(AND(IFERROR(INDEX(tblMoveTypes[Item?],MATCH($E909,tblMoveTypes[Movement],0)),"?")="Yes",$D909=""),"Item needed",IF(AND(IFERROR(INDEX(tblMoveTypes[Item?],MATCH($E909,tblMoveTypes[Movement],0)),"?")="No",$D909&lt;&gt;""),"Leave Item blank",IF(AND(IFERROR(INDEX(tblMoveTypes[Courier?],MATCH($E909,tblMoveTypes[Movement],0)),"?")="Yes",$H909=""),"Courier needed",IF(AND(IFERROR(INDEX(tblMoveTypes[Courier?],MATCH($E909,tblMoveTypes[Movement],0)),"?")="No",$H909&lt;&gt;""),"Leave Courier blank",IF(AND(IFERROR(INDEX(tblMoveTypes[Orders?],MATCH($E909,tblMoveTypes[Movement],0)),"?")="Yes",$G909=""),"Orders needed",IF(AND(IFERROR(INDEX(tblMoveTypes[Orders?],MATCH($E909,tblMoveTypes[Movement],0)),"?")="No",$G909&lt;&gt;""),"Leave Orders blank",IF(AND(IFERROR(INDEX(tblMoveTypes[Reason?],MATCH($E909,tblMoveTypes[Movement],0)),"?")="Yes",$I909=""),"Reason needed",IF(AND(IFERROR(INDEX(tblMoveTypes[Qty?],MATCH($E909,tblMoveTypes[Movement],0)),"?")="Yes",N($F909)&lt;=0),"Qty needed",IF($A909&lt;_xlfn.MINIFS(tblShipment[Arrival Date],tblShipment[Shipment ID],$C909),"Date before arrival",IF(AND($D909&lt;&gt;"",COUNTIFS(tblShipment[Shipment ID],$C909,tblShipment[Item Code],$D909)=0),"Item not in this shipment",IF(AND($H909&lt;&gt;"",COUNTIFS(tblCouriers[Courier],$H909,tblCouriers[Market],$B909)=0),"Courier not in this market","OK")))))))))))))))</f>
        <v>OK</v>
      </c>
    </row>
    <row r="910" customFormat="false" ht="15" hidden="false" customHeight="false" outlineLevel="0" collapsed="false">
      <c r="A910" s="27" t="n">
        <v>46249</v>
      </c>
      <c r="B910" s="26" t="s">
        <v>70</v>
      </c>
      <c r="C910" s="26" t="s">
        <v>130</v>
      </c>
      <c r="D910" s="26"/>
      <c r="E910" s="26" t="s">
        <v>104</v>
      </c>
      <c r="F910" s="28"/>
      <c r="G910" s="28" t="n">
        <v>36</v>
      </c>
      <c r="H910" s="26" t="s">
        <v>71</v>
      </c>
      <c r="I910" s="26"/>
      <c r="J910" s="26"/>
      <c r="K910" s="29" t="str">
        <f aca="false">IF($A910="","",IF(COUNTIFS(tblMoveTypes[Movement],$E910)=0,"Unknown movement type",IF(COUNTIF(tblShipment[Shipment ID],$C910)=0,"Unknown shipment",IF(COUNTIFS(tblShipment[Shipment ID],$C910,tblShipment[Market],$B910)=0,"Market does not match shipment",IF(AND(IFERROR(INDEX(tblMoveTypes[Item?],MATCH($E910,tblMoveTypes[Movement],0)),"?")="Yes",$D910=""),"Item needed",IF(AND(IFERROR(INDEX(tblMoveTypes[Item?],MATCH($E910,tblMoveTypes[Movement],0)),"?")="No",$D910&lt;&gt;""),"Leave Item blank",IF(AND(IFERROR(INDEX(tblMoveTypes[Courier?],MATCH($E910,tblMoveTypes[Movement],0)),"?")="Yes",$H910=""),"Courier needed",IF(AND(IFERROR(INDEX(tblMoveTypes[Courier?],MATCH($E910,tblMoveTypes[Movement],0)),"?")="No",$H910&lt;&gt;""),"Leave Courier blank",IF(AND(IFERROR(INDEX(tblMoveTypes[Orders?],MATCH($E910,tblMoveTypes[Movement],0)),"?")="Yes",$G910=""),"Orders needed",IF(AND(IFERROR(INDEX(tblMoveTypes[Orders?],MATCH($E910,tblMoveTypes[Movement],0)),"?")="No",$G910&lt;&gt;""),"Leave Orders blank",IF(AND(IFERROR(INDEX(tblMoveTypes[Reason?],MATCH($E910,tblMoveTypes[Movement],0)),"?")="Yes",$I910=""),"Reason needed",IF(AND(IFERROR(INDEX(tblMoveTypes[Qty?],MATCH($E910,tblMoveTypes[Movement],0)),"?")="Yes",N($F910)&lt;=0),"Qty needed",IF($A910&lt;_xlfn.MINIFS(tblShipment[Arrival Date],tblShipment[Shipment ID],$C910),"Date before arrival",IF(AND($D910&lt;&gt;"",COUNTIFS(tblShipment[Shipment ID],$C910,tblShipment[Item Code],$D910)=0),"Item not in this shipment",IF(AND($H910&lt;&gt;"",COUNTIFS(tblCouriers[Courier],$H910,tblCouriers[Market],$B910)=0),"Courier not in this market","OK")))))))))))))))</f>
        <v>OK</v>
      </c>
    </row>
    <row r="911" customFormat="false" ht="15" hidden="false" customHeight="false" outlineLevel="0" collapsed="false">
      <c r="A911" s="27" t="n">
        <v>46249</v>
      </c>
      <c r="B911" s="26" t="s">
        <v>70</v>
      </c>
      <c r="C911" s="26" t="s">
        <v>130</v>
      </c>
      <c r="D911" s="26"/>
      <c r="E911" s="26" t="s">
        <v>106</v>
      </c>
      <c r="F911" s="28" t="n">
        <v>43</v>
      </c>
      <c r="G911" s="28" t="n">
        <v>12</v>
      </c>
      <c r="H911" s="26" t="s">
        <v>71</v>
      </c>
      <c r="I911" s="26"/>
      <c r="J911" s="26"/>
      <c r="K911" s="29" t="str">
        <f aca="false">IF($A911="","",IF(COUNTIFS(tblMoveTypes[Movement],$E911)=0,"Unknown movement type",IF(COUNTIF(tblShipment[Shipment ID],$C911)=0,"Unknown shipment",IF(COUNTIFS(tblShipment[Shipment ID],$C911,tblShipment[Market],$B911)=0,"Market does not match shipment",IF(AND(IFERROR(INDEX(tblMoveTypes[Item?],MATCH($E911,tblMoveTypes[Movement],0)),"?")="Yes",$D911=""),"Item needed",IF(AND(IFERROR(INDEX(tblMoveTypes[Item?],MATCH($E911,tblMoveTypes[Movement],0)),"?")="No",$D911&lt;&gt;""),"Leave Item blank",IF(AND(IFERROR(INDEX(tblMoveTypes[Courier?],MATCH($E911,tblMoveTypes[Movement],0)),"?")="Yes",$H911=""),"Courier needed",IF(AND(IFERROR(INDEX(tblMoveTypes[Courier?],MATCH($E911,tblMoveTypes[Movement],0)),"?")="No",$H911&lt;&gt;""),"Leave Courier blank",IF(AND(IFERROR(INDEX(tblMoveTypes[Orders?],MATCH($E911,tblMoveTypes[Movement],0)),"?")="Yes",$G911=""),"Orders needed",IF(AND(IFERROR(INDEX(tblMoveTypes[Orders?],MATCH($E911,tblMoveTypes[Movement],0)),"?")="No",$G911&lt;&gt;""),"Leave Orders blank",IF(AND(IFERROR(INDEX(tblMoveTypes[Reason?],MATCH($E911,tblMoveTypes[Movement],0)),"?")="Yes",$I911=""),"Reason needed",IF(AND(IFERROR(INDEX(tblMoveTypes[Qty?],MATCH($E911,tblMoveTypes[Movement],0)),"?")="Yes",N($F911)&lt;=0),"Qty needed",IF($A911&lt;_xlfn.MINIFS(tblShipment[Arrival Date],tblShipment[Shipment ID],$C911),"Date before arrival",IF(AND($D911&lt;&gt;"",COUNTIFS(tblShipment[Shipment ID],$C911,tblShipment[Item Code],$D911)=0),"Item not in this shipment",IF(AND($H911&lt;&gt;"",COUNTIFS(tblCouriers[Courier],$H911,tblCouriers[Market],$B911)=0),"Courier not in this market","OK")))))))))))))))</f>
        <v>OK</v>
      </c>
    </row>
    <row r="912" customFormat="false" ht="15" hidden="false" customHeight="false" outlineLevel="0" collapsed="false">
      <c r="A912" s="27" t="n">
        <v>46249</v>
      </c>
      <c r="B912" s="26" t="s">
        <v>85</v>
      </c>
      <c r="C912" s="26" t="s">
        <v>145</v>
      </c>
      <c r="D912" s="26"/>
      <c r="E912" s="26" t="s">
        <v>106</v>
      </c>
      <c r="F912" s="28" t="n">
        <v>8</v>
      </c>
      <c r="G912" s="28" t="n">
        <v>1</v>
      </c>
      <c r="H912" s="26" t="s">
        <v>91</v>
      </c>
      <c r="I912" s="26"/>
      <c r="J912" s="26"/>
      <c r="K912" s="29" t="str">
        <f aca="false">IF($A912="","",IF(COUNTIFS(tblMoveTypes[Movement],$E912)=0,"Unknown movement type",IF(COUNTIF(tblShipment[Shipment ID],$C912)=0,"Unknown shipment",IF(COUNTIFS(tblShipment[Shipment ID],$C912,tblShipment[Market],$B912)=0,"Market does not match shipment",IF(AND(IFERROR(INDEX(tblMoveTypes[Item?],MATCH($E912,tblMoveTypes[Movement],0)),"?")="Yes",$D912=""),"Item needed",IF(AND(IFERROR(INDEX(tblMoveTypes[Item?],MATCH($E912,tblMoveTypes[Movement],0)),"?")="No",$D912&lt;&gt;""),"Leave Item blank",IF(AND(IFERROR(INDEX(tblMoveTypes[Courier?],MATCH($E912,tblMoveTypes[Movement],0)),"?")="Yes",$H912=""),"Courier needed",IF(AND(IFERROR(INDEX(tblMoveTypes[Courier?],MATCH($E912,tblMoveTypes[Movement],0)),"?")="No",$H912&lt;&gt;""),"Leave Courier blank",IF(AND(IFERROR(INDEX(tblMoveTypes[Orders?],MATCH($E912,tblMoveTypes[Movement],0)),"?")="Yes",$G912=""),"Orders needed",IF(AND(IFERROR(INDEX(tblMoveTypes[Orders?],MATCH($E912,tblMoveTypes[Movement],0)),"?")="No",$G912&lt;&gt;""),"Leave Orders blank",IF(AND(IFERROR(INDEX(tblMoveTypes[Reason?],MATCH($E912,tblMoveTypes[Movement],0)),"?")="Yes",$I912=""),"Reason needed",IF(AND(IFERROR(INDEX(tblMoveTypes[Qty?],MATCH($E912,tblMoveTypes[Movement],0)),"?")="Yes",N($F912)&lt;=0),"Qty needed",IF($A912&lt;_xlfn.MINIFS(tblShipment[Arrival Date],tblShipment[Shipment ID],$C912),"Date before arrival",IF(AND($D912&lt;&gt;"",COUNTIFS(tblShipment[Shipment ID],$C912,tblShipment[Item Code],$D912)=0),"Item not in this shipment",IF(AND($H912&lt;&gt;"",COUNTIFS(tblCouriers[Courier],$H912,tblCouriers[Market],$B912)=0),"Courier not in this market","OK")))))))))))))))</f>
        <v>OK</v>
      </c>
    </row>
    <row r="913" customFormat="false" ht="15" hidden="false" customHeight="false" outlineLevel="0" collapsed="false">
      <c r="A913" s="27" t="n">
        <v>46249</v>
      </c>
      <c r="B913" s="26" t="s">
        <v>85</v>
      </c>
      <c r="C913" s="26" t="s">
        <v>146</v>
      </c>
      <c r="D913" s="26"/>
      <c r="E913" s="26" t="s">
        <v>106</v>
      </c>
      <c r="F913" s="28" t="n">
        <v>7</v>
      </c>
      <c r="G913" s="28" t="n">
        <v>2</v>
      </c>
      <c r="H913" s="26" t="s">
        <v>96</v>
      </c>
      <c r="I913" s="26"/>
      <c r="J913" s="26"/>
      <c r="K913" s="29" t="str">
        <f aca="false">IF($A913="","",IF(COUNTIFS(tblMoveTypes[Movement],$E913)=0,"Unknown movement type",IF(COUNTIF(tblShipment[Shipment ID],$C913)=0,"Unknown shipment",IF(COUNTIFS(tblShipment[Shipment ID],$C913,tblShipment[Market],$B913)=0,"Market does not match shipment",IF(AND(IFERROR(INDEX(tblMoveTypes[Item?],MATCH($E913,tblMoveTypes[Movement],0)),"?")="Yes",$D913=""),"Item needed",IF(AND(IFERROR(INDEX(tblMoveTypes[Item?],MATCH($E913,tblMoveTypes[Movement],0)),"?")="No",$D913&lt;&gt;""),"Leave Item blank",IF(AND(IFERROR(INDEX(tblMoveTypes[Courier?],MATCH($E913,tblMoveTypes[Movement],0)),"?")="Yes",$H913=""),"Courier needed",IF(AND(IFERROR(INDEX(tblMoveTypes[Courier?],MATCH($E913,tblMoveTypes[Movement],0)),"?")="No",$H913&lt;&gt;""),"Leave Courier blank",IF(AND(IFERROR(INDEX(tblMoveTypes[Orders?],MATCH($E913,tblMoveTypes[Movement],0)),"?")="Yes",$G913=""),"Orders needed",IF(AND(IFERROR(INDEX(tblMoveTypes[Orders?],MATCH($E913,tblMoveTypes[Movement],0)),"?")="No",$G913&lt;&gt;""),"Leave Orders blank",IF(AND(IFERROR(INDEX(tblMoveTypes[Reason?],MATCH($E913,tblMoveTypes[Movement],0)),"?")="Yes",$I913=""),"Reason needed",IF(AND(IFERROR(INDEX(tblMoveTypes[Qty?],MATCH($E913,tblMoveTypes[Movement],0)),"?")="Yes",N($F913)&lt;=0),"Qty needed",IF($A913&lt;_xlfn.MINIFS(tblShipment[Arrival Date],tblShipment[Shipment ID],$C913),"Date before arrival",IF(AND($D913&lt;&gt;"",COUNTIFS(tblShipment[Shipment ID],$C913,tblShipment[Item Code],$D913)=0),"Item not in this shipment",IF(AND($H913&lt;&gt;"",COUNTIFS(tblCouriers[Courier],$H913,tblCouriers[Market],$B913)=0),"Courier not in this market","OK")))))))))))))))</f>
        <v>OK</v>
      </c>
    </row>
    <row r="914" customFormat="false" ht="15" hidden="false" customHeight="false" outlineLevel="0" collapsed="false">
      <c r="A914" s="27" t="n">
        <v>46249</v>
      </c>
      <c r="B914" s="26" t="s">
        <v>85</v>
      </c>
      <c r="C914" s="26" t="s">
        <v>146</v>
      </c>
      <c r="D914" s="26"/>
      <c r="E914" s="26" t="s">
        <v>108</v>
      </c>
      <c r="F914" s="28" t="n">
        <v>3</v>
      </c>
      <c r="G914" s="28" t="n">
        <v>1</v>
      </c>
      <c r="H914" s="26" t="s">
        <v>96</v>
      </c>
      <c r="I914" s="26" t="s">
        <v>102</v>
      </c>
      <c r="J914" s="26"/>
      <c r="K914" s="29" t="str">
        <f aca="false">IF($A914="","",IF(COUNTIFS(tblMoveTypes[Movement],$E914)=0,"Unknown movement type",IF(COUNTIF(tblShipment[Shipment ID],$C914)=0,"Unknown shipment",IF(COUNTIFS(tblShipment[Shipment ID],$C914,tblShipment[Market],$B914)=0,"Market does not match shipment",IF(AND(IFERROR(INDEX(tblMoveTypes[Item?],MATCH($E914,tblMoveTypes[Movement],0)),"?")="Yes",$D914=""),"Item needed",IF(AND(IFERROR(INDEX(tblMoveTypes[Item?],MATCH($E914,tblMoveTypes[Movement],0)),"?")="No",$D914&lt;&gt;""),"Leave Item blank",IF(AND(IFERROR(INDEX(tblMoveTypes[Courier?],MATCH($E914,tblMoveTypes[Movement],0)),"?")="Yes",$H914=""),"Courier needed",IF(AND(IFERROR(INDEX(tblMoveTypes[Courier?],MATCH($E914,tblMoveTypes[Movement],0)),"?")="No",$H914&lt;&gt;""),"Leave Courier blank",IF(AND(IFERROR(INDEX(tblMoveTypes[Orders?],MATCH($E914,tblMoveTypes[Movement],0)),"?")="Yes",$G914=""),"Orders needed",IF(AND(IFERROR(INDEX(tblMoveTypes[Orders?],MATCH($E914,tblMoveTypes[Movement],0)),"?")="No",$G914&lt;&gt;""),"Leave Orders blank",IF(AND(IFERROR(INDEX(tblMoveTypes[Reason?],MATCH($E914,tblMoveTypes[Movement],0)),"?")="Yes",$I914=""),"Reason needed",IF(AND(IFERROR(INDEX(tblMoveTypes[Qty?],MATCH($E914,tblMoveTypes[Movement],0)),"?")="Yes",N($F914)&lt;=0),"Qty needed",IF($A914&lt;_xlfn.MINIFS(tblShipment[Arrival Date],tblShipment[Shipment ID],$C914),"Date before arrival",IF(AND($D914&lt;&gt;"",COUNTIFS(tblShipment[Shipment ID],$C914,tblShipment[Item Code],$D914)=0),"Item not in this shipment",IF(AND($H914&lt;&gt;"",COUNTIFS(tblCouriers[Courier],$H914,tblCouriers[Market],$B914)=0),"Courier not in this market","OK")))))))))))))))</f>
        <v>OK</v>
      </c>
    </row>
    <row r="915" customFormat="false" ht="15" hidden="false" customHeight="false" outlineLevel="0" collapsed="false">
      <c r="A915" s="27" t="n">
        <v>46249</v>
      </c>
      <c r="B915" s="26" t="s">
        <v>85</v>
      </c>
      <c r="C915" s="26" t="s">
        <v>146</v>
      </c>
      <c r="D915" s="26" t="s">
        <v>67</v>
      </c>
      <c r="E915" s="26" t="s">
        <v>110</v>
      </c>
      <c r="F915" s="28" t="n">
        <v>2</v>
      </c>
      <c r="G915" s="28"/>
      <c r="H915" s="26"/>
      <c r="I915" s="26"/>
      <c r="J915" s="26"/>
      <c r="K915" s="29" t="str">
        <f aca="false">IF($A915="","",IF(COUNTIFS(tblMoveTypes[Movement],$E915)=0,"Unknown movement type",IF(COUNTIF(tblShipment[Shipment ID],$C915)=0,"Unknown shipment",IF(COUNTIFS(tblShipment[Shipment ID],$C915,tblShipment[Market],$B915)=0,"Market does not match shipment",IF(AND(IFERROR(INDEX(tblMoveTypes[Item?],MATCH($E915,tblMoveTypes[Movement],0)),"?")="Yes",$D915=""),"Item needed",IF(AND(IFERROR(INDEX(tblMoveTypes[Item?],MATCH($E915,tblMoveTypes[Movement],0)),"?")="No",$D915&lt;&gt;""),"Leave Item blank",IF(AND(IFERROR(INDEX(tblMoveTypes[Courier?],MATCH($E915,tblMoveTypes[Movement],0)),"?")="Yes",$H915=""),"Courier needed",IF(AND(IFERROR(INDEX(tblMoveTypes[Courier?],MATCH($E915,tblMoveTypes[Movement],0)),"?")="No",$H915&lt;&gt;""),"Leave Courier blank",IF(AND(IFERROR(INDEX(tblMoveTypes[Orders?],MATCH($E915,tblMoveTypes[Movement],0)),"?")="Yes",$G915=""),"Orders needed",IF(AND(IFERROR(INDEX(tblMoveTypes[Orders?],MATCH($E915,tblMoveTypes[Movement],0)),"?")="No",$G915&lt;&gt;""),"Leave Orders blank",IF(AND(IFERROR(INDEX(tblMoveTypes[Reason?],MATCH($E915,tblMoveTypes[Movement],0)),"?")="Yes",$I915=""),"Reason needed",IF(AND(IFERROR(INDEX(tblMoveTypes[Qty?],MATCH($E915,tblMoveTypes[Movement],0)),"?")="Yes",N($F915)&lt;=0),"Qty needed",IF($A915&lt;_xlfn.MINIFS(tblShipment[Arrival Date],tblShipment[Shipment ID],$C915),"Date before arrival",IF(AND($D915&lt;&gt;"",COUNTIFS(tblShipment[Shipment ID],$C915,tblShipment[Item Code],$D915)=0),"Item not in this shipment",IF(AND($H915&lt;&gt;"",COUNTIFS(tblCouriers[Courier],$H915,tblCouriers[Market],$B915)=0),"Courier not in this market","OK")))))))))))))))</f>
        <v>OK</v>
      </c>
    </row>
    <row r="916" customFormat="false" ht="15" hidden="false" customHeight="false" outlineLevel="0" collapsed="false">
      <c r="A916" s="27" t="n">
        <v>46249</v>
      </c>
      <c r="B916" s="26" t="s">
        <v>85</v>
      </c>
      <c r="C916" s="26" t="s">
        <v>146</v>
      </c>
      <c r="D916" s="26" t="s">
        <v>67</v>
      </c>
      <c r="E916" s="26" t="s">
        <v>112</v>
      </c>
      <c r="F916" s="28" t="n">
        <v>1</v>
      </c>
      <c r="G916" s="28"/>
      <c r="H916" s="26"/>
      <c r="I916" s="26" t="s">
        <v>80</v>
      </c>
      <c r="J916" s="26"/>
      <c r="K916" s="29" t="str">
        <f aca="false">IF($A916="","",IF(COUNTIFS(tblMoveTypes[Movement],$E916)=0,"Unknown movement type",IF(COUNTIF(tblShipment[Shipment ID],$C916)=0,"Unknown shipment",IF(COUNTIFS(tblShipment[Shipment ID],$C916,tblShipment[Market],$B916)=0,"Market does not match shipment",IF(AND(IFERROR(INDEX(tblMoveTypes[Item?],MATCH($E916,tblMoveTypes[Movement],0)),"?")="Yes",$D916=""),"Item needed",IF(AND(IFERROR(INDEX(tblMoveTypes[Item?],MATCH($E916,tblMoveTypes[Movement],0)),"?")="No",$D916&lt;&gt;""),"Leave Item blank",IF(AND(IFERROR(INDEX(tblMoveTypes[Courier?],MATCH($E916,tblMoveTypes[Movement],0)),"?")="Yes",$H916=""),"Courier needed",IF(AND(IFERROR(INDEX(tblMoveTypes[Courier?],MATCH($E916,tblMoveTypes[Movement],0)),"?")="No",$H916&lt;&gt;""),"Leave Courier blank",IF(AND(IFERROR(INDEX(tblMoveTypes[Orders?],MATCH($E916,tblMoveTypes[Movement],0)),"?")="Yes",$G916=""),"Orders needed",IF(AND(IFERROR(INDEX(tblMoveTypes[Orders?],MATCH($E916,tblMoveTypes[Movement],0)),"?")="No",$G916&lt;&gt;""),"Leave Orders blank",IF(AND(IFERROR(INDEX(tblMoveTypes[Reason?],MATCH($E916,tblMoveTypes[Movement],0)),"?")="Yes",$I916=""),"Reason needed",IF(AND(IFERROR(INDEX(tblMoveTypes[Qty?],MATCH($E916,tblMoveTypes[Movement],0)),"?")="Yes",N($F916)&lt;=0),"Qty needed",IF($A916&lt;_xlfn.MINIFS(tblShipment[Arrival Date],tblShipment[Shipment ID],$C916),"Date before arrival",IF(AND($D916&lt;&gt;"",COUNTIFS(tblShipment[Shipment ID],$C916,tblShipment[Item Code],$D916)=0),"Item not in this shipment",IF(AND($H916&lt;&gt;"",COUNTIFS(tblCouriers[Courier],$H916,tblCouriers[Market],$B916)=0),"Courier not in this market","OK")))))))))))))))</f>
        <v>OK</v>
      </c>
    </row>
    <row r="917" customFormat="false" ht="15" hidden="false" customHeight="false" outlineLevel="0" collapsed="false">
      <c r="A917" s="27" t="n">
        <v>46249</v>
      </c>
      <c r="B917" s="26" t="s">
        <v>90</v>
      </c>
      <c r="C917" s="26" t="s">
        <v>153</v>
      </c>
      <c r="D917" s="26"/>
      <c r="E917" s="26" t="s">
        <v>106</v>
      </c>
      <c r="F917" s="28" t="n">
        <v>21</v>
      </c>
      <c r="G917" s="28" t="n">
        <v>8</v>
      </c>
      <c r="H917" s="26" t="s">
        <v>101</v>
      </c>
      <c r="I917" s="26"/>
      <c r="J917" s="26"/>
      <c r="K917" s="29" t="str">
        <f aca="false">IF($A917="","",IF(COUNTIFS(tblMoveTypes[Movement],$E917)=0,"Unknown movement type",IF(COUNTIF(tblShipment[Shipment ID],$C917)=0,"Unknown shipment",IF(COUNTIFS(tblShipment[Shipment ID],$C917,tblShipment[Market],$B917)=0,"Market does not match shipment",IF(AND(IFERROR(INDEX(tblMoveTypes[Item?],MATCH($E917,tblMoveTypes[Movement],0)),"?")="Yes",$D917=""),"Item needed",IF(AND(IFERROR(INDEX(tblMoveTypes[Item?],MATCH($E917,tblMoveTypes[Movement],0)),"?")="No",$D917&lt;&gt;""),"Leave Item blank",IF(AND(IFERROR(INDEX(tblMoveTypes[Courier?],MATCH($E917,tblMoveTypes[Movement],0)),"?")="Yes",$H917=""),"Courier needed",IF(AND(IFERROR(INDEX(tblMoveTypes[Courier?],MATCH($E917,tblMoveTypes[Movement],0)),"?")="No",$H917&lt;&gt;""),"Leave Courier blank",IF(AND(IFERROR(INDEX(tblMoveTypes[Orders?],MATCH($E917,tblMoveTypes[Movement],0)),"?")="Yes",$G917=""),"Orders needed",IF(AND(IFERROR(INDEX(tblMoveTypes[Orders?],MATCH($E917,tblMoveTypes[Movement],0)),"?")="No",$G917&lt;&gt;""),"Leave Orders blank",IF(AND(IFERROR(INDEX(tblMoveTypes[Reason?],MATCH($E917,tblMoveTypes[Movement],0)),"?")="Yes",$I917=""),"Reason needed",IF(AND(IFERROR(INDEX(tblMoveTypes[Qty?],MATCH($E917,tblMoveTypes[Movement],0)),"?")="Yes",N($F917)&lt;=0),"Qty needed",IF($A917&lt;_xlfn.MINIFS(tblShipment[Arrival Date],tblShipment[Shipment ID],$C917),"Date before arrival",IF(AND($D917&lt;&gt;"",COUNTIFS(tblShipment[Shipment ID],$C917,tblShipment[Item Code],$D917)=0),"Item not in this shipment",IF(AND($H917&lt;&gt;"",COUNTIFS(tblCouriers[Courier],$H917,tblCouriers[Market],$B917)=0),"Courier not in this market","OK")))))))))))))))</f>
        <v>OK</v>
      </c>
    </row>
    <row r="918" customFormat="false" ht="15" hidden="false" customHeight="false" outlineLevel="0" collapsed="false">
      <c r="A918" s="27" t="n">
        <v>46249</v>
      </c>
      <c r="B918" s="26" t="s">
        <v>78</v>
      </c>
      <c r="C918" s="26" t="s">
        <v>132</v>
      </c>
      <c r="D918" s="26" t="s">
        <v>94</v>
      </c>
      <c r="E918" s="26" t="s">
        <v>73</v>
      </c>
      <c r="F918" s="28" t="n">
        <v>1</v>
      </c>
      <c r="G918" s="28"/>
      <c r="H918" s="26"/>
      <c r="I918" s="26" t="s">
        <v>87</v>
      </c>
      <c r="J918" s="26"/>
      <c r="K918" s="29" t="str">
        <f aca="false">IF($A918="","",IF(COUNTIFS(tblMoveTypes[Movement],$E918)=0,"Unknown movement type",IF(COUNTIF(tblShipment[Shipment ID],$C918)=0,"Unknown shipment",IF(COUNTIFS(tblShipment[Shipment ID],$C918,tblShipment[Market],$B918)=0,"Market does not match shipment",IF(AND(IFERROR(INDEX(tblMoveTypes[Item?],MATCH($E918,tblMoveTypes[Movement],0)),"?")="Yes",$D918=""),"Item needed",IF(AND(IFERROR(INDEX(tblMoveTypes[Item?],MATCH($E918,tblMoveTypes[Movement],0)),"?")="No",$D918&lt;&gt;""),"Leave Item blank",IF(AND(IFERROR(INDEX(tblMoveTypes[Courier?],MATCH($E918,tblMoveTypes[Movement],0)),"?")="Yes",$H918=""),"Courier needed",IF(AND(IFERROR(INDEX(tblMoveTypes[Courier?],MATCH($E918,tblMoveTypes[Movement],0)),"?")="No",$H918&lt;&gt;""),"Leave Courier blank",IF(AND(IFERROR(INDEX(tblMoveTypes[Orders?],MATCH($E918,tblMoveTypes[Movement],0)),"?")="Yes",$G918=""),"Orders needed",IF(AND(IFERROR(INDEX(tblMoveTypes[Orders?],MATCH($E918,tblMoveTypes[Movement],0)),"?")="No",$G918&lt;&gt;""),"Leave Orders blank",IF(AND(IFERROR(INDEX(tblMoveTypes[Reason?],MATCH($E918,tblMoveTypes[Movement],0)),"?")="Yes",$I918=""),"Reason needed",IF(AND(IFERROR(INDEX(tblMoveTypes[Qty?],MATCH($E918,tblMoveTypes[Movement],0)),"?")="Yes",N($F918)&lt;=0),"Qty needed",IF($A918&lt;_xlfn.MINIFS(tblShipment[Arrival Date],tblShipment[Shipment ID],$C918),"Date before arrival",IF(AND($D918&lt;&gt;"",COUNTIFS(tblShipment[Shipment ID],$C918,tblShipment[Item Code],$D918)=0),"Item not in this shipment",IF(AND($H918&lt;&gt;"",COUNTIFS(tblCouriers[Courier],$H918,tblCouriers[Market],$B918)=0),"Courier not in this market","OK")))))))))))))))</f>
        <v>OK</v>
      </c>
    </row>
    <row r="919" customFormat="false" ht="15" hidden="false" customHeight="false" outlineLevel="0" collapsed="false">
      <c r="A919" s="27" t="n">
        <v>46249</v>
      </c>
      <c r="B919" s="26" t="s">
        <v>78</v>
      </c>
      <c r="C919" s="26" t="s">
        <v>134</v>
      </c>
      <c r="D919" s="26" t="s">
        <v>76</v>
      </c>
      <c r="E919" s="26" t="s">
        <v>73</v>
      </c>
      <c r="F919" s="28" t="n">
        <v>3</v>
      </c>
      <c r="G919" s="28"/>
      <c r="H919" s="26"/>
      <c r="I919" s="26" t="s">
        <v>87</v>
      </c>
      <c r="J919" s="26"/>
      <c r="K919" s="29" t="str">
        <f aca="false">IF($A919="","",IF(COUNTIFS(tblMoveTypes[Movement],$E919)=0,"Unknown movement type",IF(COUNTIF(tblShipment[Shipment ID],$C919)=0,"Unknown shipment",IF(COUNTIFS(tblShipment[Shipment ID],$C919,tblShipment[Market],$B919)=0,"Market does not match shipment",IF(AND(IFERROR(INDEX(tblMoveTypes[Item?],MATCH($E919,tblMoveTypes[Movement],0)),"?")="Yes",$D919=""),"Item needed",IF(AND(IFERROR(INDEX(tblMoveTypes[Item?],MATCH($E919,tblMoveTypes[Movement],0)),"?")="No",$D919&lt;&gt;""),"Leave Item blank",IF(AND(IFERROR(INDEX(tblMoveTypes[Courier?],MATCH($E919,tblMoveTypes[Movement],0)),"?")="Yes",$H919=""),"Courier needed",IF(AND(IFERROR(INDEX(tblMoveTypes[Courier?],MATCH($E919,tblMoveTypes[Movement],0)),"?")="No",$H919&lt;&gt;""),"Leave Courier blank",IF(AND(IFERROR(INDEX(tblMoveTypes[Orders?],MATCH($E919,tblMoveTypes[Movement],0)),"?")="Yes",$G919=""),"Orders needed",IF(AND(IFERROR(INDEX(tblMoveTypes[Orders?],MATCH($E919,tblMoveTypes[Movement],0)),"?")="No",$G919&lt;&gt;""),"Leave Orders blank",IF(AND(IFERROR(INDEX(tblMoveTypes[Reason?],MATCH($E919,tblMoveTypes[Movement],0)),"?")="Yes",$I919=""),"Reason needed",IF(AND(IFERROR(INDEX(tblMoveTypes[Qty?],MATCH($E919,tblMoveTypes[Movement],0)),"?")="Yes",N($F919)&lt;=0),"Qty needed",IF($A919&lt;_xlfn.MINIFS(tblShipment[Arrival Date],tblShipment[Shipment ID],$C919),"Date before arrival",IF(AND($D919&lt;&gt;"",COUNTIFS(tblShipment[Shipment ID],$C919,tblShipment[Item Code],$D919)=0),"Item not in this shipment",IF(AND($H919&lt;&gt;"",COUNTIFS(tblCouriers[Courier],$H919,tblCouriers[Market],$B919)=0),"Courier not in this market","OK")))))))))))))))</f>
        <v>OK</v>
      </c>
    </row>
    <row r="920" customFormat="false" ht="15" hidden="false" customHeight="false" outlineLevel="0" collapsed="false">
      <c r="A920" s="27" t="n">
        <v>46249</v>
      </c>
      <c r="B920" s="26" t="s">
        <v>78</v>
      </c>
      <c r="C920" s="26" t="s">
        <v>138</v>
      </c>
      <c r="D920" s="26"/>
      <c r="E920" s="26" t="s">
        <v>106</v>
      </c>
      <c r="F920" s="28" t="n">
        <v>5</v>
      </c>
      <c r="G920" s="28" t="n">
        <v>1</v>
      </c>
      <c r="H920" s="26" t="s">
        <v>86</v>
      </c>
      <c r="I920" s="26"/>
      <c r="J920" s="26"/>
      <c r="K920" s="29" t="str">
        <f aca="false">IF($A920="","",IF(COUNTIFS(tblMoveTypes[Movement],$E920)=0,"Unknown movement type",IF(COUNTIF(tblShipment[Shipment ID],$C920)=0,"Unknown shipment",IF(COUNTIFS(tblShipment[Shipment ID],$C920,tblShipment[Market],$B920)=0,"Market does not match shipment",IF(AND(IFERROR(INDEX(tblMoveTypes[Item?],MATCH($E920,tblMoveTypes[Movement],0)),"?")="Yes",$D920=""),"Item needed",IF(AND(IFERROR(INDEX(tblMoveTypes[Item?],MATCH($E920,tblMoveTypes[Movement],0)),"?")="No",$D920&lt;&gt;""),"Leave Item blank",IF(AND(IFERROR(INDEX(tblMoveTypes[Courier?],MATCH($E920,tblMoveTypes[Movement],0)),"?")="Yes",$H920=""),"Courier needed",IF(AND(IFERROR(INDEX(tblMoveTypes[Courier?],MATCH($E920,tblMoveTypes[Movement],0)),"?")="No",$H920&lt;&gt;""),"Leave Courier blank",IF(AND(IFERROR(INDEX(tblMoveTypes[Orders?],MATCH($E920,tblMoveTypes[Movement],0)),"?")="Yes",$G920=""),"Orders needed",IF(AND(IFERROR(INDEX(tblMoveTypes[Orders?],MATCH($E920,tblMoveTypes[Movement],0)),"?")="No",$G920&lt;&gt;""),"Leave Orders blank",IF(AND(IFERROR(INDEX(tblMoveTypes[Reason?],MATCH($E920,tblMoveTypes[Movement],0)),"?")="Yes",$I920=""),"Reason needed",IF(AND(IFERROR(INDEX(tblMoveTypes[Qty?],MATCH($E920,tblMoveTypes[Movement],0)),"?")="Yes",N($F920)&lt;=0),"Qty needed",IF($A920&lt;_xlfn.MINIFS(tblShipment[Arrival Date],tblShipment[Shipment ID],$C920),"Date before arrival",IF(AND($D920&lt;&gt;"",COUNTIFS(tblShipment[Shipment ID],$C920,tblShipment[Item Code],$D920)=0),"Item not in this shipment",IF(AND($H920&lt;&gt;"",COUNTIFS(tblCouriers[Courier],$H920,tblCouriers[Market],$B920)=0),"Courier not in this market","OK")))))))))))))))</f>
        <v>OK</v>
      </c>
    </row>
    <row r="921" customFormat="false" ht="15" hidden="false" customHeight="false" outlineLevel="0" collapsed="false">
      <c r="A921" s="27" t="n">
        <v>46250</v>
      </c>
      <c r="B921" s="26" t="s">
        <v>70</v>
      </c>
      <c r="C921" s="26" t="s">
        <v>124</v>
      </c>
      <c r="D921" s="26" t="s">
        <v>88</v>
      </c>
      <c r="E921" s="26" t="s">
        <v>92</v>
      </c>
      <c r="F921" s="28" t="n">
        <v>3</v>
      </c>
      <c r="G921" s="28"/>
      <c r="H921" s="26"/>
      <c r="I921" s="26" t="s">
        <v>92</v>
      </c>
      <c r="J921" s="26" t="s">
        <v>163</v>
      </c>
      <c r="K921" s="29" t="str">
        <f aca="false">IF($A921="","",IF(COUNTIFS(tblMoveTypes[Movement],$E921)=0,"Unknown movement type",IF(COUNTIF(tblShipment[Shipment ID],$C921)=0,"Unknown shipment",IF(COUNTIFS(tblShipment[Shipment ID],$C921,tblShipment[Market],$B921)=0,"Market does not match shipment",IF(AND(IFERROR(INDEX(tblMoveTypes[Item?],MATCH($E921,tblMoveTypes[Movement],0)),"?")="Yes",$D921=""),"Item needed",IF(AND(IFERROR(INDEX(tblMoveTypes[Item?],MATCH($E921,tblMoveTypes[Movement],0)),"?")="No",$D921&lt;&gt;""),"Leave Item blank",IF(AND(IFERROR(INDEX(tblMoveTypes[Courier?],MATCH($E921,tblMoveTypes[Movement],0)),"?")="Yes",$H921=""),"Courier needed",IF(AND(IFERROR(INDEX(tblMoveTypes[Courier?],MATCH($E921,tblMoveTypes[Movement],0)),"?")="No",$H921&lt;&gt;""),"Leave Courier blank",IF(AND(IFERROR(INDEX(tblMoveTypes[Orders?],MATCH($E921,tblMoveTypes[Movement],0)),"?")="Yes",$G921=""),"Orders needed",IF(AND(IFERROR(INDEX(tblMoveTypes[Orders?],MATCH($E921,tblMoveTypes[Movement],0)),"?")="No",$G921&lt;&gt;""),"Leave Orders blank",IF(AND(IFERROR(INDEX(tblMoveTypes[Reason?],MATCH($E921,tblMoveTypes[Movement],0)),"?")="Yes",$I921=""),"Reason needed",IF(AND(IFERROR(INDEX(tblMoveTypes[Qty?],MATCH($E921,tblMoveTypes[Movement],0)),"?")="Yes",N($F921)&lt;=0),"Qty needed",IF($A921&lt;_xlfn.MINIFS(tblShipment[Arrival Date],tblShipment[Shipment ID],$C921),"Date before arrival",IF(AND($D921&lt;&gt;"",COUNTIFS(tblShipment[Shipment ID],$C921,tblShipment[Item Code],$D921)=0),"Item not in this shipment",IF(AND($H921&lt;&gt;"",COUNTIFS(tblCouriers[Courier],$H921,tblCouriers[Market],$B921)=0),"Courier not in this market","OK")))))))))))))))</f>
        <v>OK</v>
      </c>
    </row>
    <row r="922" customFormat="false" ht="15" hidden="false" customHeight="false" outlineLevel="0" collapsed="false">
      <c r="A922" s="27" t="n">
        <v>46250</v>
      </c>
      <c r="B922" s="26" t="s">
        <v>70</v>
      </c>
      <c r="C922" s="26" t="s">
        <v>125</v>
      </c>
      <c r="D922" s="26" t="s">
        <v>76</v>
      </c>
      <c r="E922" s="26" t="s">
        <v>92</v>
      </c>
      <c r="F922" s="28" t="n">
        <v>3</v>
      </c>
      <c r="G922" s="28"/>
      <c r="H922" s="26"/>
      <c r="I922" s="26" t="s">
        <v>92</v>
      </c>
      <c r="J922" s="26" t="s">
        <v>163</v>
      </c>
      <c r="K922" s="29" t="str">
        <f aca="false">IF($A922="","",IF(COUNTIFS(tblMoveTypes[Movement],$E922)=0,"Unknown movement type",IF(COUNTIF(tblShipment[Shipment ID],$C922)=0,"Unknown shipment",IF(COUNTIFS(tblShipment[Shipment ID],$C922,tblShipment[Market],$B922)=0,"Market does not match shipment",IF(AND(IFERROR(INDEX(tblMoveTypes[Item?],MATCH($E922,tblMoveTypes[Movement],0)),"?")="Yes",$D922=""),"Item needed",IF(AND(IFERROR(INDEX(tblMoveTypes[Item?],MATCH($E922,tblMoveTypes[Movement],0)),"?")="No",$D922&lt;&gt;""),"Leave Item blank",IF(AND(IFERROR(INDEX(tblMoveTypes[Courier?],MATCH($E922,tblMoveTypes[Movement],0)),"?")="Yes",$H922=""),"Courier needed",IF(AND(IFERROR(INDEX(tblMoveTypes[Courier?],MATCH($E922,tblMoveTypes[Movement],0)),"?")="No",$H922&lt;&gt;""),"Leave Courier blank",IF(AND(IFERROR(INDEX(tblMoveTypes[Orders?],MATCH($E922,tblMoveTypes[Movement],0)),"?")="Yes",$G922=""),"Orders needed",IF(AND(IFERROR(INDEX(tblMoveTypes[Orders?],MATCH($E922,tblMoveTypes[Movement],0)),"?")="No",$G922&lt;&gt;""),"Leave Orders blank",IF(AND(IFERROR(INDEX(tblMoveTypes[Reason?],MATCH($E922,tblMoveTypes[Movement],0)),"?")="Yes",$I922=""),"Reason needed",IF(AND(IFERROR(INDEX(tblMoveTypes[Qty?],MATCH($E922,tblMoveTypes[Movement],0)),"?")="Yes",N($F922)&lt;=0),"Qty needed",IF($A922&lt;_xlfn.MINIFS(tblShipment[Arrival Date],tblShipment[Shipment ID],$C922),"Date before arrival",IF(AND($D922&lt;&gt;"",COUNTIFS(tblShipment[Shipment ID],$C922,tblShipment[Item Code],$D922)=0),"Item not in this shipment",IF(AND($H922&lt;&gt;"",COUNTIFS(tblCouriers[Courier],$H922,tblCouriers[Market],$B922)=0),"Courier not in this market","OK")))))))))))))))</f>
        <v>OK</v>
      </c>
    </row>
    <row r="923" customFormat="false" ht="15" hidden="false" customHeight="false" outlineLevel="0" collapsed="false">
      <c r="A923" s="27" t="n">
        <v>46250</v>
      </c>
      <c r="B923" s="26" t="s">
        <v>70</v>
      </c>
      <c r="C923" s="26" t="s">
        <v>126</v>
      </c>
      <c r="D923" s="26" t="s">
        <v>99</v>
      </c>
      <c r="E923" s="26" t="s">
        <v>92</v>
      </c>
      <c r="F923" s="28" t="n">
        <v>4</v>
      </c>
      <c r="G923" s="28"/>
      <c r="H923" s="26"/>
      <c r="I923" s="26" t="s">
        <v>92</v>
      </c>
      <c r="J923" s="26" t="s">
        <v>163</v>
      </c>
      <c r="K923" s="29" t="str">
        <f aca="false">IF($A923="","",IF(COUNTIFS(tblMoveTypes[Movement],$E923)=0,"Unknown movement type",IF(COUNTIF(tblShipment[Shipment ID],$C923)=0,"Unknown shipment",IF(COUNTIFS(tblShipment[Shipment ID],$C923,tblShipment[Market],$B923)=0,"Market does not match shipment",IF(AND(IFERROR(INDEX(tblMoveTypes[Item?],MATCH($E923,tblMoveTypes[Movement],0)),"?")="Yes",$D923=""),"Item needed",IF(AND(IFERROR(INDEX(tblMoveTypes[Item?],MATCH($E923,tblMoveTypes[Movement],0)),"?")="No",$D923&lt;&gt;""),"Leave Item blank",IF(AND(IFERROR(INDEX(tblMoveTypes[Courier?],MATCH($E923,tblMoveTypes[Movement],0)),"?")="Yes",$H923=""),"Courier needed",IF(AND(IFERROR(INDEX(tblMoveTypes[Courier?],MATCH($E923,tblMoveTypes[Movement],0)),"?")="No",$H923&lt;&gt;""),"Leave Courier blank",IF(AND(IFERROR(INDEX(tblMoveTypes[Orders?],MATCH($E923,tblMoveTypes[Movement],0)),"?")="Yes",$G923=""),"Orders needed",IF(AND(IFERROR(INDEX(tblMoveTypes[Orders?],MATCH($E923,tblMoveTypes[Movement],0)),"?")="No",$G923&lt;&gt;""),"Leave Orders blank",IF(AND(IFERROR(INDEX(tblMoveTypes[Reason?],MATCH($E923,tblMoveTypes[Movement],0)),"?")="Yes",$I923=""),"Reason needed",IF(AND(IFERROR(INDEX(tblMoveTypes[Qty?],MATCH($E923,tblMoveTypes[Movement],0)),"?")="Yes",N($F923)&lt;=0),"Qty needed",IF($A923&lt;_xlfn.MINIFS(tblShipment[Arrival Date],tblShipment[Shipment ID],$C923),"Date before arrival",IF(AND($D923&lt;&gt;"",COUNTIFS(tblShipment[Shipment ID],$C923,tblShipment[Item Code],$D923)=0),"Item not in this shipment",IF(AND($H923&lt;&gt;"",COUNTIFS(tblCouriers[Courier],$H923,tblCouriers[Market],$B923)=0),"Courier not in this market","OK")))))))))))))))</f>
        <v>OK</v>
      </c>
    </row>
    <row r="924" customFormat="false" ht="15" hidden="false" customHeight="false" outlineLevel="0" collapsed="false">
      <c r="A924" s="27" t="n">
        <v>46250</v>
      </c>
      <c r="B924" s="26" t="s">
        <v>70</v>
      </c>
      <c r="C924" s="26" t="s">
        <v>129</v>
      </c>
      <c r="D924" s="26"/>
      <c r="E924" s="26" t="s">
        <v>106</v>
      </c>
      <c r="F924" s="28" t="n">
        <v>17</v>
      </c>
      <c r="G924" s="28" t="n">
        <v>2</v>
      </c>
      <c r="H924" s="26" t="s">
        <v>71</v>
      </c>
      <c r="I924" s="26"/>
      <c r="J924" s="26"/>
      <c r="K924" s="29" t="str">
        <f aca="false">IF($A924="","",IF(COUNTIFS(tblMoveTypes[Movement],$E924)=0,"Unknown movement type",IF(COUNTIF(tblShipment[Shipment ID],$C924)=0,"Unknown shipment",IF(COUNTIFS(tblShipment[Shipment ID],$C924,tblShipment[Market],$B924)=0,"Market does not match shipment",IF(AND(IFERROR(INDEX(tblMoveTypes[Item?],MATCH($E924,tblMoveTypes[Movement],0)),"?")="Yes",$D924=""),"Item needed",IF(AND(IFERROR(INDEX(tblMoveTypes[Item?],MATCH($E924,tblMoveTypes[Movement],0)),"?")="No",$D924&lt;&gt;""),"Leave Item blank",IF(AND(IFERROR(INDEX(tblMoveTypes[Courier?],MATCH($E924,tblMoveTypes[Movement],0)),"?")="Yes",$H924=""),"Courier needed",IF(AND(IFERROR(INDEX(tblMoveTypes[Courier?],MATCH($E924,tblMoveTypes[Movement],0)),"?")="No",$H924&lt;&gt;""),"Leave Courier blank",IF(AND(IFERROR(INDEX(tblMoveTypes[Orders?],MATCH($E924,tblMoveTypes[Movement],0)),"?")="Yes",$G924=""),"Orders needed",IF(AND(IFERROR(INDEX(tblMoveTypes[Orders?],MATCH($E924,tblMoveTypes[Movement],0)),"?")="No",$G924&lt;&gt;""),"Leave Orders blank",IF(AND(IFERROR(INDEX(tblMoveTypes[Reason?],MATCH($E924,tblMoveTypes[Movement],0)),"?")="Yes",$I924=""),"Reason needed",IF(AND(IFERROR(INDEX(tblMoveTypes[Qty?],MATCH($E924,tblMoveTypes[Movement],0)),"?")="Yes",N($F924)&lt;=0),"Qty needed",IF($A924&lt;_xlfn.MINIFS(tblShipment[Arrival Date],tblShipment[Shipment ID],$C924),"Date before arrival",IF(AND($D924&lt;&gt;"",COUNTIFS(tblShipment[Shipment ID],$C924,tblShipment[Item Code],$D924)=0),"Item not in this shipment",IF(AND($H924&lt;&gt;"",COUNTIFS(tblCouriers[Courier],$H924,tblCouriers[Market],$B924)=0),"Courier not in this market","OK")))))))))))))))</f>
        <v>OK</v>
      </c>
    </row>
    <row r="925" customFormat="false" ht="15" hidden="false" customHeight="false" outlineLevel="0" collapsed="false">
      <c r="A925" s="27" t="n">
        <v>46250</v>
      </c>
      <c r="B925" s="26" t="s">
        <v>70</v>
      </c>
      <c r="C925" s="26" t="s">
        <v>130</v>
      </c>
      <c r="D925" s="26"/>
      <c r="E925" s="26" t="s">
        <v>106</v>
      </c>
      <c r="F925" s="28" t="n">
        <v>58</v>
      </c>
      <c r="G925" s="28" t="n">
        <v>17</v>
      </c>
      <c r="H925" s="26" t="s">
        <v>71</v>
      </c>
      <c r="I925" s="26"/>
      <c r="J925" s="26"/>
      <c r="K925" s="29" t="str">
        <f aca="false">IF($A925="","",IF(COUNTIFS(tblMoveTypes[Movement],$E925)=0,"Unknown movement type",IF(COUNTIF(tblShipment[Shipment ID],$C925)=0,"Unknown shipment",IF(COUNTIFS(tblShipment[Shipment ID],$C925,tblShipment[Market],$B925)=0,"Market does not match shipment",IF(AND(IFERROR(INDEX(tblMoveTypes[Item?],MATCH($E925,tblMoveTypes[Movement],0)),"?")="Yes",$D925=""),"Item needed",IF(AND(IFERROR(INDEX(tblMoveTypes[Item?],MATCH($E925,tblMoveTypes[Movement],0)),"?")="No",$D925&lt;&gt;""),"Leave Item blank",IF(AND(IFERROR(INDEX(tblMoveTypes[Courier?],MATCH($E925,tblMoveTypes[Movement],0)),"?")="Yes",$H925=""),"Courier needed",IF(AND(IFERROR(INDEX(tblMoveTypes[Courier?],MATCH($E925,tblMoveTypes[Movement],0)),"?")="No",$H925&lt;&gt;""),"Leave Courier blank",IF(AND(IFERROR(INDEX(tblMoveTypes[Orders?],MATCH($E925,tblMoveTypes[Movement],0)),"?")="Yes",$G925=""),"Orders needed",IF(AND(IFERROR(INDEX(tblMoveTypes[Orders?],MATCH($E925,tblMoveTypes[Movement],0)),"?")="No",$G925&lt;&gt;""),"Leave Orders blank",IF(AND(IFERROR(INDEX(tblMoveTypes[Reason?],MATCH($E925,tblMoveTypes[Movement],0)),"?")="Yes",$I925=""),"Reason needed",IF(AND(IFERROR(INDEX(tblMoveTypes[Qty?],MATCH($E925,tblMoveTypes[Movement],0)),"?")="Yes",N($F925)&lt;=0),"Qty needed",IF($A925&lt;_xlfn.MINIFS(tblShipment[Arrival Date],tblShipment[Shipment ID],$C925),"Date before arrival",IF(AND($D925&lt;&gt;"",COUNTIFS(tblShipment[Shipment ID],$C925,tblShipment[Item Code],$D925)=0),"Item not in this shipment",IF(AND($H925&lt;&gt;"",COUNTIFS(tblCouriers[Courier],$H925,tblCouriers[Market],$B925)=0),"Courier not in this market","OK")))))))))))))))</f>
        <v>OK</v>
      </c>
    </row>
    <row r="926" customFormat="false" ht="15" hidden="false" customHeight="false" outlineLevel="0" collapsed="false">
      <c r="A926" s="27" t="n">
        <v>46250</v>
      </c>
      <c r="B926" s="26" t="s">
        <v>85</v>
      </c>
      <c r="C926" s="26" t="s">
        <v>139</v>
      </c>
      <c r="D926" s="26" t="s">
        <v>76</v>
      </c>
      <c r="E926" s="26" t="s">
        <v>92</v>
      </c>
      <c r="F926" s="28" t="n">
        <v>1</v>
      </c>
      <c r="G926" s="28"/>
      <c r="H926" s="26"/>
      <c r="I926" s="26" t="s">
        <v>92</v>
      </c>
      <c r="J926" s="26" t="s">
        <v>163</v>
      </c>
      <c r="K926" s="29" t="str">
        <f aca="false">IF($A926="","",IF(COUNTIFS(tblMoveTypes[Movement],$E926)=0,"Unknown movement type",IF(COUNTIF(tblShipment[Shipment ID],$C926)=0,"Unknown shipment",IF(COUNTIFS(tblShipment[Shipment ID],$C926,tblShipment[Market],$B926)=0,"Market does not match shipment",IF(AND(IFERROR(INDEX(tblMoveTypes[Item?],MATCH($E926,tblMoveTypes[Movement],0)),"?")="Yes",$D926=""),"Item needed",IF(AND(IFERROR(INDEX(tblMoveTypes[Item?],MATCH($E926,tblMoveTypes[Movement],0)),"?")="No",$D926&lt;&gt;""),"Leave Item blank",IF(AND(IFERROR(INDEX(tblMoveTypes[Courier?],MATCH($E926,tblMoveTypes[Movement],0)),"?")="Yes",$H926=""),"Courier needed",IF(AND(IFERROR(INDEX(tblMoveTypes[Courier?],MATCH($E926,tblMoveTypes[Movement],0)),"?")="No",$H926&lt;&gt;""),"Leave Courier blank",IF(AND(IFERROR(INDEX(tblMoveTypes[Orders?],MATCH($E926,tblMoveTypes[Movement],0)),"?")="Yes",$G926=""),"Orders needed",IF(AND(IFERROR(INDEX(tblMoveTypes[Orders?],MATCH($E926,tblMoveTypes[Movement],0)),"?")="No",$G926&lt;&gt;""),"Leave Orders blank",IF(AND(IFERROR(INDEX(tblMoveTypes[Reason?],MATCH($E926,tblMoveTypes[Movement],0)),"?")="Yes",$I926=""),"Reason needed",IF(AND(IFERROR(INDEX(tblMoveTypes[Qty?],MATCH($E926,tblMoveTypes[Movement],0)),"?")="Yes",N($F926)&lt;=0),"Qty needed",IF($A926&lt;_xlfn.MINIFS(tblShipment[Arrival Date],tblShipment[Shipment ID],$C926),"Date before arrival",IF(AND($D926&lt;&gt;"",COUNTIFS(tblShipment[Shipment ID],$C926,tblShipment[Item Code],$D926)=0),"Item not in this shipment",IF(AND($H926&lt;&gt;"",COUNTIFS(tblCouriers[Courier],$H926,tblCouriers[Market],$B926)=0),"Courier not in this market","OK")))))))))))))))</f>
        <v>OK</v>
      </c>
    </row>
    <row r="927" customFormat="false" ht="15" hidden="false" customHeight="false" outlineLevel="0" collapsed="false">
      <c r="A927" s="27" t="n">
        <v>46250</v>
      </c>
      <c r="B927" s="26" t="s">
        <v>85</v>
      </c>
      <c r="C927" s="26" t="s">
        <v>140</v>
      </c>
      <c r="D927" s="26" t="s">
        <v>99</v>
      </c>
      <c r="E927" s="26" t="s">
        <v>92</v>
      </c>
      <c r="F927" s="28" t="n">
        <v>3</v>
      </c>
      <c r="G927" s="28"/>
      <c r="H927" s="26"/>
      <c r="I927" s="26" t="s">
        <v>92</v>
      </c>
      <c r="J927" s="26" t="s">
        <v>163</v>
      </c>
      <c r="K927" s="29" t="str">
        <f aca="false">IF($A927="","",IF(COUNTIFS(tblMoveTypes[Movement],$E927)=0,"Unknown movement type",IF(COUNTIF(tblShipment[Shipment ID],$C927)=0,"Unknown shipment",IF(COUNTIFS(tblShipment[Shipment ID],$C927,tblShipment[Market],$B927)=0,"Market does not match shipment",IF(AND(IFERROR(INDEX(tblMoveTypes[Item?],MATCH($E927,tblMoveTypes[Movement],0)),"?")="Yes",$D927=""),"Item needed",IF(AND(IFERROR(INDEX(tblMoveTypes[Item?],MATCH($E927,tblMoveTypes[Movement],0)),"?")="No",$D927&lt;&gt;""),"Leave Item blank",IF(AND(IFERROR(INDEX(tblMoveTypes[Courier?],MATCH($E927,tblMoveTypes[Movement],0)),"?")="Yes",$H927=""),"Courier needed",IF(AND(IFERROR(INDEX(tblMoveTypes[Courier?],MATCH($E927,tblMoveTypes[Movement],0)),"?")="No",$H927&lt;&gt;""),"Leave Courier blank",IF(AND(IFERROR(INDEX(tblMoveTypes[Orders?],MATCH($E927,tblMoveTypes[Movement],0)),"?")="Yes",$G927=""),"Orders needed",IF(AND(IFERROR(INDEX(tblMoveTypes[Orders?],MATCH($E927,tblMoveTypes[Movement],0)),"?")="No",$G927&lt;&gt;""),"Leave Orders blank",IF(AND(IFERROR(INDEX(tblMoveTypes[Reason?],MATCH($E927,tblMoveTypes[Movement],0)),"?")="Yes",$I927=""),"Reason needed",IF(AND(IFERROR(INDEX(tblMoveTypes[Qty?],MATCH($E927,tblMoveTypes[Movement],0)),"?")="Yes",N($F927)&lt;=0),"Qty needed",IF($A927&lt;_xlfn.MINIFS(tblShipment[Arrival Date],tblShipment[Shipment ID],$C927),"Date before arrival",IF(AND($D927&lt;&gt;"",COUNTIFS(tblShipment[Shipment ID],$C927,tblShipment[Item Code],$D927)=0),"Item not in this shipment",IF(AND($H927&lt;&gt;"",COUNTIFS(tblCouriers[Courier],$H927,tblCouriers[Market],$B927)=0),"Courier not in this market","OK")))))))))))))))</f>
        <v>OK</v>
      </c>
    </row>
    <row r="928" customFormat="false" ht="15" hidden="false" customHeight="false" outlineLevel="0" collapsed="false">
      <c r="A928" s="27" t="n">
        <v>46250</v>
      </c>
      <c r="B928" s="26" t="s">
        <v>85</v>
      </c>
      <c r="C928" s="26" t="s">
        <v>141</v>
      </c>
      <c r="D928" s="26" t="s">
        <v>88</v>
      </c>
      <c r="E928" s="26" t="s">
        <v>92</v>
      </c>
      <c r="F928" s="28" t="n">
        <v>3</v>
      </c>
      <c r="G928" s="28"/>
      <c r="H928" s="26"/>
      <c r="I928" s="26" t="s">
        <v>92</v>
      </c>
      <c r="J928" s="26" t="s">
        <v>163</v>
      </c>
      <c r="K928" s="29" t="str">
        <f aca="false">IF($A928="","",IF(COUNTIFS(tblMoveTypes[Movement],$E928)=0,"Unknown movement type",IF(COUNTIF(tblShipment[Shipment ID],$C928)=0,"Unknown shipment",IF(COUNTIFS(tblShipment[Shipment ID],$C928,tblShipment[Market],$B928)=0,"Market does not match shipment",IF(AND(IFERROR(INDEX(tblMoveTypes[Item?],MATCH($E928,tblMoveTypes[Movement],0)),"?")="Yes",$D928=""),"Item needed",IF(AND(IFERROR(INDEX(tblMoveTypes[Item?],MATCH($E928,tblMoveTypes[Movement],0)),"?")="No",$D928&lt;&gt;""),"Leave Item blank",IF(AND(IFERROR(INDEX(tblMoveTypes[Courier?],MATCH($E928,tblMoveTypes[Movement],0)),"?")="Yes",$H928=""),"Courier needed",IF(AND(IFERROR(INDEX(tblMoveTypes[Courier?],MATCH($E928,tblMoveTypes[Movement],0)),"?")="No",$H928&lt;&gt;""),"Leave Courier blank",IF(AND(IFERROR(INDEX(tblMoveTypes[Orders?],MATCH($E928,tblMoveTypes[Movement],0)),"?")="Yes",$G928=""),"Orders needed",IF(AND(IFERROR(INDEX(tblMoveTypes[Orders?],MATCH($E928,tblMoveTypes[Movement],0)),"?")="No",$G928&lt;&gt;""),"Leave Orders blank",IF(AND(IFERROR(INDEX(tblMoveTypes[Reason?],MATCH($E928,tblMoveTypes[Movement],0)),"?")="Yes",$I928=""),"Reason needed",IF(AND(IFERROR(INDEX(tblMoveTypes[Qty?],MATCH($E928,tblMoveTypes[Movement],0)),"?")="Yes",N($F928)&lt;=0),"Qty needed",IF($A928&lt;_xlfn.MINIFS(tblShipment[Arrival Date],tblShipment[Shipment ID],$C928),"Date before arrival",IF(AND($D928&lt;&gt;"",COUNTIFS(tblShipment[Shipment ID],$C928,tblShipment[Item Code],$D928)=0),"Item not in this shipment",IF(AND($H928&lt;&gt;"",COUNTIFS(tblCouriers[Courier],$H928,tblCouriers[Market],$B928)=0),"Courier not in this market","OK")))))))))))))))</f>
        <v>OK</v>
      </c>
    </row>
    <row r="929" customFormat="false" ht="15" hidden="false" customHeight="false" outlineLevel="0" collapsed="false">
      <c r="A929" s="27" t="n">
        <v>46250</v>
      </c>
      <c r="B929" s="26" t="s">
        <v>85</v>
      </c>
      <c r="C929" s="26" t="s">
        <v>142</v>
      </c>
      <c r="D929" s="26" t="s">
        <v>94</v>
      </c>
      <c r="E929" s="26" t="s">
        <v>92</v>
      </c>
      <c r="F929" s="28" t="n">
        <v>4</v>
      </c>
      <c r="G929" s="28"/>
      <c r="H929" s="26"/>
      <c r="I929" s="26" t="s">
        <v>92</v>
      </c>
      <c r="J929" s="26" t="s">
        <v>163</v>
      </c>
      <c r="K929" s="29" t="str">
        <f aca="false">IF($A929="","",IF(COUNTIFS(tblMoveTypes[Movement],$E929)=0,"Unknown movement type",IF(COUNTIF(tblShipment[Shipment ID],$C929)=0,"Unknown shipment",IF(COUNTIFS(tblShipment[Shipment ID],$C929,tblShipment[Market],$B929)=0,"Market does not match shipment",IF(AND(IFERROR(INDEX(tblMoveTypes[Item?],MATCH($E929,tblMoveTypes[Movement],0)),"?")="Yes",$D929=""),"Item needed",IF(AND(IFERROR(INDEX(tblMoveTypes[Item?],MATCH($E929,tblMoveTypes[Movement],0)),"?")="No",$D929&lt;&gt;""),"Leave Item blank",IF(AND(IFERROR(INDEX(tblMoveTypes[Courier?],MATCH($E929,tblMoveTypes[Movement],0)),"?")="Yes",$H929=""),"Courier needed",IF(AND(IFERROR(INDEX(tblMoveTypes[Courier?],MATCH($E929,tblMoveTypes[Movement],0)),"?")="No",$H929&lt;&gt;""),"Leave Courier blank",IF(AND(IFERROR(INDEX(tblMoveTypes[Orders?],MATCH($E929,tblMoveTypes[Movement],0)),"?")="Yes",$G929=""),"Orders needed",IF(AND(IFERROR(INDEX(tblMoveTypes[Orders?],MATCH($E929,tblMoveTypes[Movement],0)),"?")="No",$G929&lt;&gt;""),"Leave Orders blank",IF(AND(IFERROR(INDEX(tblMoveTypes[Reason?],MATCH($E929,tblMoveTypes[Movement],0)),"?")="Yes",$I929=""),"Reason needed",IF(AND(IFERROR(INDEX(tblMoveTypes[Qty?],MATCH($E929,tblMoveTypes[Movement],0)),"?")="Yes",N($F929)&lt;=0),"Qty needed",IF($A929&lt;_xlfn.MINIFS(tblShipment[Arrival Date],tblShipment[Shipment ID],$C929),"Date before arrival",IF(AND($D929&lt;&gt;"",COUNTIFS(tblShipment[Shipment ID],$C929,tblShipment[Item Code],$D929)=0),"Item not in this shipment",IF(AND($H929&lt;&gt;"",COUNTIFS(tblCouriers[Courier],$H929,tblCouriers[Market],$B929)=0),"Courier not in this market","OK")))))))))))))))</f>
        <v>OK</v>
      </c>
    </row>
    <row r="930" customFormat="false" ht="15" hidden="false" customHeight="false" outlineLevel="0" collapsed="false">
      <c r="A930" s="27" t="n">
        <v>46250</v>
      </c>
      <c r="B930" s="26" t="s">
        <v>85</v>
      </c>
      <c r="C930" s="26" t="s">
        <v>146</v>
      </c>
      <c r="D930" s="26"/>
      <c r="E930" s="26" t="s">
        <v>106</v>
      </c>
      <c r="F930" s="28" t="n">
        <v>9</v>
      </c>
      <c r="G930" s="28" t="n">
        <v>2</v>
      </c>
      <c r="H930" s="26" t="s">
        <v>91</v>
      </c>
      <c r="I930" s="26"/>
      <c r="J930" s="26"/>
      <c r="K930" s="29" t="str">
        <f aca="false">IF($A930="","",IF(COUNTIFS(tblMoveTypes[Movement],$E930)=0,"Unknown movement type",IF(COUNTIF(tblShipment[Shipment ID],$C930)=0,"Unknown shipment",IF(COUNTIFS(tblShipment[Shipment ID],$C930,tblShipment[Market],$B930)=0,"Market does not match shipment",IF(AND(IFERROR(INDEX(tblMoveTypes[Item?],MATCH($E930,tblMoveTypes[Movement],0)),"?")="Yes",$D930=""),"Item needed",IF(AND(IFERROR(INDEX(tblMoveTypes[Item?],MATCH($E930,tblMoveTypes[Movement],0)),"?")="No",$D930&lt;&gt;""),"Leave Item blank",IF(AND(IFERROR(INDEX(tblMoveTypes[Courier?],MATCH($E930,tblMoveTypes[Movement],0)),"?")="Yes",$H930=""),"Courier needed",IF(AND(IFERROR(INDEX(tblMoveTypes[Courier?],MATCH($E930,tblMoveTypes[Movement],0)),"?")="No",$H930&lt;&gt;""),"Leave Courier blank",IF(AND(IFERROR(INDEX(tblMoveTypes[Orders?],MATCH($E930,tblMoveTypes[Movement],0)),"?")="Yes",$G930=""),"Orders needed",IF(AND(IFERROR(INDEX(tblMoveTypes[Orders?],MATCH($E930,tblMoveTypes[Movement],0)),"?")="No",$G930&lt;&gt;""),"Leave Orders blank",IF(AND(IFERROR(INDEX(tblMoveTypes[Reason?],MATCH($E930,tblMoveTypes[Movement],0)),"?")="Yes",$I930=""),"Reason needed",IF(AND(IFERROR(INDEX(tblMoveTypes[Qty?],MATCH($E930,tblMoveTypes[Movement],0)),"?")="Yes",N($F930)&lt;=0),"Qty needed",IF($A930&lt;_xlfn.MINIFS(tblShipment[Arrival Date],tblShipment[Shipment ID],$C930),"Date before arrival",IF(AND($D930&lt;&gt;"",COUNTIFS(tblShipment[Shipment ID],$C930,tblShipment[Item Code],$D930)=0),"Item not in this shipment",IF(AND($H930&lt;&gt;"",COUNTIFS(tblCouriers[Courier],$H930,tblCouriers[Market],$B930)=0),"Courier not in this market","OK")))))))))))))))</f>
        <v>OK</v>
      </c>
    </row>
    <row r="931" customFormat="false" ht="15" hidden="false" customHeight="false" outlineLevel="0" collapsed="false">
      <c r="A931" s="27" t="n">
        <v>46250</v>
      </c>
      <c r="B931" s="26" t="s">
        <v>85</v>
      </c>
      <c r="C931" s="26" t="s">
        <v>146</v>
      </c>
      <c r="D931" s="26"/>
      <c r="E931" s="26" t="s">
        <v>108</v>
      </c>
      <c r="F931" s="28" t="n">
        <v>3</v>
      </c>
      <c r="G931" s="28" t="n">
        <v>1</v>
      </c>
      <c r="H931" s="26" t="s">
        <v>91</v>
      </c>
      <c r="I931" s="26" t="s">
        <v>107</v>
      </c>
      <c r="J931" s="26"/>
      <c r="K931" s="29" t="str">
        <f aca="false">IF($A931="","",IF(COUNTIFS(tblMoveTypes[Movement],$E931)=0,"Unknown movement type",IF(COUNTIF(tblShipment[Shipment ID],$C931)=0,"Unknown shipment",IF(COUNTIFS(tblShipment[Shipment ID],$C931,tblShipment[Market],$B931)=0,"Market does not match shipment",IF(AND(IFERROR(INDEX(tblMoveTypes[Item?],MATCH($E931,tblMoveTypes[Movement],0)),"?")="Yes",$D931=""),"Item needed",IF(AND(IFERROR(INDEX(tblMoveTypes[Item?],MATCH($E931,tblMoveTypes[Movement],0)),"?")="No",$D931&lt;&gt;""),"Leave Item blank",IF(AND(IFERROR(INDEX(tblMoveTypes[Courier?],MATCH($E931,tblMoveTypes[Movement],0)),"?")="Yes",$H931=""),"Courier needed",IF(AND(IFERROR(INDEX(tblMoveTypes[Courier?],MATCH($E931,tblMoveTypes[Movement],0)),"?")="No",$H931&lt;&gt;""),"Leave Courier blank",IF(AND(IFERROR(INDEX(tblMoveTypes[Orders?],MATCH($E931,tblMoveTypes[Movement],0)),"?")="Yes",$G931=""),"Orders needed",IF(AND(IFERROR(INDEX(tblMoveTypes[Orders?],MATCH($E931,tblMoveTypes[Movement],0)),"?")="No",$G931&lt;&gt;""),"Leave Orders blank",IF(AND(IFERROR(INDEX(tblMoveTypes[Reason?],MATCH($E931,tblMoveTypes[Movement],0)),"?")="Yes",$I931=""),"Reason needed",IF(AND(IFERROR(INDEX(tblMoveTypes[Qty?],MATCH($E931,tblMoveTypes[Movement],0)),"?")="Yes",N($F931)&lt;=0),"Qty needed",IF($A931&lt;_xlfn.MINIFS(tblShipment[Arrival Date],tblShipment[Shipment ID],$C931),"Date before arrival",IF(AND($D931&lt;&gt;"",COUNTIFS(tblShipment[Shipment ID],$C931,tblShipment[Item Code],$D931)=0),"Item not in this shipment",IF(AND($H931&lt;&gt;"",COUNTIFS(tblCouriers[Courier],$H931,tblCouriers[Market],$B931)=0),"Courier not in this market","OK")))))))))))))))</f>
        <v>OK</v>
      </c>
    </row>
    <row r="932" customFormat="false" ht="15" hidden="false" customHeight="false" outlineLevel="0" collapsed="false">
      <c r="A932" s="27" t="n">
        <v>46250</v>
      </c>
      <c r="B932" s="26" t="s">
        <v>85</v>
      </c>
      <c r="C932" s="26" t="s">
        <v>146</v>
      </c>
      <c r="D932" s="26" t="s">
        <v>88</v>
      </c>
      <c r="E932" s="26" t="s">
        <v>110</v>
      </c>
      <c r="F932" s="28" t="n">
        <v>2</v>
      </c>
      <c r="G932" s="28"/>
      <c r="H932" s="26"/>
      <c r="I932" s="26"/>
      <c r="J932" s="26"/>
      <c r="K932" s="29" t="str">
        <f aca="false">IF($A932="","",IF(COUNTIFS(tblMoveTypes[Movement],$E932)=0,"Unknown movement type",IF(COUNTIF(tblShipment[Shipment ID],$C932)=0,"Unknown shipment",IF(COUNTIFS(tblShipment[Shipment ID],$C932,tblShipment[Market],$B932)=0,"Market does not match shipment",IF(AND(IFERROR(INDEX(tblMoveTypes[Item?],MATCH($E932,tblMoveTypes[Movement],0)),"?")="Yes",$D932=""),"Item needed",IF(AND(IFERROR(INDEX(tblMoveTypes[Item?],MATCH($E932,tblMoveTypes[Movement],0)),"?")="No",$D932&lt;&gt;""),"Leave Item blank",IF(AND(IFERROR(INDEX(tblMoveTypes[Courier?],MATCH($E932,tblMoveTypes[Movement],0)),"?")="Yes",$H932=""),"Courier needed",IF(AND(IFERROR(INDEX(tblMoveTypes[Courier?],MATCH($E932,tblMoveTypes[Movement],0)),"?")="No",$H932&lt;&gt;""),"Leave Courier blank",IF(AND(IFERROR(INDEX(tblMoveTypes[Orders?],MATCH($E932,tblMoveTypes[Movement],0)),"?")="Yes",$G932=""),"Orders needed",IF(AND(IFERROR(INDEX(tblMoveTypes[Orders?],MATCH($E932,tblMoveTypes[Movement],0)),"?")="No",$G932&lt;&gt;""),"Leave Orders blank",IF(AND(IFERROR(INDEX(tblMoveTypes[Reason?],MATCH($E932,tblMoveTypes[Movement],0)),"?")="Yes",$I932=""),"Reason needed",IF(AND(IFERROR(INDEX(tblMoveTypes[Qty?],MATCH($E932,tblMoveTypes[Movement],0)),"?")="Yes",N($F932)&lt;=0),"Qty needed",IF($A932&lt;_xlfn.MINIFS(tblShipment[Arrival Date],tblShipment[Shipment ID],$C932),"Date before arrival",IF(AND($D932&lt;&gt;"",COUNTIFS(tblShipment[Shipment ID],$C932,tblShipment[Item Code],$D932)=0),"Item not in this shipment",IF(AND($H932&lt;&gt;"",COUNTIFS(tblCouriers[Courier],$H932,tblCouriers[Market],$B932)=0),"Courier not in this market","OK")))))))))))))))</f>
        <v>OK</v>
      </c>
    </row>
    <row r="933" customFormat="false" ht="15" hidden="false" customHeight="false" outlineLevel="0" collapsed="false">
      <c r="A933" s="27" t="n">
        <v>46250</v>
      </c>
      <c r="B933" s="26" t="s">
        <v>85</v>
      </c>
      <c r="C933" s="26" t="s">
        <v>146</v>
      </c>
      <c r="D933" s="26" t="s">
        <v>88</v>
      </c>
      <c r="E933" s="26" t="s">
        <v>112</v>
      </c>
      <c r="F933" s="28" t="n">
        <v>1</v>
      </c>
      <c r="G933" s="28"/>
      <c r="H933" s="26"/>
      <c r="I933" s="26" t="s">
        <v>72</v>
      </c>
      <c r="J933" s="26"/>
      <c r="K933" s="29" t="str">
        <f aca="false">IF($A933="","",IF(COUNTIFS(tblMoveTypes[Movement],$E933)=0,"Unknown movement type",IF(COUNTIF(tblShipment[Shipment ID],$C933)=0,"Unknown shipment",IF(COUNTIFS(tblShipment[Shipment ID],$C933,tblShipment[Market],$B933)=0,"Market does not match shipment",IF(AND(IFERROR(INDEX(tblMoveTypes[Item?],MATCH($E933,tblMoveTypes[Movement],0)),"?")="Yes",$D933=""),"Item needed",IF(AND(IFERROR(INDEX(tblMoveTypes[Item?],MATCH($E933,tblMoveTypes[Movement],0)),"?")="No",$D933&lt;&gt;""),"Leave Item blank",IF(AND(IFERROR(INDEX(tblMoveTypes[Courier?],MATCH($E933,tblMoveTypes[Movement],0)),"?")="Yes",$H933=""),"Courier needed",IF(AND(IFERROR(INDEX(tblMoveTypes[Courier?],MATCH($E933,tblMoveTypes[Movement],0)),"?")="No",$H933&lt;&gt;""),"Leave Courier blank",IF(AND(IFERROR(INDEX(tblMoveTypes[Orders?],MATCH($E933,tblMoveTypes[Movement],0)),"?")="Yes",$G933=""),"Orders needed",IF(AND(IFERROR(INDEX(tblMoveTypes[Orders?],MATCH($E933,tblMoveTypes[Movement],0)),"?")="No",$G933&lt;&gt;""),"Leave Orders blank",IF(AND(IFERROR(INDEX(tblMoveTypes[Reason?],MATCH($E933,tblMoveTypes[Movement],0)),"?")="Yes",$I933=""),"Reason needed",IF(AND(IFERROR(INDEX(tblMoveTypes[Qty?],MATCH($E933,tblMoveTypes[Movement],0)),"?")="Yes",N($F933)&lt;=0),"Qty needed",IF($A933&lt;_xlfn.MINIFS(tblShipment[Arrival Date],tblShipment[Shipment ID],$C933),"Date before arrival",IF(AND($D933&lt;&gt;"",COUNTIFS(tblShipment[Shipment ID],$C933,tblShipment[Item Code],$D933)=0),"Item not in this shipment",IF(AND($H933&lt;&gt;"",COUNTIFS(tblCouriers[Courier],$H933,tblCouriers[Market],$B933)=0),"Courier not in this market","OK")))))))))))))))</f>
        <v>OK</v>
      </c>
    </row>
    <row r="934" customFormat="false" ht="15" hidden="false" customHeight="false" outlineLevel="0" collapsed="false">
      <c r="A934" s="27" t="n">
        <v>46250</v>
      </c>
      <c r="B934" s="26" t="s">
        <v>85</v>
      </c>
      <c r="C934" s="26" t="s">
        <v>146</v>
      </c>
      <c r="D934" s="26"/>
      <c r="E934" s="26" t="s">
        <v>106</v>
      </c>
      <c r="F934" s="28" t="n">
        <v>8</v>
      </c>
      <c r="G934" s="28" t="n">
        <v>2</v>
      </c>
      <c r="H934" s="26" t="s">
        <v>96</v>
      </c>
      <c r="I934" s="26"/>
      <c r="J934" s="26"/>
      <c r="K934" s="29" t="str">
        <f aca="false">IF($A934="","",IF(COUNTIFS(tblMoveTypes[Movement],$E934)=0,"Unknown movement type",IF(COUNTIF(tblShipment[Shipment ID],$C934)=0,"Unknown shipment",IF(COUNTIFS(tblShipment[Shipment ID],$C934,tblShipment[Market],$B934)=0,"Market does not match shipment",IF(AND(IFERROR(INDEX(tblMoveTypes[Item?],MATCH($E934,tblMoveTypes[Movement],0)),"?")="Yes",$D934=""),"Item needed",IF(AND(IFERROR(INDEX(tblMoveTypes[Item?],MATCH($E934,tblMoveTypes[Movement],0)),"?")="No",$D934&lt;&gt;""),"Leave Item blank",IF(AND(IFERROR(INDEX(tblMoveTypes[Courier?],MATCH($E934,tblMoveTypes[Movement],0)),"?")="Yes",$H934=""),"Courier needed",IF(AND(IFERROR(INDEX(tblMoveTypes[Courier?],MATCH($E934,tblMoveTypes[Movement],0)),"?")="No",$H934&lt;&gt;""),"Leave Courier blank",IF(AND(IFERROR(INDEX(tblMoveTypes[Orders?],MATCH($E934,tblMoveTypes[Movement],0)),"?")="Yes",$G934=""),"Orders needed",IF(AND(IFERROR(INDEX(tblMoveTypes[Orders?],MATCH($E934,tblMoveTypes[Movement],0)),"?")="No",$G934&lt;&gt;""),"Leave Orders blank",IF(AND(IFERROR(INDEX(tblMoveTypes[Reason?],MATCH($E934,tblMoveTypes[Movement],0)),"?")="Yes",$I934=""),"Reason needed",IF(AND(IFERROR(INDEX(tblMoveTypes[Qty?],MATCH($E934,tblMoveTypes[Movement],0)),"?")="Yes",N($F934)&lt;=0),"Qty needed",IF($A934&lt;_xlfn.MINIFS(tblShipment[Arrival Date],tblShipment[Shipment ID],$C934),"Date before arrival",IF(AND($D934&lt;&gt;"",COUNTIFS(tblShipment[Shipment ID],$C934,tblShipment[Item Code],$D934)=0),"Item not in this shipment",IF(AND($H934&lt;&gt;"",COUNTIFS(tblCouriers[Courier],$H934,tblCouriers[Market],$B934)=0),"Courier not in this market","OK")))))))))))))))</f>
        <v>OK</v>
      </c>
    </row>
    <row r="935" customFormat="false" ht="15" hidden="false" customHeight="false" outlineLevel="0" collapsed="false">
      <c r="A935" s="27" t="n">
        <v>46250</v>
      </c>
      <c r="B935" s="26" t="s">
        <v>90</v>
      </c>
      <c r="C935" s="26" t="s">
        <v>148</v>
      </c>
      <c r="D935" s="26" t="s">
        <v>76</v>
      </c>
      <c r="E935" s="26" t="s">
        <v>92</v>
      </c>
      <c r="F935" s="28" t="n">
        <v>1</v>
      </c>
      <c r="G935" s="28"/>
      <c r="H935" s="26"/>
      <c r="I935" s="26" t="s">
        <v>92</v>
      </c>
      <c r="J935" s="26" t="s">
        <v>163</v>
      </c>
      <c r="K935" s="29" t="str">
        <f aca="false">IF($A935="","",IF(COUNTIFS(tblMoveTypes[Movement],$E935)=0,"Unknown movement type",IF(COUNTIF(tblShipment[Shipment ID],$C935)=0,"Unknown shipment",IF(COUNTIFS(tblShipment[Shipment ID],$C935,tblShipment[Market],$B935)=0,"Market does not match shipment",IF(AND(IFERROR(INDEX(tblMoveTypes[Item?],MATCH($E935,tblMoveTypes[Movement],0)),"?")="Yes",$D935=""),"Item needed",IF(AND(IFERROR(INDEX(tblMoveTypes[Item?],MATCH($E935,tblMoveTypes[Movement],0)),"?")="No",$D935&lt;&gt;""),"Leave Item blank",IF(AND(IFERROR(INDEX(tblMoveTypes[Courier?],MATCH($E935,tblMoveTypes[Movement],0)),"?")="Yes",$H935=""),"Courier needed",IF(AND(IFERROR(INDEX(tblMoveTypes[Courier?],MATCH($E935,tblMoveTypes[Movement],0)),"?")="No",$H935&lt;&gt;""),"Leave Courier blank",IF(AND(IFERROR(INDEX(tblMoveTypes[Orders?],MATCH($E935,tblMoveTypes[Movement],0)),"?")="Yes",$G935=""),"Orders needed",IF(AND(IFERROR(INDEX(tblMoveTypes[Orders?],MATCH($E935,tblMoveTypes[Movement],0)),"?")="No",$G935&lt;&gt;""),"Leave Orders blank",IF(AND(IFERROR(INDEX(tblMoveTypes[Reason?],MATCH($E935,tblMoveTypes[Movement],0)),"?")="Yes",$I935=""),"Reason needed",IF(AND(IFERROR(INDEX(tblMoveTypes[Qty?],MATCH($E935,tblMoveTypes[Movement],0)),"?")="Yes",N($F935)&lt;=0),"Qty needed",IF($A935&lt;_xlfn.MINIFS(tblShipment[Arrival Date],tblShipment[Shipment ID],$C935),"Date before arrival",IF(AND($D935&lt;&gt;"",COUNTIFS(tblShipment[Shipment ID],$C935,tblShipment[Item Code],$D935)=0),"Item not in this shipment",IF(AND($H935&lt;&gt;"",COUNTIFS(tblCouriers[Courier],$H935,tblCouriers[Market],$B935)=0),"Courier not in this market","OK")))))))))))))))</f>
        <v>OK</v>
      </c>
    </row>
    <row r="936" customFormat="false" ht="15" hidden="false" customHeight="false" outlineLevel="0" collapsed="false">
      <c r="A936" s="27" t="n">
        <v>46250</v>
      </c>
      <c r="B936" s="26" t="s">
        <v>90</v>
      </c>
      <c r="C936" s="26" t="s">
        <v>153</v>
      </c>
      <c r="D936" s="26"/>
      <c r="E936" s="26" t="s">
        <v>106</v>
      </c>
      <c r="F936" s="28" t="n">
        <v>15</v>
      </c>
      <c r="G936" s="28" t="n">
        <v>6</v>
      </c>
      <c r="H936" s="26" t="s">
        <v>101</v>
      </c>
      <c r="I936" s="26"/>
      <c r="J936" s="26"/>
      <c r="K936" s="29" t="str">
        <f aca="false">IF($A936="","",IF(COUNTIFS(tblMoveTypes[Movement],$E936)=0,"Unknown movement type",IF(COUNTIF(tblShipment[Shipment ID],$C936)=0,"Unknown shipment",IF(COUNTIFS(tblShipment[Shipment ID],$C936,tblShipment[Market],$B936)=0,"Market does not match shipment",IF(AND(IFERROR(INDEX(tblMoveTypes[Item?],MATCH($E936,tblMoveTypes[Movement],0)),"?")="Yes",$D936=""),"Item needed",IF(AND(IFERROR(INDEX(tblMoveTypes[Item?],MATCH($E936,tblMoveTypes[Movement],0)),"?")="No",$D936&lt;&gt;""),"Leave Item blank",IF(AND(IFERROR(INDEX(tblMoveTypes[Courier?],MATCH($E936,tblMoveTypes[Movement],0)),"?")="Yes",$H936=""),"Courier needed",IF(AND(IFERROR(INDEX(tblMoveTypes[Courier?],MATCH($E936,tblMoveTypes[Movement],0)),"?")="No",$H936&lt;&gt;""),"Leave Courier blank",IF(AND(IFERROR(INDEX(tblMoveTypes[Orders?],MATCH($E936,tblMoveTypes[Movement],0)),"?")="Yes",$G936=""),"Orders needed",IF(AND(IFERROR(INDEX(tblMoveTypes[Orders?],MATCH($E936,tblMoveTypes[Movement],0)),"?")="No",$G936&lt;&gt;""),"Leave Orders blank",IF(AND(IFERROR(INDEX(tblMoveTypes[Reason?],MATCH($E936,tblMoveTypes[Movement],0)),"?")="Yes",$I936=""),"Reason needed",IF(AND(IFERROR(INDEX(tblMoveTypes[Qty?],MATCH($E936,tblMoveTypes[Movement],0)),"?")="Yes",N($F936)&lt;=0),"Qty needed",IF($A936&lt;_xlfn.MINIFS(tblShipment[Arrival Date],tblShipment[Shipment ID],$C936),"Date before arrival",IF(AND($D936&lt;&gt;"",COUNTIFS(tblShipment[Shipment ID],$C936,tblShipment[Item Code],$D936)=0),"Item not in this shipment",IF(AND($H936&lt;&gt;"",COUNTIFS(tblCouriers[Courier],$H936,tblCouriers[Market],$B936)=0),"Courier not in this market","OK")))))))))))))))</f>
        <v>OK</v>
      </c>
    </row>
    <row r="937" customFormat="false" ht="15" hidden="false" customHeight="false" outlineLevel="0" collapsed="false">
      <c r="A937" s="27" t="n">
        <v>46250</v>
      </c>
      <c r="B937" s="26" t="s">
        <v>90</v>
      </c>
      <c r="C937" s="26" t="s">
        <v>153</v>
      </c>
      <c r="D937" s="26"/>
      <c r="E937" s="26" t="s">
        <v>108</v>
      </c>
      <c r="F937" s="28" t="n">
        <v>3</v>
      </c>
      <c r="G937" s="28" t="n">
        <v>1</v>
      </c>
      <c r="H937" s="26" t="s">
        <v>101</v>
      </c>
      <c r="I937" s="26" t="s">
        <v>105</v>
      </c>
      <c r="J937" s="26"/>
      <c r="K937" s="29" t="str">
        <f aca="false">IF($A937="","",IF(COUNTIFS(tblMoveTypes[Movement],$E937)=0,"Unknown movement type",IF(COUNTIF(tblShipment[Shipment ID],$C937)=0,"Unknown shipment",IF(COUNTIFS(tblShipment[Shipment ID],$C937,tblShipment[Market],$B937)=0,"Market does not match shipment",IF(AND(IFERROR(INDEX(tblMoveTypes[Item?],MATCH($E937,tblMoveTypes[Movement],0)),"?")="Yes",$D937=""),"Item needed",IF(AND(IFERROR(INDEX(tblMoveTypes[Item?],MATCH($E937,tblMoveTypes[Movement],0)),"?")="No",$D937&lt;&gt;""),"Leave Item blank",IF(AND(IFERROR(INDEX(tblMoveTypes[Courier?],MATCH($E937,tblMoveTypes[Movement],0)),"?")="Yes",$H937=""),"Courier needed",IF(AND(IFERROR(INDEX(tblMoveTypes[Courier?],MATCH($E937,tblMoveTypes[Movement],0)),"?")="No",$H937&lt;&gt;""),"Leave Courier blank",IF(AND(IFERROR(INDEX(tblMoveTypes[Orders?],MATCH($E937,tblMoveTypes[Movement],0)),"?")="Yes",$G937=""),"Orders needed",IF(AND(IFERROR(INDEX(tblMoveTypes[Orders?],MATCH($E937,tblMoveTypes[Movement],0)),"?")="No",$G937&lt;&gt;""),"Leave Orders blank",IF(AND(IFERROR(INDEX(tblMoveTypes[Reason?],MATCH($E937,tblMoveTypes[Movement],0)),"?")="Yes",$I937=""),"Reason needed",IF(AND(IFERROR(INDEX(tblMoveTypes[Qty?],MATCH($E937,tblMoveTypes[Movement],0)),"?")="Yes",N($F937)&lt;=0),"Qty needed",IF($A937&lt;_xlfn.MINIFS(tblShipment[Arrival Date],tblShipment[Shipment ID],$C937),"Date before arrival",IF(AND($D937&lt;&gt;"",COUNTIFS(tblShipment[Shipment ID],$C937,tblShipment[Item Code],$D937)=0),"Item not in this shipment",IF(AND($H937&lt;&gt;"",COUNTIFS(tblCouriers[Courier],$H937,tblCouriers[Market],$B937)=0),"Courier not in this market","OK")))))))))))))))</f>
        <v>OK</v>
      </c>
    </row>
    <row r="938" customFormat="false" ht="15" hidden="false" customHeight="false" outlineLevel="0" collapsed="false">
      <c r="A938" s="27" t="n">
        <v>46250</v>
      </c>
      <c r="B938" s="26" t="s">
        <v>90</v>
      </c>
      <c r="C938" s="26" t="s">
        <v>153</v>
      </c>
      <c r="D938" s="26" t="s">
        <v>94</v>
      </c>
      <c r="E938" s="26" t="s">
        <v>110</v>
      </c>
      <c r="F938" s="28" t="n">
        <v>2</v>
      </c>
      <c r="G938" s="28"/>
      <c r="H938" s="26"/>
      <c r="I938" s="26"/>
      <c r="J938" s="26"/>
      <c r="K938" s="29" t="str">
        <f aca="false">IF($A938="","",IF(COUNTIFS(tblMoveTypes[Movement],$E938)=0,"Unknown movement type",IF(COUNTIF(tblShipment[Shipment ID],$C938)=0,"Unknown shipment",IF(COUNTIFS(tblShipment[Shipment ID],$C938,tblShipment[Market],$B938)=0,"Market does not match shipment",IF(AND(IFERROR(INDEX(tblMoveTypes[Item?],MATCH($E938,tblMoveTypes[Movement],0)),"?")="Yes",$D938=""),"Item needed",IF(AND(IFERROR(INDEX(tblMoveTypes[Item?],MATCH($E938,tblMoveTypes[Movement],0)),"?")="No",$D938&lt;&gt;""),"Leave Item blank",IF(AND(IFERROR(INDEX(tblMoveTypes[Courier?],MATCH($E938,tblMoveTypes[Movement],0)),"?")="Yes",$H938=""),"Courier needed",IF(AND(IFERROR(INDEX(tblMoveTypes[Courier?],MATCH($E938,tblMoveTypes[Movement],0)),"?")="No",$H938&lt;&gt;""),"Leave Courier blank",IF(AND(IFERROR(INDEX(tblMoveTypes[Orders?],MATCH($E938,tblMoveTypes[Movement],0)),"?")="Yes",$G938=""),"Orders needed",IF(AND(IFERROR(INDEX(tblMoveTypes[Orders?],MATCH($E938,tblMoveTypes[Movement],0)),"?")="No",$G938&lt;&gt;""),"Leave Orders blank",IF(AND(IFERROR(INDEX(tblMoveTypes[Reason?],MATCH($E938,tblMoveTypes[Movement],0)),"?")="Yes",$I938=""),"Reason needed",IF(AND(IFERROR(INDEX(tblMoveTypes[Qty?],MATCH($E938,tblMoveTypes[Movement],0)),"?")="Yes",N($F938)&lt;=0),"Qty needed",IF($A938&lt;_xlfn.MINIFS(tblShipment[Arrival Date],tblShipment[Shipment ID],$C938),"Date before arrival",IF(AND($D938&lt;&gt;"",COUNTIFS(tblShipment[Shipment ID],$C938,tblShipment[Item Code],$D938)=0),"Item not in this shipment",IF(AND($H938&lt;&gt;"",COUNTIFS(tblCouriers[Courier],$H938,tblCouriers[Market],$B938)=0),"Courier not in this market","OK")))))))))))))))</f>
        <v>OK</v>
      </c>
    </row>
    <row r="939" customFormat="false" ht="15" hidden="false" customHeight="false" outlineLevel="0" collapsed="false">
      <c r="A939" s="27" t="n">
        <v>46250</v>
      </c>
      <c r="B939" s="26" t="s">
        <v>90</v>
      </c>
      <c r="C939" s="26" t="s">
        <v>153</v>
      </c>
      <c r="D939" s="26" t="s">
        <v>94</v>
      </c>
      <c r="E939" s="26" t="s">
        <v>112</v>
      </c>
      <c r="F939" s="28" t="n">
        <v>1</v>
      </c>
      <c r="G939" s="28"/>
      <c r="H939" s="26"/>
      <c r="I939" s="26" t="s">
        <v>72</v>
      </c>
      <c r="J939" s="26"/>
      <c r="K939" s="29" t="str">
        <f aca="false">IF($A939="","",IF(COUNTIFS(tblMoveTypes[Movement],$E939)=0,"Unknown movement type",IF(COUNTIF(tblShipment[Shipment ID],$C939)=0,"Unknown shipment",IF(COUNTIFS(tblShipment[Shipment ID],$C939,tblShipment[Market],$B939)=0,"Market does not match shipment",IF(AND(IFERROR(INDEX(tblMoveTypes[Item?],MATCH($E939,tblMoveTypes[Movement],0)),"?")="Yes",$D939=""),"Item needed",IF(AND(IFERROR(INDEX(tblMoveTypes[Item?],MATCH($E939,tblMoveTypes[Movement],0)),"?")="No",$D939&lt;&gt;""),"Leave Item blank",IF(AND(IFERROR(INDEX(tblMoveTypes[Courier?],MATCH($E939,tblMoveTypes[Movement],0)),"?")="Yes",$H939=""),"Courier needed",IF(AND(IFERROR(INDEX(tblMoveTypes[Courier?],MATCH($E939,tblMoveTypes[Movement],0)),"?")="No",$H939&lt;&gt;""),"Leave Courier blank",IF(AND(IFERROR(INDEX(tblMoveTypes[Orders?],MATCH($E939,tblMoveTypes[Movement],0)),"?")="Yes",$G939=""),"Orders needed",IF(AND(IFERROR(INDEX(tblMoveTypes[Orders?],MATCH($E939,tblMoveTypes[Movement],0)),"?")="No",$G939&lt;&gt;""),"Leave Orders blank",IF(AND(IFERROR(INDEX(tblMoveTypes[Reason?],MATCH($E939,tblMoveTypes[Movement],0)),"?")="Yes",$I939=""),"Reason needed",IF(AND(IFERROR(INDEX(tblMoveTypes[Qty?],MATCH($E939,tblMoveTypes[Movement],0)),"?")="Yes",N($F939)&lt;=0),"Qty needed",IF($A939&lt;_xlfn.MINIFS(tblShipment[Arrival Date],tblShipment[Shipment ID],$C939),"Date before arrival",IF(AND($D939&lt;&gt;"",COUNTIFS(tblShipment[Shipment ID],$C939,tblShipment[Item Code],$D939)=0),"Item not in this shipment",IF(AND($H939&lt;&gt;"",COUNTIFS(tblCouriers[Courier],$H939,tblCouriers[Market],$B939)=0),"Courier not in this market","OK")))))))))))))))</f>
        <v>OK</v>
      </c>
    </row>
    <row r="940" customFormat="false" ht="15" hidden="false" customHeight="false" outlineLevel="0" collapsed="false">
      <c r="A940" s="27" t="n">
        <v>46250</v>
      </c>
      <c r="B940" s="26" t="s">
        <v>78</v>
      </c>
      <c r="C940" s="26" t="s">
        <v>131</v>
      </c>
      <c r="D940" s="26" t="s">
        <v>83</v>
      </c>
      <c r="E940" s="26" t="s">
        <v>92</v>
      </c>
      <c r="F940" s="28" t="n">
        <v>1</v>
      </c>
      <c r="G940" s="28"/>
      <c r="H940" s="26"/>
      <c r="I940" s="26" t="s">
        <v>92</v>
      </c>
      <c r="J940" s="26" t="s">
        <v>163</v>
      </c>
      <c r="K940" s="29" t="str">
        <f aca="false">IF($A940="","",IF(COUNTIFS(tblMoveTypes[Movement],$E940)=0,"Unknown movement type",IF(COUNTIF(tblShipment[Shipment ID],$C940)=0,"Unknown shipment",IF(COUNTIFS(tblShipment[Shipment ID],$C940,tblShipment[Market],$B940)=0,"Market does not match shipment",IF(AND(IFERROR(INDEX(tblMoveTypes[Item?],MATCH($E940,tblMoveTypes[Movement],0)),"?")="Yes",$D940=""),"Item needed",IF(AND(IFERROR(INDEX(tblMoveTypes[Item?],MATCH($E940,tblMoveTypes[Movement],0)),"?")="No",$D940&lt;&gt;""),"Leave Item blank",IF(AND(IFERROR(INDEX(tblMoveTypes[Courier?],MATCH($E940,tblMoveTypes[Movement],0)),"?")="Yes",$H940=""),"Courier needed",IF(AND(IFERROR(INDEX(tblMoveTypes[Courier?],MATCH($E940,tblMoveTypes[Movement],0)),"?")="No",$H940&lt;&gt;""),"Leave Courier blank",IF(AND(IFERROR(INDEX(tblMoveTypes[Orders?],MATCH($E940,tblMoveTypes[Movement],0)),"?")="Yes",$G940=""),"Orders needed",IF(AND(IFERROR(INDEX(tblMoveTypes[Orders?],MATCH($E940,tblMoveTypes[Movement],0)),"?")="No",$G940&lt;&gt;""),"Leave Orders blank",IF(AND(IFERROR(INDEX(tblMoveTypes[Reason?],MATCH($E940,tblMoveTypes[Movement],0)),"?")="Yes",$I940=""),"Reason needed",IF(AND(IFERROR(INDEX(tblMoveTypes[Qty?],MATCH($E940,tblMoveTypes[Movement],0)),"?")="Yes",N($F940)&lt;=0),"Qty needed",IF($A940&lt;_xlfn.MINIFS(tblShipment[Arrival Date],tblShipment[Shipment ID],$C940),"Date before arrival",IF(AND($D940&lt;&gt;"",COUNTIFS(tblShipment[Shipment ID],$C940,tblShipment[Item Code],$D940)=0),"Item not in this shipment",IF(AND($H940&lt;&gt;"",COUNTIFS(tblCouriers[Courier],$H940,tblCouriers[Market],$B940)=0),"Courier not in this market","OK")))))))))))))))</f>
        <v>OK</v>
      </c>
    </row>
    <row r="941" customFormat="false" ht="15" hidden="false" customHeight="false" outlineLevel="0" collapsed="false">
      <c r="A941" s="27" t="n">
        <v>46250</v>
      </c>
      <c r="B941" s="26" t="s">
        <v>78</v>
      </c>
      <c r="C941" s="26" t="s">
        <v>132</v>
      </c>
      <c r="D941" s="26" t="s">
        <v>94</v>
      </c>
      <c r="E941" s="26" t="s">
        <v>92</v>
      </c>
      <c r="F941" s="28" t="n">
        <v>1</v>
      </c>
      <c r="G941" s="28"/>
      <c r="H941" s="26"/>
      <c r="I941" s="26" t="s">
        <v>92</v>
      </c>
      <c r="J941" s="26" t="s">
        <v>163</v>
      </c>
      <c r="K941" s="29" t="str">
        <f aca="false">IF($A941="","",IF(COUNTIFS(tblMoveTypes[Movement],$E941)=0,"Unknown movement type",IF(COUNTIF(tblShipment[Shipment ID],$C941)=0,"Unknown shipment",IF(COUNTIFS(tblShipment[Shipment ID],$C941,tblShipment[Market],$B941)=0,"Market does not match shipment",IF(AND(IFERROR(INDEX(tblMoveTypes[Item?],MATCH($E941,tblMoveTypes[Movement],0)),"?")="Yes",$D941=""),"Item needed",IF(AND(IFERROR(INDEX(tblMoveTypes[Item?],MATCH($E941,tblMoveTypes[Movement],0)),"?")="No",$D941&lt;&gt;""),"Leave Item blank",IF(AND(IFERROR(INDEX(tblMoveTypes[Courier?],MATCH($E941,tblMoveTypes[Movement],0)),"?")="Yes",$H941=""),"Courier needed",IF(AND(IFERROR(INDEX(tblMoveTypes[Courier?],MATCH($E941,tblMoveTypes[Movement],0)),"?")="No",$H941&lt;&gt;""),"Leave Courier blank",IF(AND(IFERROR(INDEX(tblMoveTypes[Orders?],MATCH($E941,tblMoveTypes[Movement],0)),"?")="Yes",$G941=""),"Orders needed",IF(AND(IFERROR(INDEX(tblMoveTypes[Orders?],MATCH($E941,tblMoveTypes[Movement],0)),"?")="No",$G941&lt;&gt;""),"Leave Orders blank",IF(AND(IFERROR(INDEX(tblMoveTypes[Reason?],MATCH($E941,tblMoveTypes[Movement],0)),"?")="Yes",$I941=""),"Reason needed",IF(AND(IFERROR(INDEX(tblMoveTypes[Qty?],MATCH($E941,tblMoveTypes[Movement],0)),"?")="Yes",N($F941)&lt;=0),"Qty needed",IF($A941&lt;_xlfn.MINIFS(tblShipment[Arrival Date],tblShipment[Shipment ID],$C941),"Date before arrival",IF(AND($D941&lt;&gt;"",COUNTIFS(tblShipment[Shipment ID],$C941,tblShipment[Item Code],$D941)=0),"Item not in this shipment",IF(AND($H941&lt;&gt;"",COUNTIFS(tblCouriers[Courier],$H941,tblCouriers[Market],$B941)=0),"Courier not in this market","OK")))))))))))))))</f>
        <v>OK</v>
      </c>
    </row>
    <row r="942" customFormat="false" ht="15" hidden="false" customHeight="false" outlineLevel="0" collapsed="false">
      <c r="A942" s="27" t="n">
        <v>46250</v>
      </c>
      <c r="B942" s="26" t="s">
        <v>78</v>
      </c>
      <c r="C942" s="26" t="s">
        <v>134</v>
      </c>
      <c r="D942" s="26" t="s">
        <v>76</v>
      </c>
      <c r="E942" s="26" t="s">
        <v>92</v>
      </c>
      <c r="F942" s="28" t="n">
        <v>3</v>
      </c>
      <c r="G942" s="28"/>
      <c r="H942" s="26"/>
      <c r="I942" s="26" t="s">
        <v>92</v>
      </c>
      <c r="J942" s="26" t="s">
        <v>163</v>
      </c>
      <c r="K942" s="29" t="str">
        <f aca="false">IF($A942="","",IF(COUNTIFS(tblMoveTypes[Movement],$E942)=0,"Unknown movement type",IF(COUNTIF(tblShipment[Shipment ID],$C942)=0,"Unknown shipment",IF(COUNTIFS(tblShipment[Shipment ID],$C942,tblShipment[Market],$B942)=0,"Market does not match shipment",IF(AND(IFERROR(INDEX(tblMoveTypes[Item?],MATCH($E942,tblMoveTypes[Movement],0)),"?")="Yes",$D942=""),"Item needed",IF(AND(IFERROR(INDEX(tblMoveTypes[Item?],MATCH($E942,tblMoveTypes[Movement],0)),"?")="No",$D942&lt;&gt;""),"Leave Item blank",IF(AND(IFERROR(INDEX(tblMoveTypes[Courier?],MATCH($E942,tblMoveTypes[Movement],0)),"?")="Yes",$H942=""),"Courier needed",IF(AND(IFERROR(INDEX(tblMoveTypes[Courier?],MATCH($E942,tblMoveTypes[Movement],0)),"?")="No",$H942&lt;&gt;""),"Leave Courier blank",IF(AND(IFERROR(INDEX(tblMoveTypes[Orders?],MATCH($E942,tblMoveTypes[Movement],0)),"?")="Yes",$G942=""),"Orders needed",IF(AND(IFERROR(INDEX(tblMoveTypes[Orders?],MATCH($E942,tblMoveTypes[Movement],0)),"?")="No",$G942&lt;&gt;""),"Leave Orders blank",IF(AND(IFERROR(INDEX(tblMoveTypes[Reason?],MATCH($E942,tblMoveTypes[Movement],0)),"?")="Yes",$I942=""),"Reason needed",IF(AND(IFERROR(INDEX(tblMoveTypes[Qty?],MATCH($E942,tblMoveTypes[Movement],0)),"?")="Yes",N($F942)&lt;=0),"Qty needed",IF($A942&lt;_xlfn.MINIFS(tblShipment[Arrival Date],tblShipment[Shipment ID],$C942),"Date before arrival",IF(AND($D942&lt;&gt;"",COUNTIFS(tblShipment[Shipment ID],$C942,tblShipment[Item Code],$D942)=0),"Item not in this shipment",IF(AND($H942&lt;&gt;"",COUNTIFS(tblCouriers[Courier],$H942,tblCouriers[Market],$B942)=0),"Courier not in this market","OK")))))))))))))))</f>
        <v>OK</v>
      </c>
    </row>
    <row r="943" customFormat="false" ht="15" hidden="false" customHeight="false" outlineLevel="0" collapsed="false">
      <c r="A943" s="27" t="n">
        <v>46250</v>
      </c>
      <c r="B943" s="26" t="s">
        <v>78</v>
      </c>
      <c r="C943" s="26" t="s">
        <v>138</v>
      </c>
      <c r="D943" s="26"/>
      <c r="E943" s="26" t="s">
        <v>106</v>
      </c>
      <c r="F943" s="28" t="n">
        <v>9</v>
      </c>
      <c r="G943" s="28" t="n">
        <v>2</v>
      </c>
      <c r="H943" s="26" t="s">
        <v>79</v>
      </c>
      <c r="I943" s="26"/>
      <c r="J943" s="26"/>
      <c r="K943" s="29" t="str">
        <f aca="false">IF($A943="","",IF(COUNTIFS(tblMoveTypes[Movement],$E943)=0,"Unknown movement type",IF(COUNTIF(tblShipment[Shipment ID],$C943)=0,"Unknown shipment",IF(COUNTIFS(tblShipment[Shipment ID],$C943,tblShipment[Market],$B943)=0,"Market does not match shipment",IF(AND(IFERROR(INDEX(tblMoveTypes[Item?],MATCH($E943,tblMoveTypes[Movement],0)),"?")="Yes",$D943=""),"Item needed",IF(AND(IFERROR(INDEX(tblMoveTypes[Item?],MATCH($E943,tblMoveTypes[Movement],0)),"?")="No",$D943&lt;&gt;""),"Leave Item blank",IF(AND(IFERROR(INDEX(tblMoveTypes[Courier?],MATCH($E943,tblMoveTypes[Movement],0)),"?")="Yes",$H943=""),"Courier needed",IF(AND(IFERROR(INDEX(tblMoveTypes[Courier?],MATCH($E943,tblMoveTypes[Movement],0)),"?")="No",$H943&lt;&gt;""),"Leave Courier blank",IF(AND(IFERROR(INDEX(tblMoveTypes[Orders?],MATCH($E943,tblMoveTypes[Movement],0)),"?")="Yes",$G943=""),"Orders needed",IF(AND(IFERROR(INDEX(tblMoveTypes[Orders?],MATCH($E943,tblMoveTypes[Movement],0)),"?")="No",$G943&lt;&gt;""),"Leave Orders blank",IF(AND(IFERROR(INDEX(tblMoveTypes[Reason?],MATCH($E943,tblMoveTypes[Movement],0)),"?")="Yes",$I943=""),"Reason needed",IF(AND(IFERROR(INDEX(tblMoveTypes[Qty?],MATCH($E943,tblMoveTypes[Movement],0)),"?")="Yes",N($F943)&lt;=0),"Qty needed",IF($A943&lt;_xlfn.MINIFS(tblShipment[Arrival Date],tblShipment[Shipment ID],$C943),"Date before arrival",IF(AND($D943&lt;&gt;"",COUNTIFS(tblShipment[Shipment ID],$C943,tblShipment[Item Code],$D943)=0),"Item not in this shipment",IF(AND($H943&lt;&gt;"",COUNTIFS(tblCouriers[Courier],$H943,tblCouriers[Market],$B943)=0),"Courier not in this market","OK")))))))))))))))</f>
        <v>OK</v>
      </c>
    </row>
    <row r="944" customFormat="false" ht="15" hidden="false" customHeight="false" outlineLevel="0" collapsed="false">
      <c r="A944" s="27" t="n">
        <v>46250</v>
      </c>
      <c r="B944" s="26" t="s">
        <v>78</v>
      </c>
      <c r="C944" s="26" t="s">
        <v>138</v>
      </c>
      <c r="D944" s="26"/>
      <c r="E944" s="26" t="s">
        <v>108</v>
      </c>
      <c r="F944" s="28" t="n">
        <v>4</v>
      </c>
      <c r="G944" s="28" t="n">
        <v>1</v>
      </c>
      <c r="H944" s="26" t="s">
        <v>79</v>
      </c>
      <c r="I944" s="26" t="s">
        <v>107</v>
      </c>
      <c r="J944" s="26"/>
      <c r="K944" s="29" t="str">
        <f aca="false">IF($A944="","",IF(COUNTIFS(tblMoveTypes[Movement],$E944)=0,"Unknown movement type",IF(COUNTIF(tblShipment[Shipment ID],$C944)=0,"Unknown shipment",IF(COUNTIFS(tblShipment[Shipment ID],$C944,tblShipment[Market],$B944)=0,"Market does not match shipment",IF(AND(IFERROR(INDEX(tblMoveTypes[Item?],MATCH($E944,tblMoveTypes[Movement],0)),"?")="Yes",$D944=""),"Item needed",IF(AND(IFERROR(INDEX(tblMoveTypes[Item?],MATCH($E944,tblMoveTypes[Movement],0)),"?")="No",$D944&lt;&gt;""),"Leave Item blank",IF(AND(IFERROR(INDEX(tblMoveTypes[Courier?],MATCH($E944,tblMoveTypes[Movement],0)),"?")="Yes",$H944=""),"Courier needed",IF(AND(IFERROR(INDEX(tblMoveTypes[Courier?],MATCH($E944,tblMoveTypes[Movement],0)),"?")="No",$H944&lt;&gt;""),"Leave Courier blank",IF(AND(IFERROR(INDEX(tblMoveTypes[Orders?],MATCH($E944,tblMoveTypes[Movement],0)),"?")="Yes",$G944=""),"Orders needed",IF(AND(IFERROR(INDEX(tblMoveTypes[Orders?],MATCH($E944,tblMoveTypes[Movement],0)),"?")="No",$G944&lt;&gt;""),"Leave Orders blank",IF(AND(IFERROR(INDEX(tblMoveTypes[Reason?],MATCH($E944,tblMoveTypes[Movement],0)),"?")="Yes",$I944=""),"Reason needed",IF(AND(IFERROR(INDEX(tblMoveTypes[Qty?],MATCH($E944,tblMoveTypes[Movement],0)),"?")="Yes",N($F944)&lt;=0),"Qty needed",IF($A944&lt;_xlfn.MINIFS(tblShipment[Arrival Date],tblShipment[Shipment ID],$C944),"Date before arrival",IF(AND($D944&lt;&gt;"",COUNTIFS(tblShipment[Shipment ID],$C944,tblShipment[Item Code],$D944)=0),"Item not in this shipment",IF(AND($H944&lt;&gt;"",COUNTIFS(tblCouriers[Courier],$H944,tblCouriers[Market],$B944)=0),"Courier not in this market","OK")))))))))))))))</f>
        <v>OK</v>
      </c>
    </row>
    <row r="945" customFormat="false" ht="15" hidden="false" customHeight="false" outlineLevel="0" collapsed="false">
      <c r="A945" s="27" t="n">
        <v>46250</v>
      </c>
      <c r="B945" s="26" t="s">
        <v>78</v>
      </c>
      <c r="C945" s="26" t="s">
        <v>138</v>
      </c>
      <c r="D945" s="26" t="s">
        <v>99</v>
      </c>
      <c r="E945" s="26" t="s">
        <v>110</v>
      </c>
      <c r="F945" s="28" t="n">
        <v>3</v>
      </c>
      <c r="G945" s="28"/>
      <c r="H945" s="26"/>
      <c r="I945" s="26"/>
      <c r="J945" s="26"/>
      <c r="K945" s="29" t="str">
        <f aca="false">IF($A945="","",IF(COUNTIFS(tblMoveTypes[Movement],$E945)=0,"Unknown movement type",IF(COUNTIF(tblShipment[Shipment ID],$C945)=0,"Unknown shipment",IF(COUNTIFS(tblShipment[Shipment ID],$C945,tblShipment[Market],$B945)=0,"Market does not match shipment",IF(AND(IFERROR(INDEX(tblMoveTypes[Item?],MATCH($E945,tblMoveTypes[Movement],0)),"?")="Yes",$D945=""),"Item needed",IF(AND(IFERROR(INDEX(tblMoveTypes[Item?],MATCH($E945,tblMoveTypes[Movement],0)),"?")="No",$D945&lt;&gt;""),"Leave Item blank",IF(AND(IFERROR(INDEX(tblMoveTypes[Courier?],MATCH($E945,tblMoveTypes[Movement],0)),"?")="Yes",$H945=""),"Courier needed",IF(AND(IFERROR(INDEX(tblMoveTypes[Courier?],MATCH($E945,tblMoveTypes[Movement],0)),"?")="No",$H945&lt;&gt;""),"Leave Courier blank",IF(AND(IFERROR(INDEX(tblMoveTypes[Orders?],MATCH($E945,tblMoveTypes[Movement],0)),"?")="Yes",$G945=""),"Orders needed",IF(AND(IFERROR(INDEX(tblMoveTypes[Orders?],MATCH($E945,tblMoveTypes[Movement],0)),"?")="No",$G945&lt;&gt;""),"Leave Orders blank",IF(AND(IFERROR(INDEX(tblMoveTypes[Reason?],MATCH($E945,tblMoveTypes[Movement],0)),"?")="Yes",$I945=""),"Reason needed",IF(AND(IFERROR(INDEX(tblMoveTypes[Qty?],MATCH($E945,tblMoveTypes[Movement],0)),"?")="Yes",N($F945)&lt;=0),"Qty needed",IF($A945&lt;_xlfn.MINIFS(tblShipment[Arrival Date],tblShipment[Shipment ID],$C945),"Date before arrival",IF(AND($D945&lt;&gt;"",COUNTIFS(tblShipment[Shipment ID],$C945,tblShipment[Item Code],$D945)=0),"Item not in this shipment",IF(AND($H945&lt;&gt;"",COUNTIFS(tblCouriers[Courier],$H945,tblCouriers[Market],$B945)=0),"Courier not in this market","OK")))))))))))))))</f>
        <v>OK</v>
      </c>
    </row>
    <row r="946" customFormat="false" ht="15" hidden="false" customHeight="false" outlineLevel="0" collapsed="false">
      <c r="A946" s="27" t="n">
        <v>46250</v>
      </c>
      <c r="B946" s="26" t="s">
        <v>78</v>
      </c>
      <c r="C946" s="26" t="s">
        <v>138</v>
      </c>
      <c r="D946" s="26" t="s">
        <v>99</v>
      </c>
      <c r="E946" s="26" t="s">
        <v>112</v>
      </c>
      <c r="F946" s="28" t="n">
        <v>1</v>
      </c>
      <c r="G946" s="28"/>
      <c r="H946" s="26"/>
      <c r="I946" s="26" t="s">
        <v>80</v>
      </c>
      <c r="J946" s="26"/>
      <c r="K946" s="29" t="str">
        <f aca="false">IF($A946="","",IF(COUNTIFS(tblMoveTypes[Movement],$E946)=0,"Unknown movement type",IF(COUNTIF(tblShipment[Shipment ID],$C946)=0,"Unknown shipment",IF(COUNTIFS(tblShipment[Shipment ID],$C946,tblShipment[Market],$B946)=0,"Market does not match shipment",IF(AND(IFERROR(INDEX(tblMoveTypes[Item?],MATCH($E946,tblMoveTypes[Movement],0)),"?")="Yes",$D946=""),"Item needed",IF(AND(IFERROR(INDEX(tblMoveTypes[Item?],MATCH($E946,tblMoveTypes[Movement],0)),"?")="No",$D946&lt;&gt;""),"Leave Item blank",IF(AND(IFERROR(INDEX(tblMoveTypes[Courier?],MATCH($E946,tblMoveTypes[Movement],0)),"?")="Yes",$H946=""),"Courier needed",IF(AND(IFERROR(INDEX(tblMoveTypes[Courier?],MATCH($E946,tblMoveTypes[Movement],0)),"?")="No",$H946&lt;&gt;""),"Leave Courier blank",IF(AND(IFERROR(INDEX(tblMoveTypes[Orders?],MATCH($E946,tblMoveTypes[Movement],0)),"?")="Yes",$G946=""),"Orders needed",IF(AND(IFERROR(INDEX(tblMoveTypes[Orders?],MATCH($E946,tblMoveTypes[Movement],0)),"?")="No",$G946&lt;&gt;""),"Leave Orders blank",IF(AND(IFERROR(INDEX(tblMoveTypes[Reason?],MATCH($E946,tblMoveTypes[Movement],0)),"?")="Yes",$I946=""),"Reason needed",IF(AND(IFERROR(INDEX(tblMoveTypes[Qty?],MATCH($E946,tblMoveTypes[Movement],0)),"?")="Yes",N($F946)&lt;=0),"Qty needed",IF($A946&lt;_xlfn.MINIFS(tblShipment[Arrival Date],tblShipment[Shipment ID],$C946),"Date before arrival",IF(AND($D946&lt;&gt;"",COUNTIFS(tblShipment[Shipment ID],$C946,tblShipment[Item Code],$D946)=0),"Item not in this shipment",IF(AND($H946&lt;&gt;"",COUNTIFS(tblCouriers[Courier],$H946,tblCouriers[Market],$B946)=0),"Courier not in this market","OK")))))))))))))))</f>
        <v>OK</v>
      </c>
    </row>
    <row r="947" customFormat="false" ht="15" hidden="false" customHeight="false" outlineLevel="0" collapsed="false">
      <c r="A947" s="27" t="n">
        <v>46250</v>
      </c>
      <c r="B947" s="26" t="s">
        <v>78</v>
      </c>
      <c r="C947" s="26" t="s">
        <v>138</v>
      </c>
      <c r="D947" s="26"/>
      <c r="E947" s="26" t="s">
        <v>106</v>
      </c>
      <c r="F947" s="28" t="n">
        <v>6</v>
      </c>
      <c r="G947" s="28" t="n">
        <v>1</v>
      </c>
      <c r="H947" s="26" t="s">
        <v>86</v>
      </c>
      <c r="I947" s="26"/>
      <c r="J947" s="26"/>
      <c r="K947" s="29" t="str">
        <f aca="false">IF($A947="","",IF(COUNTIFS(tblMoveTypes[Movement],$E947)=0,"Unknown movement type",IF(COUNTIF(tblShipment[Shipment ID],$C947)=0,"Unknown shipment",IF(COUNTIFS(tblShipment[Shipment ID],$C947,tblShipment[Market],$B947)=0,"Market does not match shipment",IF(AND(IFERROR(INDEX(tblMoveTypes[Item?],MATCH($E947,tblMoveTypes[Movement],0)),"?")="Yes",$D947=""),"Item needed",IF(AND(IFERROR(INDEX(tblMoveTypes[Item?],MATCH($E947,tblMoveTypes[Movement],0)),"?")="No",$D947&lt;&gt;""),"Leave Item blank",IF(AND(IFERROR(INDEX(tblMoveTypes[Courier?],MATCH($E947,tblMoveTypes[Movement],0)),"?")="Yes",$H947=""),"Courier needed",IF(AND(IFERROR(INDEX(tblMoveTypes[Courier?],MATCH($E947,tblMoveTypes[Movement],0)),"?")="No",$H947&lt;&gt;""),"Leave Courier blank",IF(AND(IFERROR(INDEX(tblMoveTypes[Orders?],MATCH($E947,tblMoveTypes[Movement],0)),"?")="Yes",$G947=""),"Orders needed",IF(AND(IFERROR(INDEX(tblMoveTypes[Orders?],MATCH($E947,tblMoveTypes[Movement],0)),"?")="No",$G947&lt;&gt;""),"Leave Orders blank",IF(AND(IFERROR(INDEX(tblMoveTypes[Reason?],MATCH($E947,tblMoveTypes[Movement],0)),"?")="Yes",$I947=""),"Reason needed",IF(AND(IFERROR(INDEX(tblMoveTypes[Qty?],MATCH($E947,tblMoveTypes[Movement],0)),"?")="Yes",N($F947)&lt;=0),"Qty needed",IF($A947&lt;_xlfn.MINIFS(tblShipment[Arrival Date],tblShipment[Shipment ID],$C947),"Date before arrival",IF(AND($D947&lt;&gt;"",COUNTIFS(tblShipment[Shipment ID],$C947,tblShipment[Item Code],$D947)=0),"Item not in this shipment",IF(AND($H947&lt;&gt;"",COUNTIFS(tblCouriers[Courier],$H947,tblCouriers[Market],$B947)=0),"Courier not in this market","OK")))))))))))))))</f>
        <v>OK</v>
      </c>
    </row>
    <row r="948" customFormat="false" ht="15" hidden="false" customHeight="false" outlineLevel="0" collapsed="false">
      <c r="A948" s="27" t="n">
        <v>46250</v>
      </c>
      <c r="B948" s="26" t="s">
        <v>78</v>
      </c>
      <c r="C948" s="26" t="s">
        <v>138</v>
      </c>
      <c r="D948" s="26"/>
      <c r="E948" s="26" t="s">
        <v>108</v>
      </c>
      <c r="F948" s="28" t="n">
        <v>1</v>
      </c>
      <c r="G948" s="28" t="n">
        <v>1</v>
      </c>
      <c r="H948" s="26" t="s">
        <v>86</v>
      </c>
      <c r="I948" s="26" t="s">
        <v>102</v>
      </c>
      <c r="J948" s="26"/>
      <c r="K948" s="29" t="str">
        <f aca="false">IF($A948="","",IF(COUNTIFS(tblMoveTypes[Movement],$E948)=0,"Unknown movement type",IF(COUNTIF(tblShipment[Shipment ID],$C948)=0,"Unknown shipment",IF(COUNTIFS(tblShipment[Shipment ID],$C948,tblShipment[Market],$B948)=0,"Market does not match shipment",IF(AND(IFERROR(INDEX(tblMoveTypes[Item?],MATCH($E948,tblMoveTypes[Movement],0)),"?")="Yes",$D948=""),"Item needed",IF(AND(IFERROR(INDEX(tblMoveTypes[Item?],MATCH($E948,tblMoveTypes[Movement],0)),"?")="No",$D948&lt;&gt;""),"Leave Item blank",IF(AND(IFERROR(INDEX(tblMoveTypes[Courier?],MATCH($E948,tblMoveTypes[Movement],0)),"?")="Yes",$H948=""),"Courier needed",IF(AND(IFERROR(INDEX(tblMoveTypes[Courier?],MATCH($E948,tblMoveTypes[Movement],0)),"?")="No",$H948&lt;&gt;""),"Leave Courier blank",IF(AND(IFERROR(INDEX(tblMoveTypes[Orders?],MATCH($E948,tblMoveTypes[Movement],0)),"?")="Yes",$G948=""),"Orders needed",IF(AND(IFERROR(INDEX(tblMoveTypes[Orders?],MATCH($E948,tblMoveTypes[Movement],0)),"?")="No",$G948&lt;&gt;""),"Leave Orders blank",IF(AND(IFERROR(INDEX(tblMoveTypes[Reason?],MATCH($E948,tblMoveTypes[Movement],0)),"?")="Yes",$I948=""),"Reason needed",IF(AND(IFERROR(INDEX(tblMoveTypes[Qty?],MATCH($E948,tblMoveTypes[Movement],0)),"?")="Yes",N($F948)&lt;=0),"Qty needed",IF($A948&lt;_xlfn.MINIFS(tblShipment[Arrival Date],tblShipment[Shipment ID],$C948),"Date before arrival",IF(AND($D948&lt;&gt;"",COUNTIFS(tblShipment[Shipment ID],$C948,tblShipment[Item Code],$D948)=0),"Item not in this shipment",IF(AND($H948&lt;&gt;"",COUNTIFS(tblCouriers[Courier],$H948,tblCouriers[Market],$B948)=0),"Courier not in this market","OK")))))))))))))))</f>
        <v>OK</v>
      </c>
    </row>
    <row r="949" customFormat="false" ht="15" hidden="false" customHeight="false" outlineLevel="0" collapsed="false">
      <c r="A949" s="27" t="n">
        <v>46250</v>
      </c>
      <c r="B949" s="26" t="s">
        <v>78</v>
      </c>
      <c r="C949" s="26" t="s">
        <v>138</v>
      </c>
      <c r="D949" s="26" t="s">
        <v>67</v>
      </c>
      <c r="E949" s="26" t="s">
        <v>110</v>
      </c>
      <c r="F949" s="28" t="n">
        <v>1</v>
      </c>
      <c r="G949" s="28"/>
      <c r="H949" s="26"/>
      <c r="I949" s="26"/>
      <c r="J949" s="26"/>
      <c r="K949" s="29" t="str">
        <f aca="false">IF($A949="","",IF(COUNTIFS(tblMoveTypes[Movement],$E949)=0,"Unknown movement type",IF(COUNTIF(tblShipment[Shipment ID],$C949)=0,"Unknown shipment",IF(COUNTIFS(tblShipment[Shipment ID],$C949,tblShipment[Market],$B949)=0,"Market does not match shipment",IF(AND(IFERROR(INDEX(tblMoveTypes[Item?],MATCH($E949,tblMoveTypes[Movement],0)),"?")="Yes",$D949=""),"Item needed",IF(AND(IFERROR(INDEX(tblMoveTypes[Item?],MATCH($E949,tblMoveTypes[Movement],0)),"?")="No",$D949&lt;&gt;""),"Leave Item blank",IF(AND(IFERROR(INDEX(tblMoveTypes[Courier?],MATCH($E949,tblMoveTypes[Movement],0)),"?")="Yes",$H949=""),"Courier needed",IF(AND(IFERROR(INDEX(tblMoveTypes[Courier?],MATCH($E949,tblMoveTypes[Movement],0)),"?")="No",$H949&lt;&gt;""),"Leave Courier blank",IF(AND(IFERROR(INDEX(tblMoveTypes[Orders?],MATCH($E949,tblMoveTypes[Movement],0)),"?")="Yes",$G949=""),"Orders needed",IF(AND(IFERROR(INDEX(tblMoveTypes[Orders?],MATCH($E949,tblMoveTypes[Movement],0)),"?")="No",$G949&lt;&gt;""),"Leave Orders blank",IF(AND(IFERROR(INDEX(tblMoveTypes[Reason?],MATCH($E949,tblMoveTypes[Movement],0)),"?")="Yes",$I949=""),"Reason needed",IF(AND(IFERROR(INDEX(tblMoveTypes[Qty?],MATCH($E949,tblMoveTypes[Movement],0)),"?")="Yes",N($F949)&lt;=0),"Qty needed",IF($A949&lt;_xlfn.MINIFS(tblShipment[Arrival Date],tblShipment[Shipment ID],$C949),"Date before arrival",IF(AND($D949&lt;&gt;"",COUNTIFS(tblShipment[Shipment ID],$C949,tblShipment[Item Code],$D949)=0),"Item not in this shipment",IF(AND($H949&lt;&gt;"",COUNTIFS(tblCouriers[Courier],$H949,tblCouriers[Market],$B949)=0),"Courier not in this market","OK")))))))))))))))</f>
        <v>OK</v>
      </c>
    </row>
  </sheetData>
  <conditionalFormatting sqref="K7:K8000">
    <cfRule type="expression" priority="2" aboveAverage="0" equalAverage="0" bottom="0" percent="0" rank="0" text="" dxfId="8">
      <formula>AND(K7&lt;&gt;"",K7&lt;&gt;"OK")</formula>
    </cfRule>
  </conditionalFormatting>
  <dataValidations count="6">
    <dataValidation allowBlank="true" errorStyle="stop" operator="between" showDropDown="false" showErrorMessage="false" showInputMessage="false" sqref="B7:B1949" type="list">
      <formula1>lstMarkets</formula1>
      <formula2>0</formula2>
    </dataValidation>
    <dataValidation allowBlank="true" errorStyle="stop" operator="between" showDropDown="false" showErrorMessage="false" showInputMessage="false" sqref="C7:C1949" type="list">
      <formula1>lstShip</formula1>
      <formula2>0</formula2>
    </dataValidation>
    <dataValidation allowBlank="true" errorStyle="stop" operator="between" showDropDown="false" showErrorMessage="false" showInputMessage="false" sqref="D7:D1949" type="list">
      <formula1>lstItems</formula1>
      <formula2>0</formula2>
    </dataValidation>
    <dataValidation allowBlank="true" errorStyle="stop" operator="between" showDropDown="false" showErrorMessage="false" showInputMessage="false" sqref="E7:E1949" type="list">
      <formula1>lstMoves</formula1>
      <formula2>0</formula2>
    </dataValidation>
    <dataValidation allowBlank="true" errorStyle="stop" operator="between" showDropDown="false" showErrorMessage="false" showInputMessage="false" sqref="H7:H1949" type="list">
      <formula1>lstCouriers</formula1>
      <formula2>0</formula2>
    </dataValidation>
    <dataValidation allowBlank="true" errorStyle="stop" operator="between" showDropDown="false" showErrorMessage="false" showInputMessage="false" sqref="I7:I1949" type="list">
      <formula1>lstReasons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3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25.5" hidden="false" customHeight="tru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2" t="s">
        <v>166</v>
      </c>
    </row>
    <row r="6" customFormat="false" ht="30" hidden="false" customHeight="true" outlineLevel="0" collapsed="false">
      <c r="A6" s="9" t="s">
        <v>157</v>
      </c>
      <c r="B6" s="9" t="s">
        <v>158</v>
      </c>
      <c r="C6" s="9" t="s">
        <v>159</v>
      </c>
      <c r="D6" s="9" t="s">
        <v>167</v>
      </c>
      <c r="E6" s="9" t="s">
        <v>168</v>
      </c>
      <c r="F6" s="9" t="s">
        <v>122</v>
      </c>
      <c r="G6" s="25" t="s">
        <v>123</v>
      </c>
    </row>
    <row r="7" customFormat="false" ht="15" hidden="false" customHeight="false" outlineLevel="0" collapsed="false">
      <c r="A7" s="27" t="n">
        <v>46247</v>
      </c>
      <c r="B7" s="26" t="s">
        <v>138</v>
      </c>
      <c r="C7" s="26" t="s">
        <v>99</v>
      </c>
      <c r="D7" s="28" t="n">
        <v>28</v>
      </c>
      <c r="E7" s="26" t="s">
        <v>169</v>
      </c>
      <c r="F7" s="26"/>
      <c r="G7" s="29" t="str">
        <f aca="false">IF($A7="","",IF(COUNTIFS(tblShipment[Shipment ID],$B7,tblShipment[Item Code],$C7)=0,"Item not in this shipment",IF(COUNTIFS(tblCount[Date],$A7,tblCount[Shipment],$B7,tblCount[Item],$C7)&gt;1,"Counted twice",IF(N($D7)&lt;0,"Cannot be negative","OK"))))</f>
        <v>OK</v>
      </c>
    </row>
    <row r="8" customFormat="false" ht="15" hidden="false" customHeight="false" outlineLevel="0" collapsed="false">
      <c r="A8" s="27" t="n">
        <v>46246</v>
      </c>
      <c r="B8" s="26" t="s">
        <v>153</v>
      </c>
      <c r="C8" s="26" t="s">
        <v>83</v>
      </c>
      <c r="D8" s="28" t="n">
        <v>27</v>
      </c>
      <c r="E8" s="26" t="s">
        <v>169</v>
      </c>
      <c r="F8" s="26"/>
      <c r="G8" s="29" t="str">
        <f aca="false">IF($A8="","",IF(COUNTIFS(tblShipment[Shipment ID],$B8,tblShipment[Item Code],$C8)=0,"Item not in this shipment",IF(COUNTIFS(tblCount[Date],$A8,tblCount[Shipment],$B8,tblCount[Item],$C8)&gt;1,"Counted twice",IF(N($D8)&lt;0,"Cannot be negative","OK"))))</f>
        <v>OK</v>
      </c>
    </row>
    <row r="9" customFormat="false" ht="15" hidden="false" customHeight="false" outlineLevel="0" collapsed="false">
      <c r="A9" s="27" t="n">
        <v>46248</v>
      </c>
      <c r="B9" s="26" t="s">
        <v>153</v>
      </c>
      <c r="C9" s="26" t="s">
        <v>88</v>
      </c>
      <c r="D9" s="28" t="n">
        <v>44</v>
      </c>
      <c r="E9" s="26" t="s">
        <v>169</v>
      </c>
      <c r="F9" s="26"/>
      <c r="G9" s="29" t="str">
        <f aca="false">IF($A9="","",IF(COUNTIFS(tblShipment[Shipment ID],$B9,tblShipment[Item Code],$C9)=0,"Item not in this shipment",IF(COUNTIFS(tblCount[Date],$A9,tblCount[Shipment],$B9,tblCount[Item],$C9)&gt;1,"Counted twice",IF(N($D9)&lt;0,"Cannot be negative","OK"))))</f>
        <v>OK</v>
      </c>
    </row>
    <row r="10" customFormat="false" ht="15" hidden="false" customHeight="false" outlineLevel="0" collapsed="false">
      <c r="A10" s="27" t="n">
        <v>46247</v>
      </c>
      <c r="B10" s="26" t="s">
        <v>153</v>
      </c>
      <c r="C10" s="26" t="s">
        <v>76</v>
      </c>
      <c r="D10" s="28" t="n">
        <v>45</v>
      </c>
      <c r="E10" s="26" t="s">
        <v>169</v>
      </c>
      <c r="F10" s="26"/>
      <c r="G10" s="29" t="str">
        <f aca="false">IF($A10="","",IF(COUNTIFS(tblShipment[Shipment ID],$B10,tblShipment[Item Code],$C10)=0,"Item not in this shipment",IF(COUNTIFS(tblCount[Date],$A10,tblCount[Shipment],$B10,tblCount[Item],$C10)&gt;1,"Counted twice",IF(N($D10)&lt;0,"Cannot be negative","OK"))))</f>
        <v>OK</v>
      </c>
    </row>
    <row r="11" customFormat="false" ht="15" hidden="false" customHeight="false" outlineLevel="0" collapsed="false">
      <c r="A11" s="27" t="n">
        <v>46248</v>
      </c>
      <c r="B11" s="26" t="s">
        <v>146</v>
      </c>
      <c r="C11" s="26" t="s">
        <v>67</v>
      </c>
      <c r="D11" s="28" t="n">
        <v>19</v>
      </c>
      <c r="E11" s="26" t="s">
        <v>170</v>
      </c>
      <c r="F11" s="26"/>
      <c r="G11" s="29" t="str">
        <f aca="false">IF($A11="","",IF(COUNTIFS(tblShipment[Shipment ID],$B11,tblShipment[Item Code],$C11)=0,"Item not in this shipment",IF(COUNTIFS(tblCount[Date],$A11,tblCount[Shipment],$B11,tblCount[Item],$C11)&gt;1,"Counted twice",IF(N($D11)&lt;0,"Cannot be negative","OK"))))</f>
        <v>OK</v>
      </c>
    </row>
    <row r="12" customFormat="false" ht="15" hidden="false" customHeight="false" outlineLevel="0" collapsed="false">
      <c r="A12" s="27" t="n">
        <v>46248</v>
      </c>
      <c r="B12" s="26" t="s">
        <v>130</v>
      </c>
      <c r="C12" s="26" t="s">
        <v>94</v>
      </c>
      <c r="D12" s="28" t="n">
        <v>33</v>
      </c>
      <c r="E12" s="26" t="s">
        <v>169</v>
      </c>
      <c r="F12" s="26"/>
      <c r="G12" s="29" t="str">
        <f aca="false">IF($A12="","",IF(COUNTIFS(tblShipment[Shipment ID],$B12,tblShipment[Item Code],$C12)=0,"Item not in this shipment",IF(COUNTIFS(tblCount[Date],$A12,tblCount[Shipment],$B12,tblCount[Item],$C12)&gt;1,"Counted twice",IF(N($D12)&lt;0,"Cannot be negative","OK"))))</f>
        <v>OK</v>
      </c>
    </row>
    <row r="13" customFormat="false" ht="15" hidden="false" customHeight="false" outlineLevel="0" collapsed="false">
      <c r="A13" s="27" t="n">
        <v>46248</v>
      </c>
      <c r="B13" s="26" t="s">
        <v>146</v>
      </c>
      <c r="C13" s="26" t="s">
        <v>88</v>
      </c>
      <c r="D13" s="28" t="n">
        <v>35</v>
      </c>
      <c r="E13" s="26" t="s">
        <v>170</v>
      </c>
      <c r="F13" s="26"/>
      <c r="G13" s="29" t="str">
        <f aca="false">IF($A13="","",IF(COUNTIFS(tblShipment[Shipment ID],$B13,tblShipment[Item Code],$C13)=0,"Item not in this shipment",IF(COUNTIFS(tblCount[Date],$A13,tblCount[Shipment],$B13,tblCount[Item],$C13)&gt;1,"Counted twice",IF(N($D13)&lt;0,"Cannot be negative","OK"))))</f>
        <v>OK</v>
      </c>
    </row>
    <row r="14" customFormat="false" ht="15" hidden="false" customHeight="false" outlineLevel="0" collapsed="false">
      <c r="A14" s="27" t="n">
        <v>46250</v>
      </c>
      <c r="B14" s="26" t="s">
        <v>130</v>
      </c>
      <c r="C14" s="26" t="s">
        <v>76</v>
      </c>
      <c r="D14" s="28" t="n">
        <v>51</v>
      </c>
      <c r="E14" s="26" t="s">
        <v>170</v>
      </c>
      <c r="F14" s="26"/>
      <c r="G14" s="29" t="str">
        <f aca="false">IF($A14="","",IF(COUNTIFS(tblShipment[Shipment ID],$B14,tblShipment[Item Code],$C14)=0,"Item not in this shipment",IF(COUNTIFS(tblCount[Date],$A14,tblCount[Shipment],$B14,tblCount[Item],$C14)&gt;1,"Counted twice",IF(N($D14)&lt;0,"Cannot be negative","OK"))))</f>
        <v>OK</v>
      </c>
    </row>
  </sheetData>
  <conditionalFormatting sqref="G7:G8000">
    <cfRule type="expression" priority="2" aboveAverage="0" equalAverage="0" bottom="0" percent="0" rank="0" text="" dxfId="8">
      <formula>AND(G7&lt;&gt;"",G7&lt;&gt;"OK")</formula>
    </cfRule>
  </conditionalFormatting>
  <dataValidations count="2">
    <dataValidation allowBlank="true" errorStyle="stop" operator="between" showDropDown="false" showErrorMessage="false" showInputMessage="false" sqref="B7:B1014" type="list">
      <formula1>lstShip</formula1>
      <formula2>0</formula2>
    </dataValidation>
    <dataValidation allowBlank="true" errorStyle="stop" operator="between" showDropDown="false" showErrorMessage="false" showInputMessage="false" sqref="C7:C1014" type="list">
      <formula1>lstItems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2026-08-16T20:18:25Z</dcterms:created>
  <dc:creator>openpyxl</dc:creator>
  <dc:description/>
  <dc:language>en-US</dc:language>
  <cp:lastModifiedBy/>
  <dcterms:modified xsi:type="dcterms:W3CDTF">2026-08-16T20:18:27Z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