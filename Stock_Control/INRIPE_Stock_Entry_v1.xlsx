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MASTER" sheetId="2" state="visible" r:id="rId4"/>
    <sheet name="SHIPMENTS" sheetId="3" state="visible" r:id="rId5"/>
    <sheet name="MOVES" sheetId="4" state="visible" r:id="rId6"/>
    <sheet name="COUNT" sheetId="5" state="visible" r:id="rId7"/>
    <sheet name="DISPATCH" sheetId="6" state="visible" r:id="rId8"/>
  </sheets>
  <definedNames>
    <definedName function="false" hidden="false" name="cfgAsOf" vbProcedure="false">MASTER!$C$5</definedName>
    <definedName function="false" hidden="false" name="cfgClearTarget" vbProcedure="false">MASTER!$C$7</definedName>
    <definedName function="false" hidden="false" name="cfgCourierLimit" vbProcedure="false">MASTER!$C$6</definedName>
    <definedName function="false" hidden="false" name="cfgLossTarget" vbProcedure="false">MASTER!$C$8</definedName>
    <definedName function="false" hidden="false" name="cfgVarTol" vbProcedure="false">MASTER!$C$9</definedName>
    <definedName function="false" hidden="false" name="cfgVer" vbProcedure="false">MASTER!$C$10</definedName>
    <definedName function="false" hidden="false" name="lstCouriers" vbProcedure="false">tblCouriers[Courier]</definedName>
    <definedName function="false" hidden="false" name="lstItems" vbProcedure="false">tblItems[Item Name]</definedName>
    <definedName function="false" hidden="false" name="lstMarkets" vbProcedure="false">tblMarkets[Market]</definedName>
    <definedName function="false" hidden="false" name="lstMoves" vbProcedure="false">tblMoveTypes[Movement]</definedName>
    <definedName function="false" hidden="false" name="lstReasons" vbProcedure="false">tblReasons[Reason]</definedName>
    <definedName function="false" hidden="false" name="lstShip" vbProcedure="false">tblShipment[Shipment No]</definedName>
    <definedName function="false" hidden="false" name="lstSource" vbProcedure="false">MASTER!$Y$16:$Y$17</definedName>
    <definedName function="false" hidden="false" name="lstVoid" vbProcedure="false">MASTER!$Z$16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<sst xmlns="http://schemas.openxmlformats.org/spreadsheetml/2006/main" count="2257" uniqueCount="193">
  <si>
    <t xml:space="preserve">GUIDE</t>
  </si>
  <si>
    <t xml:space="preserve">One page. Read once.</t>
  </si>
  <si>
    <t xml:space="preserve">GOLDEN RULE:   type only what physically happened.   Stock only ever moves through MOVES.</t>
  </si>
  <si>
    <t xml:space="preserve">BLUE  =  you type here</t>
  </si>
  <si>
    <t xml:space="preserve">GREY  =  the workbook works it out</t>
  </si>
  <si>
    <t xml:space="preserve">YELLOW  =  a setting you may change</t>
  </si>
  <si>
    <t xml:space="preserve">RED  =  fix this row</t>
  </si>
  <si>
    <t xml:space="preserve">GREEN  =  stock coming IN</t>
  </si>
  <si>
    <t xml:space="preserve">PINK  =  stock going OUT</t>
  </si>
  <si>
    <t xml:space="preserve">Sheet</t>
  </si>
  <si>
    <t xml:space="preserve">How often</t>
  </si>
  <si>
    <t xml:space="preserve">What you type</t>
  </si>
  <si>
    <t xml:space="preserve">SHIPMENTS</t>
  </si>
  <si>
    <t xml:space="preserve">Per shipment</t>
  </si>
  <si>
    <t xml:space="preserve">6 fields: Shipment No, Market, Arrival Date, Source, Item Name, Shipped Qty</t>
  </si>
  <si>
    <t xml:space="preserve">MOVES</t>
  </si>
  <si>
    <t xml:space="preserve">Daily</t>
  </si>
  <si>
    <t xml:space="preserve">6 fields at most. Pick the Movement and it tells you which ones.</t>
  </si>
  <si>
    <t xml:space="preserve">COUNT</t>
  </si>
  <si>
    <t xml:space="preserve">Weekly</t>
  </si>
  <si>
    <t xml:space="preserve">4 fields: Date, Shipment No, Item Name, Physical Qty</t>
  </si>
  <si>
    <t xml:space="preserve">DISPATCH</t>
  </si>
  <si>
    <t xml:space="preserve">Never - automatic</t>
  </si>
  <si>
    <t xml:space="preserve">Which orders took which boxes. The dashboard writes it.</t>
  </si>
  <si>
    <t xml:space="preserve">MASTER</t>
  </si>
  <si>
    <t xml:space="preserve">Rarely</t>
  </si>
  <si>
    <t xml:space="preserve">Items, courier, reasons, movements, settings</t>
  </si>
  <si>
    <t xml:space="preserve">Your daily routine</t>
  </si>
  <si>
    <t xml:space="preserve">   1.  New shipment landed? Add its lines on SHIPMENTS first - one row per item.</t>
  </si>
  <si>
    <t xml:space="preserve">   2.  Open MOVES. Type the Date and Shipment No, then pick the Movement.</t>
  </si>
  <si>
    <t xml:space="preserve">   3.  Read the 'What to fill' column. It names every field that movement needs - fill only those.</t>
  </si>
  <si>
    <t xml:space="preserve">   4.  Quantities go in the In column or the Out column, never both. The column tells you which.</t>
  </si>
  <si>
    <t xml:space="preserve">   5.  Check the last column shows OK on every new row. Save the file.</t>
  </si>
  <si>
    <t xml:space="preserve">Made a mistake?</t>
  </si>
  <si>
    <t xml:space="preserve">   Set Void to Yes on that row. It is ignored everywhere and stays visible for audit. Never delete a row.</t>
  </si>
  <si>
    <t xml:space="preserve">Rules that never change</t>
  </si>
  <si>
    <t xml:space="preserve">   Items are tracked inside the store. Once boxes go to the courier, quantities are tracked by shipment.</t>
  </si>
  <si>
    <t xml:space="preserve">   Returns: enter Returned (no item), then split it the same day into Return to Saleable and Return to Scrap.</t>
  </si>
  <si>
    <t xml:space="preserve">   Orders are counts, never order numbers. Order numbers appear only on DISPATCH, written automatically.</t>
  </si>
  <si>
    <t xml:space="preserve">   A physical count never changes stock. Post a Count Adjustment in MOVES with a reason instead.</t>
  </si>
  <si>
    <t xml:space="preserve">Growing this file</t>
  </si>
  <si>
    <t xml:space="preserve">   New item, courier or reason  -&gt;  add a row on MASTER.</t>
  </si>
  <si>
    <t xml:space="preserve">   New kind of movement  -&gt;  add a row to the Movement Types table on MASTER. Nothing else changes.</t>
  </si>
  <si>
    <t xml:space="preserve">MASTER  -  standards</t>
  </si>
  <si>
    <t xml:space="preserve">Set once. Everything else reads from here.</t>
  </si>
  <si>
    <t xml:space="preserve">SETTINGS</t>
  </si>
  <si>
    <t xml:space="preserve">As-Of Date</t>
  </si>
  <si>
    <t xml:space="preserve">Courier holding limit (days)</t>
  </si>
  <si>
    <t xml:space="preserve">Shipment clearance target (days)</t>
  </si>
  <si>
    <t xml:space="preserve">Loss % target</t>
  </si>
  <si>
    <t xml:space="preserve">Count variance tolerance</t>
  </si>
  <si>
    <t xml:space="preserve">Version</t>
  </si>
  <si>
    <t xml:space="preserve">Qatar v1.0</t>
  </si>
  <si>
    <t xml:space="preserve">Yellow = the only cells you change here.  Holding limit 99 = no limit.</t>
  </si>
  <si>
    <t xml:space="preserve">MASTER TABLES</t>
  </si>
  <si>
    <t xml:space="preserve">Item Name</t>
  </si>
  <si>
    <t xml:space="preserve">Item Code</t>
  </si>
  <si>
    <t xml:space="preserve">Active</t>
  </si>
  <si>
    <t xml:space="preserve">Market</t>
  </si>
  <si>
    <t xml:space="preserve">Courier</t>
  </si>
  <si>
    <t xml:space="preserve">Reason</t>
  </si>
  <si>
    <t xml:space="preserve">Type</t>
  </si>
  <si>
    <t xml:space="preserve">Movement</t>
  </si>
  <si>
    <t xml:space="preserve">What it means</t>
  </si>
  <si>
    <t xml:space="preserve">In / Out</t>
  </si>
  <si>
    <t xml:space="preserve">Item?</t>
  </si>
  <si>
    <t xml:space="preserve">Courier?</t>
  </si>
  <si>
    <t xml:space="preserve">Orders?</t>
  </si>
  <si>
    <t xml:space="preserve">Reason?</t>
  </si>
  <si>
    <t xml:space="preserve">Qty?</t>
  </si>
  <si>
    <t xml:space="preserve">Source</t>
  </si>
  <si>
    <t xml:space="preserve">Void</t>
  </si>
  <si>
    <t xml:space="preserve">Mango Fas</t>
  </si>
  <si>
    <t xml:space="preserve">EG-FG-MNG-05-02-01-01</t>
  </si>
  <si>
    <t xml:space="preserve">Yes</t>
  </si>
  <si>
    <t xml:space="preserve">Qatar</t>
  </si>
  <si>
    <t xml:space="preserve">WareOne</t>
  </si>
  <si>
    <t xml:space="preserve">Quality</t>
  </si>
  <si>
    <t xml:space="preserve">Scrap</t>
  </si>
  <si>
    <t xml:space="preserve">Received</t>
  </si>
  <si>
    <t xml:space="preserve">Goods counted in at the store</t>
  </si>
  <si>
    <t xml:space="preserve">IN</t>
  </si>
  <si>
    <t xml:space="preserve">No</t>
  </si>
  <si>
    <t xml:space="preserve">Egypt</t>
  </si>
  <si>
    <t xml:space="preserve">Mango Owais</t>
  </si>
  <si>
    <t xml:space="preserve">EG-FG-MNG-12-02-01-01</t>
  </si>
  <si>
    <t xml:space="preserve">Damage</t>
  </si>
  <si>
    <t xml:space="preserve">Customs / Loss</t>
  </si>
  <si>
    <t xml:space="preserve">Taken in transit - not scrap</t>
  </si>
  <si>
    <t xml:space="preserve">OUT</t>
  </si>
  <si>
    <t xml:space="preserve">Local</t>
  </si>
  <si>
    <t xml:space="preserve">Fig Barshomi</t>
  </si>
  <si>
    <t xml:space="preserve">EG-FG-FIG-01-02-01-01</t>
  </si>
  <si>
    <t xml:space="preserve">Overstay</t>
  </si>
  <si>
    <t xml:space="preserve">Thrown away from store stock</t>
  </si>
  <si>
    <t xml:space="preserve">Guava Banati</t>
  </si>
  <si>
    <t xml:space="preserve">EG-FG-GUV-01-02-01-01</t>
  </si>
  <si>
    <t xml:space="preserve">Count Adjustment</t>
  </si>
  <si>
    <t xml:space="preserve">To Courier</t>
  </si>
  <si>
    <t xml:space="preserve">Handed to the courier</t>
  </si>
  <si>
    <t xml:space="preserve">Mango White Sugar</t>
  </si>
  <si>
    <t xml:space="preserve">EG-FG-MNG-18-02-01-01</t>
  </si>
  <si>
    <t xml:space="preserve">Other</t>
  </si>
  <si>
    <t xml:space="preserve">Orders Assigned</t>
  </si>
  <si>
    <t xml:space="preserve">Orders the shipment covers</t>
  </si>
  <si>
    <t xml:space="preserve">--</t>
  </si>
  <si>
    <t xml:space="preserve">Dates Barhi</t>
  </si>
  <si>
    <t xml:space="preserve">EG-FG-DAT-01-02-01-01</t>
  </si>
  <si>
    <t xml:space="preserve">Customer Unavailable</t>
  </si>
  <si>
    <t xml:space="preserve">Return</t>
  </si>
  <si>
    <t xml:space="preserve">Courier Handover</t>
  </si>
  <si>
    <t xml:space="preserve">Orders given to the courier</t>
  </si>
  <si>
    <t xml:space="preserve">Mango Trio Box</t>
  </si>
  <si>
    <t xml:space="preserve">BOX-TRIO-01</t>
  </si>
  <si>
    <t xml:space="preserve">Customer Refused</t>
  </si>
  <si>
    <t xml:space="preserve">Delivered</t>
  </si>
  <si>
    <t xml:space="preserve">Reached the customer</t>
  </si>
  <si>
    <t xml:space="preserve">Mango Fons</t>
  </si>
  <si>
    <t xml:space="preserve">EG-FG-MNG-06-02-01-01</t>
  </si>
  <si>
    <t xml:space="preserve">Wrong Address</t>
  </si>
  <si>
    <t xml:space="preserve">Returned</t>
  </si>
  <si>
    <t xml:space="preserve">Came back from the courier</t>
  </si>
  <si>
    <t xml:space="preserve">Grapes Banati</t>
  </si>
  <si>
    <t xml:space="preserve">EG-FG-GRP-01-02-01-01</t>
  </si>
  <si>
    <t xml:space="preserve">Quality Complaint</t>
  </si>
  <si>
    <t xml:space="preserve">Return to Saleable</t>
  </si>
  <si>
    <t xml:space="preserve">Returned goods that passed QC</t>
  </si>
  <si>
    <t xml:space="preserve">Grapes Red</t>
  </si>
  <si>
    <t xml:space="preserve">EG-FG-GRP-03-02-01-01</t>
  </si>
  <si>
    <t xml:space="preserve">Cancelled</t>
  </si>
  <si>
    <t xml:space="preserve">Return to Scrap</t>
  </si>
  <si>
    <t xml:space="preserve">Returned goods that failed QC</t>
  </si>
  <si>
    <t xml:space="preserve">Mango Sediqa</t>
  </si>
  <si>
    <t xml:space="preserve">EG-FG-MNG-15-02-01-01</t>
  </si>
  <si>
    <t xml:space="preserve">Other Return</t>
  </si>
  <si>
    <t xml:space="preserve">Count Adjustment - Add</t>
  </si>
  <si>
    <t xml:space="preserve">Count found more stock</t>
  </si>
  <si>
    <t xml:space="preserve">Pear Banati</t>
  </si>
  <si>
    <t xml:space="preserve">EG-FG-PER-01-02-01-01</t>
  </si>
  <si>
    <t xml:space="preserve">Count Adjustment - Remove</t>
  </si>
  <si>
    <t xml:space="preserve">Count found less stock</t>
  </si>
  <si>
    <t xml:space="preserve">Cantaloupe</t>
  </si>
  <si>
    <t xml:space="preserve">EG-FG-CAN-01-02-01-01</t>
  </si>
  <si>
    <t xml:space="preserve">Mango Naomi</t>
  </si>
  <si>
    <t xml:space="preserve">EG-FG-MNG-11-02-01-01</t>
  </si>
  <si>
    <t xml:space="preserve">Add a row here and the MOVES log accepts the new movement. Nothing else changes.</t>
  </si>
  <si>
    <t xml:space="preserve">Mango Zebda</t>
  </si>
  <si>
    <t xml:space="preserve">EG-FG-MNG-19-02-01-01</t>
  </si>
  <si>
    <t xml:space="preserve">Mango Timour</t>
  </si>
  <si>
    <t xml:space="preserve">EG-FG-MNG-99-02-01-01</t>
  </si>
  <si>
    <t xml:space="preserve">SHIPMENTS  -  what arrived</t>
  </si>
  <si>
    <t xml:space="preserve">One row per shipment and item. Filled once, when the shipment lands.</t>
  </si>
  <si>
    <t xml:space="preserve">BLUE = you type it.   GREY = the workbook works it out.   RED = fix that row.</t>
  </si>
  <si>
    <t xml:space="preserve">Shipment No</t>
  </si>
  <si>
    <t xml:space="preserve">Arrival Date</t>
  </si>
  <si>
    <t xml:space="preserve">Shipped Qty</t>
  </si>
  <si>
    <t xml:space="preserve">Note</t>
  </si>
  <si>
    <t xml:space="preserve">Check</t>
  </si>
  <si>
    <t xml:space="preserve">NO. 001</t>
  </si>
  <si>
    <t xml:space="preserve">NO. 002</t>
  </si>
  <si>
    <t xml:space="preserve">NO. 003</t>
  </si>
  <si>
    <t xml:space="preserve">NO. 004</t>
  </si>
  <si>
    <t xml:space="preserve">NO. 005</t>
  </si>
  <si>
    <t xml:space="preserve">NO. 006</t>
  </si>
  <si>
    <t xml:space="preserve">NO. 007</t>
  </si>
  <si>
    <t xml:space="preserve">NO. 008</t>
  </si>
  <si>
    <t xml:space="preserve">NO. 009</t>
  </si>
  <si>
    <t xml:space="preserve">NO. 010</t>
  </si>
  <si>
    <t xml:space="preserve">NO. 011</t>
  </si>
  <si>
    <t xml:space="preserve">NO. 012</t>
  </si>
  <si>
    <t xml:space="preserve">MOVES  -  the daily log</t>
  </si>
  <si>
    <t xml:space="preserve">Pick the Movement first. The next column tells you exactly which fields to fill. Leave everything else blank.</t>
  </si>
  <si>
    <t xml:space="preserve">Made a mistake? Set Void to Yes. The row is ignored everywhere and stays visible. Never delete a row.</t>
  </si>
  <si>
    <t xml:space="preserve">Date</t>
  </si>
  <si>
    <t xml:space="preserve">What to fill</t>
  </si>
  <si>
    <t xml:space="preserve">In</t>
  </si>
  <si>
    <t xml:space="preserve">Out</t>
  </si>
  <si>
    <t xml:space="preserve">Orders</t>
  </si>
  <si>
    <t xml:space="preserve">Qty</t>
  </si>
  <si>
    <t xml:space="preserve">Customs hold</t>
  </si>
  <si>
    <t xml:space="preserve">Typed in error</t>
  </si>
  <si>
    <t xml:space="preserve">COUNT  -  physical stock check</t>
  </si>
  <si>
    <t xml:space="preserve">Weekly or spot check. A count never changes stock - post a Count Adjustment in MOVES to correct it.</t>
  </si>
  <si>
    <t xml:space="preserve">Counted By is optional. Variance is calculated on the dashboard, not here.</t>
  </si>
  <si>
    <t xml:space="preserve">Physical Qty</t>
  </si>
  <si>
    <t xml:space="preserve">Counted By</t>
  </si>
  <si>
    <t xml:space="preserve">A. Kamal</t>
  </si>
  <si>
    <t xml:space="preserve">S. Hassan</t>
  </si>
  <si>
    <t xml:space="preserve">DISPATCH  -  written by the dashboard</t>
  </si>
  <si>
    <t xml:space="preserve">One row per order line dispatched. You do not type here - the Dispatch tab writes it when you confirm.</t>
  </si>
  <si>
    <t xml:space="preserve">EXAMPLE row - delete it before you start.</t>
  </si>
  <si>
    <t xml:space="preserve">Order</t>
  </si>
  <si>
    <t xml:space="preserve">#34216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</si>
</sst>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"/>
    <numFmt numFmtId="166" formatCode="#,##0"/>
    <numFmt numFmtId="167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1D8A5E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404040"/>
      <name val="Arial"/>
      <family val="0"/>
      <charset val="1"/>
    </font>
    <font>
      <i val="true"/>
      <sz val="10"/>
      <color rgb="FFC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2E75B6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6F4E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BE9E7"/>
          <bgColor rgb="FF000000"/>
        </patternFill>
      </fill>
    </dxf>
    <dxf>
      <fill>
        <patternFill patternType="solid">
          <fgColor rgb="FF1D8A5E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family val="0"/>
        <i val="1"/>
        <strike val="1"/>
        <color rgb="FF80808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unt" displayName="tblCount" ref="A6:H16" headerRowCount="1" totalsRowCount="0" totalsRowShown="0">
  <autoFilter ref="A6:H16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</table>
</file>

<file path=xl/tables/table2.xml><?xml version="1.0" encoding="utf-8"?>
<table xmlns="http://schemas.openxmlformats.org/spreadsheetml/2006/main" id="2" name="tblCouriers" displayName="tblCouriers" ref="I15:K16" headerRowCount="1" totalsRowCount="0" totalsRowShown="0">
  <autoFilter ref="I15:K16"/>
  <tableColumns count="3">
    <tableColumn id="1" name="Courier"/>
    <tableColumn id="2" name="Market"/>
    <tableColumn id="3" name="Active"/>
  </tableColumns>
</table>
</file>

<file path=xl/tables/table3.xml><?xml version="1.0" encoding="utf-8"?>
<table xmlns="http://schemas.openxmlformats.org/spreadsheetml/2006/main" id="3" name="tblDispatch" displayName="tblDispatch" ref="A6:I7" headerRowCount="1" totalsRowCount="0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</table>
</file>

<file path=xl/tables/table4.xml><?xml version="1.0" encoding="utf-8"?>
<table xmlns="http://schemas.openxmlformats.org/spreadsheetml/2006/main" id="4" name="tblItems" displayName="tblItems" ref="B15:D31" headerRowCount="1" totalsRowCount="0" totalsRowShown="0">
  <autoFilter ref="B15:D31"/>
  <tableColumns count="3">
    <tableColumn id="1" name="Item Name"/>
    <tableColumn id="2" name="Item Code"/>
    <tableColumn id="3" name="Active"/>
  </tableColumns>
</table>
</file>

<file path=xl/tables/table5.xml><?xml version="1.0" encoding="utf-8"?>
<table xmlns="http://schemas.openxmlformats.org/spreadsheetml/2006/main" id="5" name="tblMarkets" displayName="tblMarkets" ref="F15:G16" headerRowCount="1" totalsRowCount="0" totalsRowShown="0">
  <autoFilter ref="F15:G16"/>
  <tableColumns count="2">
    <tableColumn id="1" name="Market"/>
    <tableColumn id="2" name="Active"/>
  </tableColumns>
</table>
</file>

<file path=xl/tables/table6.xml><?xml version="1.0" encoding="utf-8"?>
<table xmlns="http://schemas.openxmlformats.org/spreadsheetml/2006/main" id="6" name="tblMoves" displayName="tblMoves" ref="A6:P427" headerRowCount="1" totalsRowCount="0" totalsRowShown="0">
  <autoFilter ref="A6:P427"/>
  <tableColumns count="16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Check"/>
  </tableColumns>
</table>
</file>

<file path=xl/tables/table7.xml><?xml version="1.0" encoding="utf-8"?>
<table xmlns="http://schemas.openxmlformats.org/spreadsheetml/2006/main" id="7" name="tblMoveTypes" displayName="tblMoveTypes" ref="P15:W27" headerRowCount="1" totalsRowCount="0" totalsRowShown="0">
  <autoFilter ref="P15:W27"/>
  <tableColumns count="8">
    <tableColumn id="1" name="Movement"/>
    <tableColumn id="2" name="What it means"/>
    <tableColumn id="3" name="In / Out"/>
    <tableColumn id="4" name="Item?"/>
    <tableColumn id="5" name="Courier?"/>
    <tableColumn id="6" name="Orders?"/>
    <tableColumn id="7" name="Reason?"/>
    <tableColumn id="8" name="Qty?"/>
  </tableColumns>
</table>
</file>

<file path=xl/tables/table8.xml><?xml version="1.0" encoding="utf-8"?>
<table xmlns="http://schemas.openxmlformats.org/spreadsheetml/2006/main" id="8" name="tblReasons" displayName="tblReasons" ref="M15:N26" headerRowCount="1" totalsRowCount="0" totalsRowShown="0">
  <autoFilter ref="M15:N26"/>
  <tableColumns count="2">
    <tableColumn id="1" name="Reason"/>
    <tableColumn id="2" name="Type"/>
  </tableColumns>
</table>
</file>

<file path=xl/tables/table9.xml><?xml version="1.0" encoding="utf-8"?>
<table xmlns="http://schemas.openxmlformats.org/spreadsheetml/2006/main" id="9" name="tblShipment" displayName="tblShipment" ref="A6:I119" headerRowCount="1" totalsRowCount="0" totalsRowShown="0">
  <autoFilter ref="A6:I119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46"/>
    <col collapsed="false" customWidth="true" hidden="false" outlineLevel="0" max="5" min="5" style="0" width="34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B4" s="3" t="s">
        <v>2</v>
      </c>
      <c r="C4" s="3"/>
      <c r="D4" s="3"/>
      <c r="E4" s="3"/>
    </row>
    <row r="6" customFormat="false" ht="15" hidden="false" customHeight="false" outlineLevel="0" collapsed="false">
      <c r="B6" s="4"/>
      <c r="C6" s="5" t="s">
        <v>3</v>
      </c>
      <c r="D6" s="5"/>
      <c r="E6" s="5"/>
    </row>
    <row r="7" customFormat="false" ht="15" hidden="false" customHeight="false" outlineLevel="0" collapsed="false">
      <c r="B7" s="6"/>
      <c r="C7" s="5" t="s">
        <v>4</v>
      </c>
      <c r="D7" s="5"/>
      <c r="E7" s="5"/>
    </row>
    <row r="8" customFormat="false" ht="15" hidden="false" customHeight="false" outlineLevel="0" collapsed="false">
      <c r="B8" s="7"/>
      <c r="C8" s="5" t="s">
        <v>5</v>
      </c>
      <c r="D8" s="5"/>
      <c r="E8" s="5"/>
    </row>
    <row r="9" customFormat="false" ht="15" hidden="false" customHeight="false" outlineLevel="0" collapsed="false">
      <c r="B9" s="8"/>
      <c r="C9" s="5" t="s">
        <v>6</v>
      </c>
      <c r="D9" s="5"/>
      <c r="E9" s="5"/>
    </row>
    <row r="10" customFormat="false" ht="15" hidden="false" customHeight="false" outlineLevel="0" collapsed="false">
      <c r="B10" s="9"/>
      <c r="C10" s="5" t="s">
        <v>7</v>
      </c>
      <c r="D10" s="5"/>
      <c r="E10" s="5"/>
    </row>
    <row r="11" customFormat="false" ht="15" hidden="false" customHeight="false" outlineLevel="0" collapsed="false">
      <c r="B11" s="10"/>
      <c r="C11" s="5" t="s">
        <v>8</v>
      </c>
      <c r="D11" s="5"/>
      <c r="E11" s="5"/>
    </row>
    <row r="14" customFormat="false" ht="24" hidden="false" customHeight="true" outlineLevel="0" collapsed="false">
      <c r="B14" s="11" t="s">
        <v>9</v>
      </c>
      <c r="C14" s="11" t="s">
        <v>10</v>
      </c>
      <c r="D14" s="11" t="s">
        <v>11</v>
      </c>
    </row>
    <row r="15" customFormat="false" ht="15" hidden="false" customHeight="true" outlineLevel="0" collapsed="false">
      <c r="B15" s="12" t="s">
        <v>12</v>
      </c>
      <c r="C15" s="13" t="s">
        <v>13</v>
      </c>
      <c r="D15" s="13" t="s">
        <v>14</v>
      </c>
      <c r="E15" s="13"/>
    </row>
    <row r="16" customFormat="false" ht="15" hidden="false" customHeight="true" outlineLevel="0" collapsed="false">
      <c r="B16" s="14" t="s">
        <v>15</v>
      </c>
      <c r="C16" s="15" t="s">
        <v>16</v>
      </c>
      <c r="D16" s="15" t="s">
        <v>17</v>
      </c>
      <c r="E16" s="15"/>
    </row>
    <row r="17" customFormat="false" ht="15" hidden="false" customHeight="true" outlineLevel="0" collapsed="false">
      <c r="B17" s="12" t="s">
        <v>18</v>
      </c>
      <c r="C17" s="13" t="s">
        <v>19</v>
      </c>
      <c r="D17" s="13" t="s">
        <v>20</v>
      </c>
      <c r="E17" s="13"/>
    </row>
    <row r="18" customFormat="false" ht="22.35" hidden="false" customHeight="true" outlineLevel="0" collapsed="false">
      <c r="B18" s="14" t="s">
        <v>21</v>
      </c>
      <c r="C18" s="15" t="s">
        <v>22</v>
      </c>
      <c r="D18" s="15" t="s">
        <v>23</v>
      </c>
      <c r="E18" s="15"/>
    </row>
    <row r="19" customFormat="false" ht="15" hidden="false" customHeight="true" outlineLevel="0" collapsed="false">
      <c r="B19" s="12" t="s">
        <v>24</v>
      </c>
      <c r="C19" s="13" t="s">
        <v>25</v>
      </c>
      <c r="D19" s="13" t="s">
        <v>26</v>
      </c>
      <c r="E19" s="13"/>
    </row>
    <row r="22" customFormat="false" ht="15" hidden="false" customHeight="false" outlineLevel="0" collapsed="false">
      <c r="B22" s="16" t="s">
        <v>27</v>
      </c>
    </row>
    <row r="23" customFormat="false" ht="15" hidden="false" customHeight="false" outlineLevel="0" collapsed="false">
      <c r="B23" s="17" t="s">
        <v>28</v>
      </c>
    </row>
    <row r="24" customFormat="false" ht="15" hidden="false" customHeight="false" outlineLevel="0" collapsed="false">
      <c r="B24" s="17" t="s">
        <v>29</v>
      </c>
    </row>
    <row r="25" customFormat="false" ht="15" hidden="false" customHeight="false" outlineLevel="0" collapsed="false">
      <c r="B25" s="17" t="s">
        <v>30</v>
      </c>
    </row>
    <row r="26" customFormat="false" ht="15" hidden="false" customHeight="false" outlineLevel="0" collapsed="false">
      <c r="B26" s="17" t="s">
        <v>31</v>
      </c>
    </row>
    <row r="27" customFormat="false" ht="15" hidden="false" customHeight="false" outlineLevel="0" collapsed="false">
      <c r="B27" s="17" t="s">
        <v>32</v>
      </c>
    </row>
    <row r="28" customFormat="false" ht="15" hidden="false" customHeight="false" outlineLevel="0" collapsed="false">
      <c r="B28" s="17"/>
    </row>
    <row r="29" customFormat="false" ht="15" hidden="false" customHeight="false" outlineLevel="0" collapsed="false">
      <c r="B29" s="16" t="s">
        <v>33</v>
      </c>
    </row>
    <row r="30" customFormat="false" ht="15" hidden="false" customHeight="false" outlineLevel="0" collapsed="false">
      <c r="B30" s="17" t="s">
        <v>34</v>
      </c>
    </row>
    <row r="31" customFormat="false" ht="15" hidden="false" customHeight="false" outlineLevel="0" collapsed="false">
      <c r="B31" s="17"/>
    </row>
    <row r="32" customFormat="false" ht="15" hidden="false" customHeight="false" outlineLevel="0" collapsed="false">
      <c r="B32" s="16" t="s">
        <v>35</v>
      </c>
    </row>
    <row r="33" customFormat="false" ht="15" hidden="false" customHeight="false" outlineLevel="0" collapsed="false">
      <c r="B33" s="17" t="s">
        <v>36</v>
      </c>
    </row>
    <row r="34" customFormat="false" ht="15" hidden="false" customHeight="false" outlineLevel="0" collapsed="false">
      <c r="B34" s="17" t="s">
        <v>37</v>
      </c>
    </row>
    <row r="35" customFormat="false" ht="15" hidden="false" customHeight="false" outlineLevel="0" collapsed="false">
      <c r="B35" s="17" t="s">
        <v>38</v>
      </c>
    </row>
    <row r="36" customFormat="false" ht="15" hidden="false" customHeight="false" outlineLevel="0" collapsed="false">
      <c r="B36" s="17" t="s">
        <v>39</v>
      </c>
    </row>
    <row r="37" customFormat="false" ht="15" hidden="false" customHeight="false" outlineLevel="0" collapsed="false">
      <c r="B37" s="17"/>
    </row>
    <row r="38" customFormat="false" ht="15" hidden="false" customHeight="false" outlineLevel="0" collapsed="false">
      <c r="B38" s="16" t="s">
        <v>40</v>
      </c>
    </row>
    <row r="39" customFormat="false" ht="15" hidden="false" customHeight="false" outlineLevel="0" collapsed="false">
      <c r="B39" s="17" t="s">
        <v>41</v>
      </c>
    </row>
    <row r="40" customFormat="false" ht="15" hidden="false" customHeight="false" outlineLevel="0" collapsed="false">
      <c r="B40" s="17" t="s">
        <v>42</v>
      </c>
    </row>
  </sheetData>
  <mergeCells count="12">
    <mergeCell ref="B4:E4"/>
    <mergeCell ref="C6:E6"/>
    <mergeCell ref="C7:E7"/>
    <mergeCell ref="C8:E8"/>
    <mergeCell ref="C9:E9"/>
    <mergeCell ref="C10:E10"/>
    <mergeCell ref="C11:E11"/>
    <mergeCell ref="D15:E15"/>
    <mergeCell ref="D16:E16"/>
    <mergeCell ref="D17:E17"/>
    <mergeCell ref="D18:E18"/>
    <mergeCell ref="D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4"/>
    <col collapsed="false" customWidth="true" hidden="false" outlineLevel="0" max="4" min="4" style="0" width="9"/>
    <col collapsed="false" customWidth="true" hidden="false" outlineLevel="0" max="5" min="5" style="0" width="2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2"/>
    <col collapsed="false" customWidth="true" hidden="false" outlineLevel="0" max="13" min="13" style="0" width="22"/>
    <col collapsed="false" customWidth="true" hidden="false" outlineLevel="0" max="14" min="14" style="0" width="10"/>
    <col collapsed="false" customWidth="true" hidden="false" outlineLevel="0" max="15" min="15" style="0" width="2"/>
    <col collapsed="false" customWidth="true" hidden="false" outlineLevel="0" max="16" min="16" style="0" width="25"/>
    <col collapsed="false" customWidth="true" hidden="false" outlineLevel="0" max="17" min="17" style="0" width="30"/>
    <col collapsed="false" customWidth="true" hidden="false" outlineLevel="0" max="19" min="18" style="0" width="7"/>
    <col collapsed="false" customWidth="true" hidden="false" outlineLevel="0" max="20" min="20" style="0" width="9"/>
    <col collapsed="false" customWidth="true" hidden="false" outlineLevel="0" max="22" min="21" style="0" width="8"/>
    <col collapsed="false" customWidth="true" hidden="false" outlineLevel="0" max="23" min="23" style="0" width="7"/>
    <col collapsed="false" customWidth="true" hidden="false" outlineLevel="0" max="24" min="24" style="0" width="2"/>
    <col collapsed="false" customWidth="true" hidden="false" outlineLevel="0" max="25" min="25" style="0" width="9"/>
    <col collapsed="false" customWidth="true" hidden="false" outlineLevel="0" max="26" min="26" style="0" width="8"/>
  </cols>
  <sheetData>
    <row r="1" customFormat="false" ht="25.5" hidden="false" customHeight="tru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B4" s="18" t="s">
        <v>45</v>
      </c>
    </row>
    <row r="5" customFormat="false" ht="15" hidden="false" customHeight="false" outlineLevel="0" collapsed="false">
      <c r="B5" s="19" t="s">
        <v>46</v>
      </c>
      <c r="C5" s="20" t="n">
        <v>46256</v>
      </c>
    </row>
    <row r="6" customFormat="false" ht="15" hidden="false" customHeight="false" outlineLevel="0" collapsed="false">
      <c r="B6" s="19" t="s">
        <v>47</v>
      </c>
      <c r="C6" s="21" t="n">
        <v>99</v>
      </c>
    </row>
    <row r="7" customFormat="false" ht="15" hidden="false" customHeight="false" outlineLevel="0" collapsed="false">
      <c r="B7" s="19" t="s">
        <v>48</v>
      </c>
      <c r="C7" s="21" t="n">
        <v>3</v>
      </c>
    </row>
    <row r="8" customFormat="false" ht="15" hidden="false" customHeight="false" outlineLevel="0" collapsed="false">
      <c r="B8" s="19" t="s">
        <v>49</v>
      </c>
      <c r="C8" s="22" t="n">
        <v>0.03</v>
      </c>
    </row>
    <row r="9" customFormat="false" ht="15" hidden="false" customHeight="false" outlineLevel="0" collapsed="false">
      <c r="B9" s="19" t="s">
        <v>50</v>
      </c>
      <c r="C9" s="22" t="n">
        <v>0.02</v>
      </c>
    </row>
    <row r="10" customFormat="false" ht="15" hidden="false" customHeight="false" outlineLevel="0" collapsed="false">
      <c r="B10" s="19" t="s">
        <v>51</v>
      </c>
      <c r="C10" s="23" t="s">
        <v>52</v>
      </c>
    </row>
    <row r="12" customFormat="false" ht="15" hidden="false" customHeight="false" outlineLevel="0" collapsed="false">
      <c r="B12" s="24" t="s">
        <v>53</v>
      </c>
    </row>
    <row r="14" customFormat="false" ht="15" hidden="false" customHeight="false" outlineLevel="0" collapsed="false">
      <c r="B14" s="18" t="s">
        <v>54</v>
      </c>
    </row>
    <row r="15" customFormat="false" ht="30" hidden="false" customHeight="true" outlineLevel="0" collapsed="false">
      <c r="B15" s="11" t="s">
        <v>55</v>
      </c>
      <c r="C15" s="11" t="s">
        <v>56</v>
      </c>
      <c r="D15" s="11" t="s">
        <v>57</v>
      </c>
      <c r="F15" s="11" t="s">
        <v>58</v>
      </c>
      <c r="G15" s="11" t="s">
        <v>57</v>
      </c>
      <c r="I15" s="11" t="s">
        <v>59</v>
      </c>
      <c r="J15" s="11" t="s">
        <v>58</v>
      </c>
      <c r="K15" s="11" t="s">
        <v>57</v>
      </c>
      <c r="M15" s="11" t="s">
        <v>60</v>
      </c>
      <c r="N15" s="11" t="s">
        <v>61</v>
      </c>
      <c r="P15" s="11" t="s">
        <v>62</v>
      </c>
      <c r="Q15" s="11" t="s">
        <v>63</v>
      </c>
      <c r="R15" s="11" t="s">
        <v>64</v>
      </c>
      <c r="S15" s="11" t="s">
        <v>65</v>
      </c>
      <c r="T15" s="11" t="s">
        <v>66</v>
      </c>
      <c r="U15" s="11" t="s">
        <v>67</v>
      </c>
      <c r="V15" s="11" t="s">
        <v>68</v>
      </c>
      <c r="W15" s="11" t="s">
        <v>69</v>
      </c>
      <c r="Y15" s="11" t="s">
        <v>70</v>
      </c>
      <c r="Z15" s="11" t="s">
        <v>71</v>
      </c>
    </row>
    <row r="16" customFormat="false" ht="15" hidden="false" customHeight="false" outlineLevel="0" collapsed="false">
      <c r="B16" s="25" t="s">
        <v>72</v>
      </c>
      <c r="C16" s="25" t="s">
        <v>73</v>
      </c>
      <c r="D16" s="25" t="s">
        <v>74</v>
      </c>
      <c r="F16" s="25" t="s">
        <v>75</v>
      </c>
      <c r="G16" s="25" t="s">
        <v>74</v>
      </c>
      <c r="I16" s="25" t="s">
        <v>76</v>
      </c>
      <c r="J16" s="25" t="s">
        <v>75</v>
      </c>
      <c r="K16" s="25" t="s">
        <v>74</v>
      </c>
      <c r="M16" s="25" t="s">
        <v>77</v>
      </c>
      <c r="N16" s="25" t="s">
        <v>78</v>
      </c>
      <c r="P16" s="25" t="s">
        <v>79</v>
      </c>
      <c r="Q16" s="25" t="s">
        <v>80</v>
      </c>
      <c r="R16" s="26" t="s">
        <v>81</v>
      </c>
      <c r="S16" s="25" t="s">
        <v>74</v>
      </c>
      <c r="T16" s="25" t="s">
        <v>82</v>
      </c>
      <c r="U16" s="25" t="s">
        <v>82</v>
      </c>
      <c r="V16" s="25" t="s">
        <v>82</v>
      </c>
      <c r="W16" s="25" t="s">
        <v>74</v>
      </c>
      <c r="Y16" s="27" t="s">
        <v>83</v>
      </c>
      <c r="Z16" s="27" t="s">
        <v>74</v>
      </c>
    </row>
    <row r="17" customFormat="false" ht="15" hidden="false" customHeight="false" outlineLevel="0" collapsed="false">
      <c r="B17" s="25" t="s">
        <v>84</v>
      </c>
      <c r="C17" s="25" t="s">
        <v>85</v>
      </c>
      <c r="D17" s="25" t="s">
        <v>74</v>
      </c>
      <c r="M17" s="25" t="s">
        <v>86</v>
      </c>
      <c r="N17" s="25" t="s">
        <v>78</v>
      </c>
      <c r="P17" s="25" t="s">
        <v>87</v>
      </c>
      <c r="Q17" s="25" t="s">
        <v>88</v>
      </c>
      <c r="R17" s="28" t="s">
        <v>89</v>
      </c>
      <c r="S17" s="25" t="s">
        <v>74</v>
      </c>
      <c r="T17" s="25" t="s">
        <v>82</v>
      </c>
      <c r="U17" s="25" t="s">
        <v>82</v>
      </c>
      <c r="V17" s="25" t="s">
        <v>82</v>
      </c>
      <c r="W17" s="25" t="s">
        <v>74</v>
      </c>
      <c r="Y17" s="27" t="s">
        <v>90</v>
      </c>
    </row>
    <row r="18" customFormat="false" ht="15" hidden="false" customHeight="false" outlineLevel="0" collapsed="false">
      <c r="B18" s="25" t="s">
        <v>91</v>
      </c>
      <c r="C18" s="25" t="s">
        <v>92</v>
      </c>
      <c r="D18" s="25" t="s">
        <v>74</v>
      </c>
      <c r="M18" s="25" t="s">
        <v>93</v>
      </c>
      <c r="N18" s="25" t="s">
        <v>78</v>
      </c>
      <c r="P18" s="25" t="s">
        <v>78</v>
      </c>
      <c r="Q18" s="25" t="s">
        <v>94</v>
      </c>
      <c r="R18" s="28" t="s">
        <v>89</v>
      </c>
      <c r="S18" s="25" t="s">
        <v>74</v>
      </c>
      <c r="T18" s="25" t="s">
        <v>82</v>
      </c>
      <c r="U18" s="25" t="s">
        <v>82</v>
      </c>
      <c r="V18" s="25" t="s">
        <v>74</v>
      </c>
      <c r="W18" s="25" t="s">
        <v>74</v>
      </c>
    </row>
    <row r="19" customFormat="false" ht="15" hidden="false" customHeight="false" outlineLevel="0" collapsed="false">
      <c r="B19" s="25" t="s">
        <v>95</v>
      </c>
      <c r="C19" s="25" t="s">
        <v>96</v>
      </c>
      <c r="D19" s="25" t="s">
        <v>74</v>
      </c>
      <c r="M19" s="25" t="s">
        <v>97</v>
      </c>
      <c r="N19" s="25" t="s">
        <v>78</v>
      </c>
      <c r="P19" s="25" t="s">
        <v>98</v>
      </c>
      <c r="Q19" s="25" t="s">
        <v>99</v>
      </c>
      <c r="R19" s="28" t="s">
        <v>89</v>
      </c>
      <c r="S19" s="25" t="s">
        <v>74</v>
      </c>
      <c r="T19" s="25" t="s">
        <v>74</v>
      </c>
      <c r="U19" s="25" t="s">
        <v>82</v>
      </c>
      <c r="V19" s="25" t="s">
        <v>82</v>
      </c>
      <c r="W19" s="25" t="s">
        <v>74</v>
      </c>
    </row>
    <row r="20" customFormat="false" ht="15" hidden="false" customHeight="false" outlineLevel="0" collapsed="false">
      <c r="B20" s="25" t="s">
        <v>100</v>
      </c>
      <c r="C20" s="25" t="s">
        <v>101</v>
      </c>
      <c r="D20" s="25" t="s">
        <v>74</v>
      </c>
      <c r="M20" s="25" t="s">
        <v>102</v>
      </c>
      <c r="N20" s="25" t="s">
        <v>78</v>
      </c>
      <c r="P20" s="25" t="s">
        <v>103</v>
      </c>
      <c r="Q20" s="25" t="s">
        <v>104</v>
      </c>
      <c r="R20" s="29" t="s">
        <v>105</v>
      </c>
      <c r="S20" s="25" t="s">
        <v>82</v>
      </c>
      <c r="T20" s="25" t="s">
        <v>82</v>
      </c>
      <c r="U20" s="25" t="s">
        <v>74</v>
      </c>
      <c r="V20" s="25" t="s">
        <v>82</v>
      </c>
      <c r="W20" s="25" t="s">
        <v>82</v>
      </c>
    </row>
    <row r="21" customFormat="false" ht="15" hidden="false" customHeight="false" outlineLevel="0" collapsed="false">
      <c r="B21" s="25" t="s">
        <v>106</v>
      </c>
      <c r="C21" s="25" t="s">
        <v>107</v>
      </c>
      <c r="D21" s="25" t="s">
        <v>74</v>
      </c>
      <c r="M21" s="25" t="s">
        <v>108</v>
      </c>
      <c r="N21" s="25" t="s">
        <v>109</v>
      </c>
      <c r="P21" s="25" t="s">
        <v>110</v>
      </c>
      <c r="Q21" s="25" t="s">
        <v>111</v>
      </c>
      <c r="R21" s="29" t="s">
        <v>105</v>
      </c>
      <c r="S21" s="25" t="s">
        <v>82</v>
      </c>
      <c r="T21" s="25" t="s">
        <v>74</v>
      </c>
      <c r="U21" s="25" t="s">
        <v>74</v>
      </c>
      <c r="V21" s="25" t="s">
        <v>82</v>
      </c>
      <c r="W21" s="25" t="s">
        <v>82</v>
      </c>
    </row>
    <row r="22" customFormat="false" ht="15" hidden="false" customHeight="false" outlineLevel="0" collapsed="false">
      <c r="B22" s="25" t="s">
        <v>112</v>
      </c>
      <c r="C22" s="25" t="s">
        <v>113</v>
      </c>
      <c r="D22" s="25" t="s">
        <v>74</v>
      </c>
      <c r="M22" s="25" t="s">
        <v>114</v>
      </c>
      <c r="N22" s="25" t="s">
        <v>109</v>
      </c>
      <c r="P22" s="25" t="s">
        <v>115</v>
      </c>
      <c r="Q22" s="25" t="s">
        <v>116</v>
      </c>
      <c r="R22" s="28" t="s">
        <v>89</v>
      </c>
      <c r="S22" s="25" t="s">
        <v>82</v>
      </c>
      <c r="T22" s="25" t="s">
        <v>74</v>
      </c>
      <c r="U22" s="25" t="s">
        <v>74</v>
      </c>
      <c r="V22" s="25" t="s">
        <v>82</v>
      </c>
      <c r="W22" s="25" t="s">
        <v>74</v>
      </c>
    </row>
    <row r="23" customFormat="false" ht="15" hidden="false" customHeight="false" outlineLevel="0" collapsed="false">
      <c r="B23" s="25" t="s">
        <v>117</v>
      </c>
      <c r="C23" s="25" t="s">
        <v>118</v>
      </c>
      <c r="D23" s="25" t="s">
        <v>74</v>
      </c>
      <c r="M23" s="25" t="s">
        <v>119</v>
      </c>
      <c r="N23" s="25" t="s">
        <v>109</v>
      </c>
      <c r="P23" s="25" t="s">
        <v>120</v>
      </c>
      <c r="Q23" s="25" t="s">
        <v>121</v>
      </c>
      <c r="R23" s="26" t="s">
        <v>81</v>
      </c>
      <c r="S23" s="25" t="s">
        <v>82</v>
      </c>
      <c r="T23" s="25" t="s">
        <v>74</v>
      </c>
      <c r="U23" s="25" t="s">
        <v>74</v>
      </c>
      <c r="V23" s="25" t="s">
        <v>74</v>
      </c>
      <c r="W23" s="25" t="s">
        <v>74</v>
      </c>
    </row>
    <row r="24" customFormat="false" ht="15" hidden="false" customHeight="false" outlineLevel="0" collapsed="false">
      <c r="B24" s="25" t="s">
        <v>122</v>
      </c>
      <c r="C24" s="25" t="s">
        <v>123</v>
      </c>
      <c r="D24" s="25" t="s">
        <v>74</v>
      </c>
      <c r="M24" s="25" t="s">
        <v>124</v>
      </c>
      <c r="N24" s="25" t="s">
        <v>109</v>
      </c>
      <c r="P24" s="25" t="s">
        <v>125</v>
      </c>
      <c r="Q24" s="25" t="s">
        <v>126</v>
      </c>
      <c r="R24" s="26" t="s">
        <v>81</v>
      </c>
      <c r="S24" s="25" t="s">
        <v>74</v>
      </c>
      <c r="T24" s="25" t="s">
        <v>82</v>
      </c>
      <c r="U24" s="25" t="s">
        <v>82</v>
      </c>
      <c r="V24" s="25" t="s">
        <v>82</v>
      </c>
      <c r="W24" s="25" t="s">
        <v>74</v>
      </c>
    </row>
    <row r="25" customFormat="false" ht="15" hidden="false" customHeight="false" outlineLevel="0" collapsed="false">
      <c r="B25" s="25" t="s">
        <v>127</v>
      </c>
      <c r="C25" s="25" t="s">
        <v>128</v>
      </c>
      <c r="D25" s="25" t="s">
        <v>74</v>
      </c>
      <c r="M25" s="25" t="s">
        <v>129</v>
      </c>
      <c r="N25" s="25" t="s">
        <v>109</v>
      </c>
      <c r="P25" s="25" t="s">
        <v>130</v>
      </c>
      <c r="Q25" s="25" t="s">
        <v>131</v>
      </c>
      <c r="R25" s="28" t="s">
        <v>89</v>
      </c>
      <c r="S25" s="25" t="s">
        <v>74</v>
      </c>
      <c r="T25" s="25" t="s">
        <v>82</v>
      </c>
      <c r="U25" s="25" t="s">
        <v>82</v>
      </c>
      <c r="V25" s="25" t="s">
        <v>74</v>
      </c>
      <c r="W25" s="25" t="s">
        <v>74</v>
      </c>
    </row>
    <row r="26" customFormat="false" ht="15" hidden="false" customHeight="false" outlineLevel="0" collapsed="false">
      <c r="B26" s="25" t="s">
        <v>132</v>
      </c>
      <c r="C26" s="25" t="s">
        <v>133</v>
      </c>
      <c r="D26" s="25" t="s">
        <v>74</v>
      </c>
      <c r="M26" s="25" t="s">
        <v>134</v>
      </c>
      <c r="N26" s="25" t="s">
        <v>109</v>
      </c>
      <c r="P26" s="25" t="s">
        <v>135</v>
      </c>
      <c r="Q26" s="25" t="s">
        <v>136</v>
      </c>
      <c r="R26" s="26" t="s">
        <v>81</v>
      </c>
      <c r="S26" s="25" t="s">
        <v>74</v>
      </c>
      <c r="T26" s="25" t="s">
        <v>82</v>
      </c>
      <c r="U26" s="25" t="s">
        <v>82</v>
      </c>
      <c r="V26" s="25" t="s">
        <v>74</v>
      </c>
      <c r="W26" s="25" t="s">
        <v>74</v>
      </c>
    </row>
    <row r="27" customFormat="false" ht="15" hidden="false" customHeight="false" outlineLevel="0" collapsed="false">
      <c r="B27" s="25" t="s">
        <v>137</v>
      </c>
      <c r="C27" s="25" t="s">
        <v>138</v>
      </c>
      <c r="D27" s="25" t="s">
        <v>74</v>
      </c>
      <c r="P27" s="25" t="s">
        <v>139</v>
      </c>
      <c r="Q27" s="25" t="s">
        <v>140</v>
      </c>
      <c r="R27" s="28" t="s">
        <v>89</v>
      </c>
      <c r="S27" s="25" t="s">
        <v>74</v>
      </c>
      <c r="T27" s="25" t="s">
        <v>82</v>
      </c>
      <c r="U27" s="25" t="s">
        <v>82</v>
      </c>
      <c r="V27" s="25" t="s">
        <v>74</v>
      </c>
      <c r="W27" s="25" t="s">
        <v>74</v>
      </c>
    </row>
    <row r="28" customFormat="false" ht="15" hidden="false" customHeight="false" outlineLevel="0" collapsed="false">
      <c r="B28" s="25" t="s">
        <v>141</v>
      </c>
      <c r="C28" s="25" t="s">
        <v>142</v>
      </c>
      <c r="D28" s="25" t="s">
        <v>74</v>
      </c>
    </row>
    <row r="29" customFormat="false" ht="15" hidden="false" customHeight="false" outlineLevel="0" collapsed="false">
      <c r="B29" s="25" t="s">
        <v>143</v>
      </c>
      <c r="C29" s="25" t="s">
        <v>144</v>
      </c>
      <c r="D29" s="25" t="s">
        <v>74</v>
      </c>
      <c r="P29" s="24" t="s">
        <v>145</v>
      </c>
    </row>
    <row r="30" customFormat="false" ht="15" hidden="false" customHeight="false" outlineLevel="0" collapsed="false">
      <c r="B30" s="25" t="s">
        <v>146</v>
      </c>
      <c r="C30" s="25" t="s">
        <v>147</v>
      </c>
      <c r="D30" s="25" t="s">
        <v>74</v>
      </c>
    </row>
    <row r="31" customFormat="false" ht="15" hidden="false" customHeight="false" outlineLevel="0" collapsed="false">
      <c r="B31" s="25" t="s">
        <v>148</v>
      </c>
      <c r="C31" s="25" t="s">
        <v>149</v>
      </c>
      <c r="D31" s="25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23"/>
    <col collapsed="false" customWidth="true" hidden="false" outlineLevel="0" max="9" min="9" style="0" width="26"/>
  </cols>
  <sheetData>
    <row r="1" customFormat="false" ht="25.5" hidden="false" customHeight="tru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2" t="s">
        <v>152</v>
      </c>
    </row>
    <row r="6" customFormat="false" ht="31.5" hidden="false" customHeight="true" outlineLevel="0" collapsed="false">
      <c r="A6" s="11" t="s">
        <v>153</v>
      </c>
      <c r="B6" s="11" t="s">
        <v>58</v>
      </c>
      <c r="C6" s="11" t="s">
        <v>154</v>
      </c>
      <c r="D6" s="11" t="s">
        <v>70</v>
      </c>
      <c r="E6" s="11" t="s">
        <v>55</v>
      </c>
      <c r="F6" s="11" t="s">
        <v>155</v>
      </c>
      <c r="G6" s="11" t="s">
        <v>156</v>
      </c>
      <c r="H6" s="30" t="s">
        <v>56</v>
      </c>
      <c r="I6" s="30" t="s">
        <v>157</v>
      </c>
    </row>
    <row r="7" customFormat="false" ht="15" hidden="false" customHeight="false" outlineLevel="0" collapsed="false">
      <c r="A7" s="31" t="s">
        <v>158</v>
      </c>
      <c r="B7" s="31" t="s">
        <v>75</v>
      </c>
      <c r="C7" s="32" t="n">
        <v>46227</v>
      </c>
      <c r="D7" s="31" t="s">
        <v>83</v>
      </c>
      <c r="E7" s="31" t="s">
        <v>72</v>
      </c>
      <c r="F7" s="33" t="n">
        <v>145</v>
      </c>
      <c r="G7" s="31"/>
      <c r="H7" s="34" t="str">
        <f aca="false">IF($E7="","",IFERROR(INDEX(tblItems[Item Code],MATCH($E7,tblItems[Item Name],0)),"?"))</f>
        <v>EG-FG-MNG-05-02-01-01</v>
      </c>
      <c r="I7" s="34" t="str">
        <f aca="false">IF($A7="","",IF(COUNTIFS(tblShipment[Shipment No],$A7,tblShipment[Item Name],$E7)&gt;1,"Item listed twice",IF(COUNTIFS(tblShipment[Shipment No],$A7,tblShipment[Market],"&lt;&gt;"&amp;$B7)&gt;0,"Market differs on same shipment",IF(N($F7)&lt;=0,"Qty must be more than 0","OK"))))</f>
        <v>OK</v>
      </c>
    </row>
    <row r="8" customFormat="false" ht="15" hidden="false" customHeight="false" outlineLevel="0" collapsed="false">
      <c r="A8" s="31" t="s">
        <v>158</v>
      </c>
      <c r="B8" s="31" t="s">
        <v>75</v>
      </c>
      <c r="C8" s="32" t="n">
        <v>46227</v>
      </c>
      <c r="D8" s="31" t="s">
        <v>90</v>
      </c>
      <c r="E8" s="31" t="s">
        <v>106</v>
      </c>
      <c r="F8" s="33" t="n">
        <v>30</v>
      </c>
      <c r="G8" s="31"/>
      <c r="H8" s="34" t="str">
        <f aca="false">IF($E8="","",IFERROR(INDEX(tblItems[Item Code],MATCH($E8,tblItems[Item Name],0)),"?"))</f>
        <v>EG-FG-DAT-01-02-01-01</v>
      </c>
      <c r="I8" s="34" t="str">
        <f aca="false">IF($A8="","",IF(COUNTIFS(tblShipment[Shipment No],$A8,tblShipment[Item Name],$E8)&gt;1,"Item listed twice",IF(COUNTIFS(tblShipment[Shipment No],$A8,tblShipment[Market],"&lt;&gt;"&amp;$B8)&gt;0,"Market differs on same shipment",IF(N($F8)&lt;=0,"Qty must be more than 0","OK"))))</f>
        <v>OK</v>
      </c>
    </row>
    <row r="9" customFormat="false" ht="15" hidden="false" customHeight="false" outlineLevel="0" collapsed="false">
      <c r="A9" s="31" t="s">
        <v>158</v>
      </c>
      <c r="B9" s="31" t="s">
        <v>75</v>
      </c>
      <c r="C9" s="32" t="n">
        <v>46227</v>
      </c>
      <c r="D9" s="31" t="s">
        <v>83</v>
      </c>
      <c r="E9" s="31" t="s">
        <v>100</v>
      </c>
      <c r="F9" s="33" t="n">
        <v>35</v>
      </c>
      <c r="G9" s="31"/>
      <c r="H9" s="34" t="str">
        <f aca="false">IF($E9="","",IFERROR(INDEX(tblItems[Item Code],MATCH($E9,tblItems[Item Name],0)),"?"))</f>
        <v>EG-FG-MNG-18-02-01-01</v>
      </c>
      <c r="I9" s="34" t="str">
        <f aca="false">IF($A9="","",IF(COUNTIFS(tblShipment[Shipment No],$A9,tblShipment[Item Name],$E9)&gt;1,"Item listed twice",IF(COUNTIFS(tblShipment[Shipment No],$A9,tblShipment[Market],"&lt;&gt;"&amp;$B9)&gt;0,"Market differs on same shipment",IF(N($F9)&lt;=0,"Qty must be more than 0","OK"))))</f>
        <v>OK</v>
      </c>
    </row>
    <row r="10" customFormat="false" ht="15" hidden="false" customHeight="false" outlineLevel="0" collapsed="false">
      <c r="A10" s="31" t="s">
        <v>158</v>
      </c>
      <c r="B10" s="31" t="s">
        <v>75</v>
      </c>
      <c r="C10" s="32" t="n">
        <v>46227</v>
      </c>
      <c r="D10" s="31" t="s">
        <v>83</v>
      </c>
      <c r="E10" s="31" t="s">
        <v>91</v>
      </c>
      <c r="F10" s="33" t="n">
        <v>75</v>
      </c>
      <c r="G10" s="31"/>
      <c r="H10" s="34" t="str">
        <f aca="false">IF($E10="","",IFERROR(INDEX(tblItems[Item Code],MATCH($E10,tblItems[Item Name],0)),"?"))</f>
        <v>EG-FG-FIG-01-02-01-01</v>
      </c>
      <c r="I10" s="34" t="str">
        <f aca="false">IF($A10="","",IF(COUNTIFS(tblShipment[Shipment No],$A10,tblShipment[Item Name],$E10)&gt;1,"Item listed twice",IF(COUNTIFS(tblShipment[Shipment No],$A10,tblShipment[Market],"&lt;&gt;"&amp;$B10)&gt;0,"Market differs on same shipment",IF(N($F10)&lt;=0,"Qty must be more than 0","OK"))))</f>
        <v>OK</v>
      </c>
    </row>
    <row r="11" customFormat="false" ht="15" hidden="false" customHeight="false" outlineLevel="0" collapsed="false">
      <c r="A11" s="31" t="s">
        <v>158</v>
      </c>
      <c r="B11" s="31" t="s">
        <v>75</v>
      </c>
      <c r="C11" s="32" t="n">
        <v>46227</v>
      </c>
      <c r="D11" s="31" t="s">
        <v>83</v>
      </c>
      <c r="E11" s="31" t="s">
        <v>84</v>
      </c>
      <c r="F11" s="33" t="n">
        <v>125</v>
      </c>
      <c r="G11" s="31"/>
      <c r="H11" s="34" t="str">
        <f aca="false">IF($E11="","",IFERROR(INDEX(tblItems[Item Code],MATCH($E11,tblItems[Item Name],0)),"?"))</f>
        <v>EG-FG-MNG-12-02-01-01</v>
      </c>
      <c r="I11" s="34" t="str">
        <f aca="false">IF($A11="","",IF(COUNTIFS(tblShipment[Shipment No],$A11,tblShipment[Item Name],$E11)&gt;1,"Item listed twice",IF(COUNTIFS(tblShipment[Shipment No],$A11,tblShipment[Market],"&lt;&gt;"&amp;$B11)&gt;0,"Market differs on same shipment",IF(N($F11)&lt;=0,"Qty must be more than 0","OK"))))</f>
        <v>OK</v>
      </c>
    </row>
    <row r="12" customFormat="false" ht="15" hidden="false" customHeight="false" outlineLevel="0" collapsed="false">
      <c r="A12" s="31" t="s">
        <v>158</v>
      </c>
      <c r="B12" s="31" t="s">
        <v>75</v>
      </c>
      <c r="C12" s="32" t="n">
        <v>46227</v>
      </c>
      <c r="D12" s="31" t="s">
        <v>83</v>
      </c>
      <c r="E12" s="31" t="s">
        <v>117</v>
      </c>
      <c r="F12" s="33" t="n">
        <v>20</v>
      </c>
      <c r="G12" s="31"/>
      <c r="H12" s="34" t="str">
        <f aca="false">IF($E12="","",IFERROR(INDEX(tblItems[Item Code],MATCH($E12,tblItems[Item Name],0)),"?"))</f>
        <v>EG-FG-MNG-06-02-01-01</v>
      </c>
      <c r="I12" s="34" t="str">
        <f aca="false">IF($A12="","",IF(COUNTIFS(tblShipment[Shipment No],$A12,tblShipment[Item Name],$E12)&gt;1,"Item listed twice",IF(COUNTIFS(tblShipment[Shipment No],$A12,tblShipment[Market],"&lt;&gt;"&amp;$B12)&gt;0,"Market differs on same shipment",IF(N($F12)&lt;=0,"Qty must be more than 0","OK"))))</f>
        <v>OK</v>
      </c>
    </row>
    <row r="13" customFormat="false" ht="15" hidden="false" customHeight="false" outlineLevel="0" collapsed="false">
      <c r="A13" s="31" t="s">
        <v>158</v>
      </c>
      <c r="B13" s="31" t="s">
        <v>75</v>
      </c>
      <c r="C13" s="32" t="n">
        <v>46227</v>
      </c>
      <c r="D13" s="31" t="s">
        <v>83</v>
      </c>
      <c r="E13" s="31" t="s">
        <v>95</v>
      </c>
      <c r="F13" s="33" t="n">
        <v>40</v>
      </c>
      <c r="G13" s="31"/>
      <c r="H13" s="34" t="str">
        <f aca="false">IF($E13="","",IFERROR(INDEX(tblItems[Item Code],MATCH($E13,tblItems[Item Name],0)),"?"))</f>
        <v>EG-FG-GUV-01-02-01-01</v>
      </c>
      <c r="I13" s="34" t="str">
        <f aca="false">IF($A13="","",IF(COUNTIFS(tblShipment[Shipment No],$A13,tblShipment[Item Name],$E13)&gt;1,"Item listed twice",IF(COUNTIFS(tblShipment[Shipment No],$A13,tblShipment[Market],"&lt;&gt;"&amp;$B13)&gt;0,"Market differs on same shipment",IF(N($F13)&lt;=0,"Qty must be more than 0","OK"))))</f>
        <v>OK</v>
      </c>
    </row>
    <row r="14" customFormat="false" ht="15" hidden="false" customHeight="false" outlineLevel="0" collapsed="false">
      <c r="A14" s="31" t="s">
        <v>158</v>
      </c>
      <c r="B14" s="31" t="s">
        <v>75</v>
      </c>
      <c r="C14" s="32" t="n">
        <v>46227</v>
      </c>
      <c r="D14" s="31" t="s">
        <v>83</v>
      </c>
      <c r="E14" s="31" t="s">
        <v>148</v>
      </c>
      <c r="F14" s="33" t="n">
        <v>20</v>
      </c>
      <c r="G14" s="31"/>
      <c r="H14" s="34" t="str">
        <f aca="false">IF($E14="","",IFERROR(INDEX(tblItems[Item Code],MATCH($E14,tblItems[Item Name],0)),"?"))</f>
        <v>EG-FG-MNG-99-02-01-01</v>
      </c>
      <c r="I14" s="34" t="str">
        <f aca="false">IF($A14="","",IF(COUNTIFS(tblShipment[Shipment No],$A14,tblShipment[Item Name],$E14)&gt;1,"Item listed twice",IF(COUNTIFS(tblShipment[Shipment No],$A14,tblShipment[Market],"&lt;&gt;"&amp;$B14)&gt;0,"Market differs on same shipment",IF(N($F14)&lt;=0,"Qty must be more than 0","OK"))))</f>
        <v>OK</v>
      </c>
    </row>
    <row r="15" customFormat="false" ht="15" hidden="false" customHeight="false" outlineLevel="0" collapsed="false">
      <c r="A15" s="31" t="s">
        <v>158</v>
      </c>
      <c r="B15" s="31" t="s">
        <v>75</v>
      </c>
      <c r="C15" s="32" t="n">
        <v>46227</v>
      </c>
      <c r="D15" s="31" t="s">
        <v>83</v>
      </c>
      <c r="E15" s="31" t="s">
        <v>112</v>
      </c>
      <c r="F15" s="33" t="n">
        <v>35</v>
      </c>
      <c r="G15" s="31"/>
      <c r="H15" s="34" t="str">
        <f aca="false">IF($E15="","",IFERROR(INDEX(tblItems[Item Code],MATCH($E15,tblItems[Item Name],0)),"?"))</f>
        <v>BOX-TRIO-01</v>
      </c>
      <c r="I15" s="34" t="str">
        <f aca="false">IF($A15="","",IF(COUNTIFS(tblShipment[Shipment No],$A15,tblShipment[Item Name],$E15)&gt;1,"Item listed twice",IF(COUNTIFS(tblShipment[Shipment No],$A15,tblShipment[Market],"&lt;&gt;"&amp;$B15)&gt;0,"Market differs on same shipment",IF(N($F15)&lt;=0,"Qty must be more than 0","OK"))))</f>
        <v>OK</v>
      </c>
    </row>
    <row r="16" customFormat="false" ht="15" hidden="false" customHeight="false" outlineLevel="0" collapsed="false">
      <c r="A16" s="31" t="s">
        <v>159</v>
      </c>
      <c r="B16" s="31" t="s">
        <v>75</v>
      </c>
      <c r="C16" s="32" t="n">
        <v>46229</v>
      </c>
      <c r="D16" s="31" t="s">
        <v>83</v>
      </c>
      <c r="E16" s="31" t="s">
        <v>122</v>
      </c>
      <c r="F16" s="33" t="n">
        <v>20</v>
      </c>
      <c r="G16" s="31"/>
      <c r="H16" s="34" t="str">
        <f aca="false">IF($E16="","",IFERROR(INDEX(tblItems[Item Code],MATCH($E16,tblItems[Item Name],0)),"?"))</f>
        <v>EG-FG-GRP-01-02-01-01</v>
      </c>
      <c r="I16" s="34" t="str">
        <f aca="false">IF($A16="","",IF(COUNTIFS(tblShipment[Shipment No],$A16,tblShipment[Item Name],$E16)&gt;1,"Item listed twice",IF(COUNTIFS(tblShipment[Shipment No],$A16,tblShipment[Market],"&lt;&gt;"&amp;$B16)&gt;0,"Market differs on same shipment",IF(N($F16)&lt;=0,"Qty must be more than 0","OK"))))</f>
        <v>OK</v>
      </c>
    </row>
    <row r="17" customFormat="false" ht="15" hidden="false" customHeight="false" outlineLevel="0" collapsed="false">
      <c r="A17" s="31" t="s">
        <v>159</v>
      </c>
      <c r="B17" s="31" t="s">
        <v>75</v>
      </c>
      <c r="C17" s="32" t="n">
        <v>46229</v>
      </c>
      <c r="D17" s="31" t="s">
        <v>83</v>
      </c>
      <c r="E17" s="31" t="s">
        <v>72</v>
      </c>
      <c r="F17" s="33" t="n">
        <v>130</v>
      </c>
      <c r="G17" s="31"/>
      <c r="H17" s="34" t="str">
        <f aca="false">IF($E17="","",IFERROR(INDEX(tblItems[Item Code],MATCH($E17,tblItems[Item Name],0)),"?"))</f>
        <v>EG-FG-MNG-05-02-01-01</v>
      </c>
      <c r="I17" s="34" t="str">
        <f aca="false">IF($A17="","",IF(COUNTIFS(tblShipment[Shipment No],$A17,tblShipment[Item Name],$E17)&gt;1,"Item listed twice",IF(COUNTIFS(tblShipment[Shipment No],$A17,tblShipment[Market],"&lt;&gt;"&amp;$B17)&gt;0,"Market differs on same shipment",IF(N($F17)&lt;=0,"Qty must be more than 0","OK"))))</f>
        <v>OK</v>
      </c>
    </row>
    <row r="18" customFormat="false" ht="15" hidden="false" customHeight="false" outlineLevel="0" collapsed="false">
      <c r="A18" s="31" t="s">
        <v>159</v>
      </c>
      <c r="B18" s="31" t="s">
        <v>75</v>
      </c>
      <c r="C18" s="32" t="n">
        <v>46229</v>
      </c>
      <c r="D18" s="31" t="s">
        <v>83</v>
      </c>
      <c r="E18" s="31" t="s">
        <v>112</v>
      </c>
      <c r="F18" s="33" t="n">
        <v>30</v>
      </c>
      <c r="G18" s="31"/>
      <c r="H18" s="34" t="str">
        <f aca="false">IF($E18="","",IFERROR(INDEX(tblItems[Item Code],MATCH($E18,tblItems[Item Name],0)),"?"))</f>
        <v>BOX-TRIO-01</v>
      </c>
      <c r="I18" s="34" t="str">
        <f aca="false">IF($A18="","",IF(COUNTIFS(tblShipment[Shipment No],$A18,tblShipment[Item Name],$E18)&gt;1,"Item listed twice",IF(COUNTIFS(tblShipment[Shipment No],$A18,tblShipment[Market],"&lt;&gt;"&amp;$B18)&gt;0,"Market differs on same shipment",IF(N($F18)&lt;=0,"Qty must be more than 0","OK"))))</f>
        <v>OK</v>
      </c>
    </row>
    <row r="19" customFormat="false" ht="15" hidden="false" customHeight="false" outlineLevel="0" collapsed="false">
      <c r="A19" s="31" t="s">
        <v>159</v>
      </c>
      <c r="B19" s="31" t="s">
        <v>75</v>
      </c>
      <c r="C19" s="32" t="n">
        <v>46229</v>
      </c>
      <c r="D19" s="31" t="s">
        <v>83</v>
      </c>
      <c r="E19" s="31" t="s">
        <v>146</v>
      </c>
      <c r="F19" s="33" t="n">
        <v>20</v>
      </c>
      <c r="G19" s="31"/>
      <c r="H19" s="34" t="str">
        <f aca="false">IF($E19="","",IFERROR(INDEX(tblItems[Item Code],MATCH($E19,tblItems[Item Name],0)),"?"))</f>
        <v>EG-FG-MNG-19-02-01-01</v>
      </c>
      <c r="I19" s="34" t="str">
        <f aca="false">IF($A19="","",IF(COUNTIFS(tblShipment[Shipment No],$A19,tblShipment[Item Name],$E19)&gt;1,"Item listed twice",IF(COUNTIFS(tblShipment[Shipment No],$A19,tblShipment[Market],"&lt;&gt;"&amp;$B19)&gt;0,"Market differs on same shipment",IF(N($F19)&lt;=0,"Qty must be more than 0","OK"))))</f>
        <v>OK</v>
      </c>
    </row>
    <row r="20" customFormat="false" ht="15" hidden="false" customHeight="false" outlineLevel="0" collapsed="false">
      <c r="A20" s="31" t="s">
        <v>159</v>
      </c>
      <c r="B20" s="31" t="s">
        <v>75</v>
      </c>
      <c r="C20" s="32" t="n">
        <v>46229</v>
      </c>
      <c r="D20" s="31" t="s">
        <v>83</v>
      </c>
      <c r="E20" s="31" t="s">
        <v>95</v>
      </c>
      <c r="F20" s="33" t="n">
        <v>45</v>
      </c>
      <c r="G20" s="31"/>
      <c r="H20" s="34" t="str">
        <f aca="false">IF($E20="","",IFERROR(INDEX(tblItems[Item Code],MATCH($E20,tblItems[Item Name],0)),"?"))</f>
        <v>EG-FG-GUV-01-02-01-01</v>
      </c>
      <c r="I20" s="34" t="str">
        <f aca="false">IF($A20="","",IF(COUNTIFS(tblShipment[Shipment No],$A20,tblShipment[Item Name],$E20)&gt;1,"Item listed twice",IF(COUNTIFS(tblShipment[Shipment No],$A20,tblShipment[Market],"&lt;&gt;"&amp;$B20)&gt;0,"Market differs on same shipment",IF(N($F20)&lt;=0,"Qty must be more than 0","OK"))))</f>
        <v>OK</v>
      </c>
    </row>
    <row r="21" customFormat="false" ht="15" hidden="false" customHeight="false" outlineLevel="0" collapsed="false">
      <c r="A21" s="31" t="s">
        <v>159</v>
      </c>
      <c r="B21" s="31" t="s">
        <v>75</v>
      </c>
      <c r="C21" s="32" t="n">
        <v>46229</v>
      </c>
      <c r="D21" s="31" t="s">
        <v>83</v>
      </c>
      <c r="E21" s="31" t="s">
        <v>91</v>
      </c>
      <c r="F21" s="33" t="n">
        <v>65</v>
      </c>
      <c r="G21" s="31"/>
      <c r="H21" s="34" t="str">
        <f aca="false">IF($E21="","",IFERROR(INDEX(tblItems[Item Code],MATCH($E21,tblItems[Item Name],0)),"?"))</f>
        <v>EG-FG-FIG-01-02-01-01</v>
      </c>
      <c r="I21" s="34" t="str">
        <f aca="false">IF($A21="","",IF(COUNTIFS(tblShipment[Shipment No],$A21,tblShipment[Item Name],$E21)&gt;1,"Item listed twice",IF(COUNTIFS(tblShipment[Shipment No],$A21,tblShipment[Market],"&lt;&gt;"&amp;$B21)&gt;0,"Market differs on same shipment",IF(N($F21)&lt;=0,"Qty must be more than 0","OK"))))</f>
        <v>OK</v>
      </c>
    </row>
    <row r="22" customFormat="false" ht="15" hidden="false" customHeight="false" outlineLevel="0" collapsed="false">
      <c r="A22" s="31" t="s">
        <v>159</v>
      </c>
      <c r="B22" s="31" t="s">
        <v>75</v>
      </c>
      <c r="C22" s="32" t="n">
        <v>46229</v>
      </c>
      <c r="D22" s="31" t="s">
        <v>83</v>
      </c>
      <c r="E22" s="31" t="s">
        <v>84</v>
      </c>
      <c r="F22" s="33" t="n">
        <v>125</v>
      </c>
      <c r="G22" s="31"/>
      <c r="H22" s="34" t="str">
        <f aca="false">IF($E22="","",IFERROR(INDEX(tblItems[Item Code],MATCH($E22,tblItems[Item Name],0)),"?"))</f>
        <v>EG-FG-MNG-12-02-01-01</v>
      </c>
      <c r="I22" s="34" t="str">
        <f aca="false">IF($A22="","",IF(COUNTIFS(tblShipment[Shipment No],$A22,tblShipment[Item Name],$E22)&gt;1,"Item listed twice",IF(COUNTIFS(tblShipment[Shipment No],$A22,tblShipment[Market],"&lt;&gt;"&amp;$B22)&gt;0,"Market differs on same shipment",IF(N($F22)&lt;=0,"Qty must be more than 0","OK"))))</f>
        <v>OK</v>
      </c>
    </row>
    <row r="23" customFormat="false" ht="15" hidden="false" customHeight="false" outlineLevel="0" collapsed="false">
      <c r="A23" s="31" t="s">
        <v>159</v>
      </c>
      <c r="B23" s="31" t="s">
        <v>75</v>
      </c>
      <c r="C23" s="32" t="n">
        <v>46229</v>
      </c>
      <c r="D23" s="31" t="s">
        <v>90</v>
      </c>
      <c r="E23" s="31" t="s">
        <v>106</v>
      </c>
      <c r="F23" s="33" t="n">
        <v>35</v>
      </c>
      <c r="G23" s="31"/>
      <c r="H23" s="34" t="str">
        <f aca="false">IF($E23="","",IFERROR(INDEX(tblItems[Item Code],MATCH($E23,tblItems[Item Name],0)),"?"))</f>
        <v>EG-FG-DAT-01-02-01-01</v>
      </c>
      <c r="I23" s="34" t="str">
        <f aca="false">IF($A23="","",IF(COUNTIFS(tblShipment[Shipment No],$A23,tblShipment[Item Name],$E23)&gt;1,"Item listed twice",IF(COUNTIFS(tblShipment[Shipment No],$A23,tblShipment[Market],"&lt;&gt;"&amp;$B23)&gt;0,"Market differs on same shipment",IF(N($F23)&lt;=0,"Qty must be more than 0","OK"))))</f>
        <v>OK</v>
      </c>
    </row>
    <row r="24" customFormat="false" ht="15" hidden="false" customHeight="false" outlineLevel="0" collapsed="false">
      <c r="A24" s="31" t="s">
        <v>159</v>
      </c>
      <c r="B24" s="31" t="s">
        <v>75</v>
      </c>
      <c r="C24" s="32" t="n">
        <v>46229</v>
      </c>
      <c r="D24" s="31" t="s">
        <v>83</v>
      </c>
      <c r="E24" s="31" t="s">
        <v>100</v>
      </c>
      <c r="F24" s="33" t="n">
        <v>30</v>
      </c>
      <c r="G24" s="31"/>
      <c r="H24" s="34" t="str">
        <f aca="false">IF($E24="","",IFERROR(INDEX(tblItems[Item Code],MATCH($E24,tblItems[Item Name],0)),"?"))</f>
        <v>EG-FG-MNG-18-02-01-01</v>
      </c>
      <c r="I24" s="34" t="str">
        <f aca="false">IF($A24="","",IF(COUNTIFS(tblShipment[Shipment No],$A24,tblShipment[Item Name],$E24)&gt;1,"Item listed twice",IF(COUNTIFS(tblShipment[Shipment No],$A24,tblShipment[Market],"&lt;&gt;"&amp;$B24)&gt;0,"Market differs on same shipment",IF(N($F24)&lt;=0,"Qty must be more than 0","OK"))))</f>
        <v>OK</v>
      </c>
    </row>
    <row r="25" customFormat="false" ht="15" hidden="false" customHeight="false" outlineLevel="0" collapsed="false">
      <c r="A25" s="31" t="s">
        <v>159</v>
      </c>
      <c r="B25" s="31" t="s">
        <v>75</v>
      </c>
      <c r="C25" s="32" t="n">
        <v>46229</v>
      </c>
      <c r="D25" s="31" t="s">
        <v>83</v>
      </c>
      <c r="E25" s="31" t="s">
        <v>137</v>
      </c>
      <c r="F25" s="33" t="n">
        <v>20</v>
      </c>
      <c r="G25" s="31"/>
      <c r="H25" s="34" t="str">
        <f aca="false">IF($E25="","",IFERROR(INDEX(tblItems[Item Code],MATCH($E25,tblItems[Item Name],0)),"?"))</f>
        <v>EG-FG-PER-01-02-01-01</v>
      </c>
      <c r="I25" s="34" t="str">
        <f aca="false">IF($A25="","",IF(COUNTIFS(tblShipment[Shipment No],$A25,tblShipment[Item Name],$E25)&gt;1,"Item listed twice",IF(COUNTIFS(tblShipment[Shipment No],$A25,tblShipment[Market],"&lt;&gt;"&amp;$B25)&gt;0,"Market differs on same shipment",IF(N($F25)&lt;=0,"Qty must be more than 0","OK"))))</f>
        <v>OK</v>
      </c>
    </row>
    <row r="26" customFormat="false" ht="15" hidden="false" customHeight="false" outlineLevel="0" collapsed="false">
      <c r="A26" s="31" t="s">
        <v>160</v>
      </c>
      <c r="B26" s="31" t="s">
        <v>75</v>
      </c>
      <c r="C26" s="32" t="n">
        <v>46232</v>
      </c>
      <c r="D26" s="31" t="s">
        <v>83</v>
      </c>
      <c r="E26" s="31" t="s">
        <v>95</v>
      </c>
      <c r="F26" s="33" t="n">
        <v>45</v>
      </c>
      <c r="G26" s="31"/>
      <c r="H26" s="34" t="str">
        <f aca="false">IF($E26="","",IFERROR(INDEX(tblItems[Item Code],MATCH($E26,tblItems[Item Name],0)),"?"))</f>
        <v>EG-FG-GUV-01-02-01-01</v>
      </c>
      <c r="I26" s="34" t="str">
        <f aca="false">IF($A26="","",IF(COUNTIFS(tblShipment[Shipment No],$A26,tblShipment[Item Name],$E26)&gt;1,"Item listed twice",IF(COUNTIFS(tblShipment[Shipment No],$A26,tblShipment[Market],"&lt;&gt;"&amp;$B26)&gt;0,"Market differs on same shipment",IF(N($F26)&lt;=0,"Qty must be more than 0","OK"))))</f>
        <v>OK</v>
      </c>
    </row>
    <row r="27" customFormat="false" ht="15" hidden="false" customHeight="false" outlineLevel="0" collapsed="false">
      <c r="A27" s="31" t="s">
        <v>160</v>
      </c>
      <c r="B27" s="31" t="s">
        <v>75</v>
      </c>
      <c r="C27" s="32" t="n">
        <v>46232</v>
      </c>
      <c r="D27" s="31" t="s">
        <v>83</v>
      </c>
      <c r="E27" s="31" t="s">
        <v>122</v>
      </c>
      <c r="F27" s="33" t="n">
        <v>20</v>
      </c>
      <c r="G27" s="31"/>
      <c r="H27" s="34" t="str">
        <f aca="false">IF($E27="","",IFERROR(INDEX(tblItems[Item Code],MATCH($E27,tblItems[Item Name],0)),"?"))</f>
        <v>EG-FG-GRP-01-02-01-01</v>
      </c>
      <c r="I27" s="34" t="str">
        <f aca="false">IF($A27="","",IF(COUNTIFS(tblShipment[Shipment No],$A27,tblShipment[Item Name],$E27)&gt;1,"Item listed twice",IF(COUNTIFS(tblShipment[Shipment No],$A27,tblShipment[Market],"&lt;&gt;"&amp;$B27)&gt;0,"Market differs on same shipment",IF(N($F27)&lt;=0,"Qty must be more than 0","OK"))))</f>
        <v>OK</v>
      </c>
    </row>
    <row r="28" customFormat="false" ht="15" hidden="false" customHeight="false" outlineLevel="0" collapsed="false">
      <c r="A28" s="31" t="s">
        <v>160</v>
      </c>
      <c r="B28" s="31" t="s">
        <v>75</v>
      </c>
      <c r="C28" s="32" t="n">
        <v>46232</v>
      </c>
      <c r="D28" s="31" t="s">
        <v>83</v>
      </c>
      <c r="E28" s="31" t="s">
        <v>84</v>
      </c>
      <c r="F28" s="33" t="n">
        <v>80</v>
      </c>
      <c r="G28" s="31"/>
      <c r="H28" s="34" t="str">
        <f aca="false">IF($E28="","",IFERROR(INDEX(tblItems[Item Code],MATCH($E28,tblItems[Item Name],0)),"?"))</f>
        <v>EG-FG-MNG-12-02-01-01</v>
      </c>
      <c r="I28" s="34" t="str">
        <f aca="false">IF($A28="","",IF(COUNTIFS(tblShipment[Shipment No],$A28,tblShipment[Item Name],$E28)&gt;1,"Item listed twice",IF(COUNTIFS(tblShipment[Shipment No],$A28,tblShipment[Market],"&lt;&gt;"&amp;$B28)&gt;0,"Market differs on same shipment",IF(N($F28)&lt;=0,"Qty must be more than 0","OK"))))</f>
        <v>OK</v>
      </c>
    </row>
    <row r="29" customFormat="false" ht="15" hidden="false" customHeight="false" outlineLevel="0" collapsed="false">
      <c r="A29" s="31" t="s">
        <v>160</v>
      </c>
      <c r="B29" s="31" t="s">
        <v>75</v>
      </c>
      <c r="C29" s="32" t="n">
        <v>46232</v>
      </c>
      <c r="D29" s="31" t="s">
        <v>83</v>
      </c>
      <c r="E29" s="31" t="s">
        <v>112</v>
      </c>
      <c r="F29" s="33" t="n">
        <v>25</v>
      </c>
      <c r="G29" s="31"/>
      <c r="H29" s="34" t="str">
        <f aca="false">IF($E29="","",IFERROR(INDEX(tblItems[Item Code],MATCH($E29,tblItems[Item Name],0)),"?"))</f>
        <v>BOX-TRIO-01</v>
      </c>
      <c r="I29" s="34" t="str">
        <f aca="false">IF($A29="","",IF(COUNTIFS(tblShipment[Shipment No],$A29,tblShipment[Item Name],$E29)&gt;1,"Item listed twice",IF(COUNTIFS(tblShipment[Shipment No],$A29,tblShipment[Market],"&lt;&gt;"&amp;$B29)&gt;0,"Market differs on same shipment",IF(N($F29)&lt;=0,"Qty must be more than 0","OK"))))</f>
        <v>OK</v>
      </c>
    </row>
    <row r="30" customFormat="false" ht="15" hidden="false" customHeight="false" outlineLevel="0" collapsed="false">
      <c r="A30" s="31" t="s">
        <v>160</v>
      </c>
      <c r="B30" s="31" t="s">
        <v>75</v>
      </c>
      <c r="C30" s="32" t="n">
        <v>46232</v>
      </c>
      <c r="D30" s="31" t="s">
        <v>83</v>
      </c>
      <c r="E30" s="31" t="s">
        <v>72</v>
      </c>
      <c r="F30" s="33" t="n">
        <v>105</v>
      </c>
      <c r="G30" s="31"/>
      <c r="H30" s="34" t="str">
        <f aca="false">IF($E30="","",IFERROR(INDEX(tblItems[Item Code],MATCH($E30,tblItems[Item Name],0)),"?"))</f>
        <v>EG-FG-MNG-05-02-01-01</v>
      </c>
      <c r="I30" s="34" t="str">
        <f aca="false">IF($A30="","",IF(COUNTIFS(tblShipment[Shipment No],$A30,tblShipment[Item Name],$E30)&gt;1,"Item listed twice",IF(COUNTIFS(tblShipment[Shipment No],$A30,tblShipment[Market],"&lt;&gt;"&amp;$B30)&gt;0,"Market differs on same shipment",IF(N($F30)&lt;=0,"Qty must be more than 0","OK"))))</f>
        <v>OK</v>
      </c>
    </row>
    <row r="31" customFormat="false" ht="15" hidden="false" customHeight="false" outlineLevel="0" collapsed="false">
      <c r="A31" s="31" t="s">
        <v>160</v>
      </c>
      <c r="B31" s="31" t="s">
        <v>75</v>
      </c>
      <c r="C31" s="32" t="n">
        <v>46232</v>
      </c>
      <c r="D31" s="31" t="s">
        <v>90</v>
      </c>
      <c r="E31" s="31" t="s">
        <v>106</v>
      </c>
      <c r="F31" s="33" t="n">
        <v>35</v>
      </c>
      <c r="G31" s="31"/>
      <c r="H31" s="34" t="str">
        <f aca="false">IF($E31="","",IFERROR(INDEX(tblItems[Item Code],MATCH($E31,tblItems[Item Name],0)),"?"))</f>
        <v>EG-FG-DAT-01-02-01-01</v>
      </c>
      <c r="I31" s="34" t="str">
        <f aca="false">IF($A31="","",IF(COUNTIFS(tblShipment[Shipment No],$A31,tblShipment[Item Name],$E31)&gt;1,"Item listed twice",IF(COUNTIFS(tblShipment[Shipment No],$A31,tblShipment[Market],"&lt;&gt;"&amp;$B31)&gt;0,"Market differs on same shipment",IF(N($F31)&lt;=0,"Qty must be more than 0","OK"))))</f>
        <v>OK</v>
      </c>
    </row>
    <row r="32" customFormat="false" ht="15" hidden="false" customHeight="false" outlineLevel="0" collapsed="false">
      <c r="A32" s="31" t="s">
        <v>160</v>
      </c>
      <c r="B32" s="31" t="s">
        <v>75</v>
      </c>
      <c r="C32" s="32" t="n">
        <v>46232</v>
      </c>
      <c r="D32" s="31" t="s">
        <v>83</v>
      </c>
      <c r="E32" s="31" t="s">
        <v>141</v>
      </c>
      <c r="F32" s="33" t="n">
        <v>20</v>
      </c>
      <c r="G32" s="31"/>
      <c r="H32" s="34" t="str">
        <f aca="false">IF($E32="","",IFERROR(INDEX(tblItems[Item Code],MATCH($E32,tblItems[Item Name],0)),"?"))</f>
        <v>EG-FG-CAN-01-02-01-01</v>
      </c>
      <c r="I32" s="34" t="str">
        <f aca="false">IF($A32="","",IF(COUNTIFS(tblShipment[Shipment No],$A32,tblShipment[Item Name],$E32)&gt;1,"Item listed twice",IF(COUNTIFS(tblShipment[Shipment No],$A32,tblShipment[Market],"&lt;&gt;"&amp;$B32)&gt;0,"Market differs on same shipment",IF(N($F32)&lt;=0,"Qty must be more than 0","OK"))))</f>
        <v>OK</v>
      </c>
    </row>
    <row r="33" customFormat="false" ht="15" hidden="false" customHeight="false" outlineLevel="0" collapsed="false">
      <c r="A33" s="31" t="s">
        <v>160</v>
      </c>
      <c r="B33" s="31" t="s">
        <v>75</v>
      </c>
      <c r="C33" s="32" t="n">
        <v>46232</v>
      </c>
      <c r="D33" s="31" t="s">
        <v>83</v>
      </c>
      <c r="E33" s="31" t="s">
        <v>100</v>
      </c>
      <c r="F33" s="33" t="n">
        <v>35</v>
      </c>
      <c r="G33" s="31"/>
      <c r="H33" s="34" t="str">
        <f aca="false">IF($E33="","",IFERROR(INDEX(tblItems[Item Code],MATCH($E33,tblItems[Item Name],0)),"?"))</f>
        <v>EG-FG-MNG-18-02-01-01</v>
      </c>
      <c r="I33" s="34" t="str">
        <f aca="false">IF($A33="","",IF(COUNTIFS(tblShipment[Shipment No],$A33,tblShipment[Item Name],$E33)&gt;1,"Item listed twice",IF(COUNTIFS(tblShipment[Shipment No],$A33,tblShipment[Market],"&lt;&gt;"&amp;$B33)&gt;0,"Market differs on same shipment",IF(N($F33)&lt;=0,"Qty must be more than 0","OK"))))</f>
        <v>OK</v>
      </c>
    </row>
    <row r="34" customFormat="false" ht="15" hidden="false" customHeight="false" outlineLevel="0" collapsed="false">
      <c r="A34" s="31" t="s">
        <v>160</v>
      </c>
      <c r="B34" s="31" t="s">
        <v>75</v>
      </c>
      <c r="C34" s="32" t="n">
        <v>46232</v>
      </c>
      <c r="D34" s="31" t="s">
        <v>83</v>
      </c>
      <c r="E34" s="31" t="s">
        <v>91</v>
      </c>
      <c r="F34" s="33" t="n">
        <v>75</v>
      </c>
      <c r="G34" s="31"/>
      <c r="H34" s="34" t="str">
        <f aca="false">IF($E34="","",IFERROR(INDEX(tblItems[Item Code],MATCH($E34,tblItems[Item Name],0)),"?"))</f>
        <v>EG-FG-FIG-01-02-01-01</v>
      </c>
      <c r="I34" s="34" t="str">
        <f aca="false">IF($A34="","",IF(COUNTIFS(tblShipment[Shipment No],$A34,tblShipment[Item Name],$E34)&gt;1,"Item listed twice",IF(COUNTIFS(tblShipment[Shipment No],$A34,tblShipment[Market],"&lt;&gt;"&amp;$B34)&gt;0,"Market differs on same shipment",IF(N($F34)&lt;=0,"Qty must be more than 0","OK"))))</f>
        <v>OK</v>
      </c>
    </row>
    <row r="35" customFormat="false" ht="15" hidden="false" customHeight="false" outlineLevel="0" collapsed="false">
      <c r="A35" s="31" t="s">
        <v>160</v>
      </c>
      <c r="B35" s="31" t="s">
        <v>75</v>
      </c>
      <c r="C35" s="32" t="n">
        <v>46232</v>
      </c>
      <c r="D35" s="31" t="s">
        <v>83</v>
      </c>
      <c r="E35" s="31" t="s">
        <v>143</v>
      </c>
      <c r="F35" s="33" t="n">
        <v>20</v>
      </c>
      <c r="G35" s="31"/>
      <c r="H35" s="34" t="str">
        <f aca="false">IF($E35="","",IFERROR(INDEX(tblItems[Item Code],MATCH($E35,tblItems[Item Name],0)),"?"))</f>
        <v>EG-FG-MNG-11-02-01-01</v>
      </c>
      <c r="I35" s="34" t="str">
        <f aca="false">IF($A35="","",IF(COUNTIFS(tblShipment[Shipment No],$A35,tblShipment[Item Name],$E35)&gt;1,"Item listed twice",IF(COUNTIFS(tblShipment[Shipment No],$A35,tblShipment[Market],"&lt;&gt;"&amp;$B35)&gt;0,"Market differs on same shipment",IF(N($F35)&lt;=0,"Qty must be more than 0","OK"))))</f>
        <v>OK</v>
      </c>
    </row>
    <row r="36" customFormat="false" ht="15" hidden="false" customHeight="false" outlineLevel="0" collapsed="false">
      <c r="A36" s="31" t="s">
        <v>160</v>
      </c>
      <c r="B36" s="31" t="s">
        <v>75</v>
      </c>
      <c r="C36" s="32" t="n">
        <v>46232</v>
      </c>
      <c r="D36" s="31" t="s">
        <v>83</v>
      </c>
      <c r="E36" s="31" t="s">
        <v>132</v>
      </c>
      <c r="F36" s="33" t="n">
        <v>20</v>
      </c>
      <c r="G36" s="31"/>
      <c r="H36" s="34" t="str">
        <f aca="false">IF($E36="","",IFERROR(INDEX(tblItems[Item Code],MATCH($E36,tblItems[Item Name],0)),"?"))</f>
        <v>EG-FG-MNG-15-02-01-01</v>
      </c>
      <c r="I36" s="34" t="str">
        <f aca="false">IF($A36="","",IF(COUNTIFS(tblShipment[Shipment No],$A36,tblShipment[Item Name],$E36)&gt;1,"Item listed twice",IF(COUNTIFS(tblShipment[Shipment No],$A36,tblShipment[Market],"&lt;&gt;"&amp;$B36)&gt;0,"Market differs on same shipment",IF(N($F36)&lt;=0,"Qty must be more than 0","OK"))))</f>
        <v>OK</v>
      </c>
    </row>
    <row r="37" customFormat="false" ht="15" hidden="false" customHeight="false" outlineLevel="0" collapsed="false">
      <c r="A37" s="31" t="s">
        <v>161</v>
      </c>
      <c r="B37" s="31" t="s">
        <v>75</v>
      </c>
      <c r="C37" s="32" t="n">
        <v>46234</v>
      </c>
      <c r="D37" s="31" t="s">
        <v>83</v>
      </c>
      <c r="E37" s="31" t="s">
        <v>84</v>
      </c>
      <c r="F37" s="33" t="n">
        <v>100</v>
      </c>
      <c r="G37" s="31"/>
      <c r="H37" s="34" t="str">
        <f aca="false">IF($E37="","",IFERROR(INDEX(tblItems[Item Code],MATCH($E37,tblItems[Item Name],0)),"?"))</f>
        <v>EG-FG-MNG-12-02-01-01</v>
      </c>
      <c r="I37" s="34" t="str">
        <f aca="false">IF($A37="","",IF(COUNTIFS(tblShipment[Shipment No],$A37,tblShipment[Item Name],$E37)&gt;1,"Item listed twice",IF(COUNTIFS(tblShipment[Shipment No],$A37,tblShipment[Market],"&lt;&gt;"&amp;$B37)&gt;0,"Market differs on same shipment",IF(N($F37)&lt;=0,"Qty must be more than 0","OK"))))</f>
        <v>OK</v>
      </c>
    </row>
    <row r="38" customFormat="false" ht="15" hidden="false" customHeight="false" outlineLevel="0" collapsed="false">
      <c r="A38" s="31" t="s">
        <v>161</v>
      </c>
      <c r="B38" s="31" t="s">
        <v>75</v>
      </c>
      <c r="C38" s="32" t="n">
        <v>46234</v>
      </c>
      <c r="D38" s="31" t="s">
        <v>83</v>
      </c>
      <c r="E38" s="31" t="s">
        <v>148</v>
      </c>
      <c r="F38" s="33" t="n">
        <v>20</v>
      </c>
      <c r="G38" s="31"/>
      <c r="H38" s="34" t="str">
        <f aca="false">IF($E38="","",IFERROR(INDEX(tblItems[Item Code],MATCH($E38,tblItems[Item Name],0)),"?"))</f>
        <v>EG-FG-MNG-99-02-01-01</v>
      </c>
      <c r="I38" s="34" t="str">
        <f aca="false">IF($A38="","",IF(COUNTIFS(tblShipment[Shipment No],$A38,tblShipment[Item Name],$E38)&gt;1,"Item listed twice",IF(COUNTIFS(tblShipment[Shipment No],$A38,tblShipment[Market],"&lt;&gt;"&amp;$B38)&gt;0,"Market differs on same shipment",IF(N($F38)&lt;=0,"Qty must be more than 0","OK"))))</f>
        <v>OK</v>
      </c>
    </row>
    <row r="39" customFormat="false" ht="15" hidden="false" customHeight="false" outlineLevel="0" collapsed="false">
      <c r="A39" s="31" t="s">
        <v>161</v>
      </c>
      <c r="B39" s="31" t="s">
        <v>75</v>
      </c>
      <c r="C39" s="32" t="n">
        <v>46234</v>
      </c>
      <c r="D39" s="31" t="s">
        <v>83</v>
      </c>
      <c r="E39" s="31" t="s">
        <v>72</v>
      </c>
      <c r="F39" s="33" t="n">
        <v>110</v>
      </c>
      <c r="G39" s="31"/>
      <c r="H39" s="34" t="str">
        <f aca="false">IF($E39="","",IFERROR(INDEX(tblItems[Item Code],MATCH($E39,tblItems[Item Name],0)),"?"))</f>
        <v>EG-FG-MNG-05-02-01-01</v>
      </c>
      <c r="I39" s="34" t="str">
        <f aca="false">IF($A39="","",IF(COUNTIFS(tblShipment[Shipment No],$A39,tblShipment[Item Name],$E39)&gt;1,"Item listed twice",IF(COUNTIFS(tblShipment[Shipment No],$A39,tblShipment[Market],"&lt;&gt;"&amp;$B39)&gt;0,"Market differs on same shipment",IF(N($F39)&lt;=0,"Qty must be more than 0","OK"))))</f>
        <v>OK</v>
      </c>
    </row>
    <row r="40" customFormat="false" ht="15" hidden="false" customHeight="false" outlineLevel="0" collapsed="false">
      <c r="A40" s="31" t="s">
        <v>161</v>
      </c>
      <c r="B40" s="31" t="s">
        <v>75</v>
      </c>
      <c r="C40" s="32" t="n">
        <v>46234</v>
      </c>
      <c r="D40" s="31" t="s">
        <v>83</v>
      </c>
      <c r="E40" s="31" t="s">
        <v>122</v>
      </c>
      <c r="F40" s="33" t="n">
        <v>20</v>
      </c>
      <c r="G40" s="31"/>
      <c r="H40" s="34" t="str">
        <f aca="false">IF($E40="","",IFERROR(INDEX(tblItems[Item Code],MATCH($E40,tblItems[Item Name],0)),"?"))</f>
        <v>EG-FG-GRP-01-02-01-01</v>
      </c>
      <c r="I40" s="34" t="str">
        <f aca="false">IF($A40="","",IF(COUNTIFS(tblShipment[Shipment No],$A40,tblShipment[Item Name],$E40)&gt;1,"Item listed twice",IF(COUNTIFS(tblShipment[Shipment No],$A40,tblShipment[Market],"&lt;&gt;"&amp;$B40)&gt;0,"Market differs on same shipment",IF(N($F40)&lt;=0,"Qty must be more than 0","OK"))))</f>
        <v>OK</v>
      </c>
    </row>
    <row r="41" customFormat="false" ht="15" hidden="false" customHeight="false" outlineLevel="0" collapsed="false">
      <c r="A41" s="31" t="s">
        <v>161</v>
      </c>
      <c r="B41" s="31" t="s">
        <v>75</v>
      </c>
      <c r="C41" s="32" t="n">
        <v>46234</v>
      </c>
      <c r="D41" s="31" t="s">
        <v>83</v>
      </c>
      <c r="E41" s="31" t="s">
        <v>112</v>
      </c>
      <c r="F41" s="33" t="n">
        <v>30</v>
      </c>
      <c r="G41" s="31"/>
      <c r="H41" s="34" t="str">
        <f aca="false">IF($E41="","",IFERROR(INDEX(tblItems[Item Code],MATCH($E41,tblItems[Item Name],0)),"?"))</f>
        <v>BOX-TRIO-01</v>
      </c>
      <c r="I41" s="34" t="str">
        <f aca="false">IF($A41="","",IF(COUNTIFS(tblShipment[Shipment No],$A41,tblShipment[Item Name],$E41)&gt;1,"Item listed twice",IF(COUNTIFS(tblShipment[Shipment No],$A41,tblShipment[Market],"&lt;&gt;"&amp;$B41)&gt;0,"Market differs on same shipment",IF(N($F41)&lt;=0,"Qty must be more than 0","OK"))))</f>
        <v>OK</v>
      </c>
    </row>
    <row r="42" customFormat="false" ht="15" hidden="false" customHeight="false" outlineLevel="0" collapsed="false">
      <c r="A42" s="31" t="s">
        <v>161</v>
      </c>
      <c r="B42" s="31" t="s">
        <v>75</v>
      </c>
      <c r="C42" s="32" t="n">
        <v>46234</v>
      </c>
      <c r="D42" s="31" t="s">
        <v>83</v>
      </c>
      <c r="E42" s="31" t="s">
        <v>91</v>
      </c>
      <c r="F42" s="33" t="n">
        <v>85</v>
      </c>
      <c r="G42" s="31"/>
      <c r="H42" s="34" t="str">
        <f aca="false">IF($E42="","",IFERROR(INDEX(tblItems[Item Code],MATCH($E42,tblItems[Item Name],0)),"?"))</f>
        <v>EG-FG-FIG-01-02-01-01</v>
      </c>
      <c r="I42" s="34" t="str">
        <f aca="false">IF($A42="","",IF(COUNTIFS(tblShipment[Shipment No],$A42,tblShipment[Item Name],$E42)&gt;1,"Item listed twice",IF(COUNTIFS(tblShipment[Shipment No],$A42,tblShipment[Market],"&lt;&gt;"&amp;$B42)&gt;0,"Market differs on same shipment",IF(N($F42)&lt;=0,"Qty must be more than 0","OK"))))</f>
        <v>OK</v>
      </c>
    </row>
    <row r="43" customFormat="false" ht="15" hidden="false" customHeight="false" outlineLevel="0" collapsed="false">
      <c r="A43" s="31" t="s">
        <v>161</v>
      </c>
      <c r="B43" s="31" t="s">
        <v>75</v>
      </c>
      <c r="C43" s="32" t="n">
        <v>46234</v>
      </c>
      <c r="D43" s="31" t="s">
        <v>83</v>
      </c>
      <c r="E43" s="31" t="s">
        <v>100</v>
      </c>
      <c r="F43" s="33" t="n">
        <v>25</v>
      </c>
      <c r="G43" s="31"/>
      <c r="H43" s="34" t="str">
        <f aca="false">IF($E43="","",IFERROR(INDEX(tblItems[Item Code],MATCH($E43,tblItems[Item Name],0)),"?"))</f>
        <v>EG-FG-MNG-18-02-01-01</v>
      </c>
      <c r="I43" s="34" t="str">
        <f aca="false">IF($A43="","",IF(COUNTIFS(tblShipment[Shipment No],$A43,tblShipment[Item Name],$E43)&gt;1,"Item listed twice",IF(COUNTIFS(tblShipment[Shipment No],$A43,tblShipment[Market],"&lt;&gt;"&amp;$B43)&gt;0,"Market differs on same shipment",IF(N($F43)&lt;=0,"Qty must be more than 0","OK"))))</f>
        <v>OK</v>
      </c>
    </row>
    <row r="44" customFormat="false" ht="15" hidden="false" customHeight="false" outlineLevel="0" collapsed="false">
      <c r="A44" s="31" t="s">
        <v>161</v>
      </c>
      <c r="B44" s="31" t="s">
        <v>75</v>
      </c>
      <c r="C44" s="32" t="n">
        <v>46234</v>
      </c>
      <c r="D44" s="31" t="s">
        <v>90</v>
      </c>
      <c r="E44" s="31" t="s">
        <v>106</v>
      </c>
      <c r="F44" s="33" t="n">
        <v>30</v>
      </c>
      <c r="G44" s="31"/>
      <c r="H44" s="34" t="str">
        <f aca="false">IF($E44="","",IFERROR(INDEX(tblItems[Item Code],MATCH($E44,tblItems[Item Name],0)),"?"))</f>
        <v>EG-FG-DAT-01-02-01-01</v>
      </c>
      <c r="I44" s="34" t="str">
        <f aca="false">IF($A44="","",IF(COUNTIFS(tblShipment[Shipment No],$A44,tblShipment[Item Name],$E44)&gt;1,"Item listed twice",IF(COUNTIFS(tblShipment[Shipment No],$A44,tblShipment[Market],"&lt;&gt;"&amp;$B44)&gt;0,"Market differs on same shipment",IF(N($F44)&lt;=0,"Qty must be more than 0","OK"))))</f>
        <v>OK</v>
      </c>
    </row>
    <row r="45" customFormat="false" ht="15" hidden="false" customHeight="false" outlineLevel="0" collapsed="false">
      <c r="A45" s="31" t="s">
        <v>162</v>
      </c>
      <c r="B45" s="31" t="s">
        <v>75</v>
      </c>
      <c r="C45" s="32" t="n">
        <v>46237</v>
      </c>
      <c r="D45" s="31" t="s">
        <v>83</v>
      </c>
      <c r="E45" s="31" t="s">
        <v>72</v>
      </c>
      <c r="F45" s="33" t="n">
        <v>95</v>
      </c>
      <c r="G45" s="31"/>
      <c r="H45" s="34" t="str">
        <f aca="false">IF($E45="","",IFERROR(INDEX(tblItems[Item Code],MATCH($E45,tblItems[Item Name],0)),"?"))</f>
        <v>EG-FG-MNG-05-02-01-01</v>
      </c>
      <c r="I45" s="34" t="str">
        <f aca="false">IF($A45="","",IF(COUNTIFS(tblShipment[Shipment No],$A45,tblShipment[Item Name],$E45)&gt;1,"Item listed twice",IF(COUNTIFS(tblShipment[Shipment No],$A45,tblShipment[Market],"&lt;&gt;"&amp;$B45)&gt;0,"Market differs on same shipment",IF(N($F45)&lt;=0,"Qty must be more than 0","OK"))))</f>
        <v>OK</v>
      </c>
    </row>
    <row r="46" customFormat="false" ht="15" hidden="false" customHeight="false" outlineLevel="0" collapsed="false">
      <c r="A46" s="31" t="s">
        <v>162</v>
      </c>
      <c r="B46" s="31" t="s">
        <v>75</v>
      </c>
      <c r="C46" s="32" t="n">
        <v>46237</v>
      </c>
      <c r="D46" s="31" t="s">
        <v>83</v>
      </c>
      <c r="E46" s="31" t="s">
        <v>84</v>
      </c>
      <c r="F46" s="33" t="n">
        <v>125</v>
      </c>
      <c r="G46" s="31"/>
      <c r="H46" s="34" t="str">
        <f aca="false">IF($E46="","",IFERROR(INDEX(tblItems[Item Code],MATCH($E46,tblItems[Item Name],0)),"?"))</f>
        <v>EG-FG-MNG-12-02-01-01</v>
      </c>
      <c r="I46" s="34" t="str">
        <f aca="false">IF($A46="","",IF(COUNTIFS(tblShipment[Shipment No],$A46,tblShipment[Item Name],$E46)&gt;1,"Item listed twice",IF(COUNTIFS(tblShipment[Shipment No],$A46,tblShipment[Market],"&lt;&gt;"&amp;$B46)&gt;0,"Market differs on same shipment",IF(N($F46)&lt;=0,"Qty must be more than 0","OK"))))</f>
        <v>OK</v>
      </c>
    </row>
    <row r="47" customFormat="false" ht="15" hidden="false" customHeight="false" outlineLevel="0" collapsed="false">
      <c r="A47" s="31" t="s">
        <v>162</v>
      </c>
      <c r="B47" s="31" t="s">
        <v>75</v>
      </c>
      <c r="C47" s="32" t="n">
        <v>46237</v>
      </c>
      <c r="D47" s="31" t="s">
        <v>83</v>
      </c>
      <c r="E47" s="31" t="s">
        <v>100</v>
      </c>
      <c r="F47" s="33" t="n">
        <v>25</v>
      </c>
      <c r="G47" s="31"/>
      <c r="H47" s="34" t="str">
        <f aca="false">IF($E47="","",IFERROR(INDEX(tblItems[Item Code],MATCH($E47,tblItems[Item Name],0)),"?"))</f>
        <v>EG-FG-MNG-18-02-01-01</v>
      </c>
      <c r="I47" s="34" t="str">
        <f aca="false">IF($A47="","",IF(COUNTIFS(tblShipment[Shipment No],$A47,tblShipment[Item Name],$E47)&gt;1,"Item listed twice",IF(COUNTIFS(tblShipment[Shipment No],$A47,tblShipment[Market],"&lt;&gt;"&amp;$B47)&gt;0,"Market differs on same shipment",IF(N($F47)&lt;=0,"Qty must be more than 0","OK"))))</f>
        <v>OK</v>
      </c>
    </row>
    <row r="48" customFormat="false" ht="15" hidden="false" customHeight="false" outlineLevel="0" collapsed="false">
      <c r="A48" s="31" t="s">
        <v>162</v>
      </c>
      <c r="B48" s="31" t="s">
        <v>75</v>
      </c>
      <c r="C48" s="32" t="n">
        <v>46237</v>
      </c>
      <c r="D48" s="31" t="s">
        <v>90</v>
      </c>
      <c r="E48" s="31" t="s">
        <v>106</v>
      </c>
      <c r="F48" s="33" t="n">
        <v>25</v>
      </c>
      <c r="G48" s="31"/>
      <c r="H48" s="34" t="str">
        <f aca="false">IF($E48="","",IFERROR(INDEX(tblItems[Item Code],MATCH($E48,tblItems[Item Name],0)),"?"))</f>
        <v>EG-FG-DAT-01-02-01-01</v>
      </c>
      <c r="I48" s="34" t="str">
        <f aca="false">IF($A48="","",IF(COUNTIFS(tblShipment[Shipment No],$A48,tblShipment[Item Name],$E48)&gt;1,"Item listed twice",IF(COUNTIFS(tblShipment[Shipment No],$A48,tblShipment[Market],"&lt;&gt;"&amp;$B48)&gt;0,"Market differs on same shipment",IF(N($F48)&lt;=0,"Qty must be more than 0","OK"))))</f>
        <v>OK</v>
      </c>
    </row>
    <row r="49" customFormat="false" ht="15" hidden="false" customHeight="false" outlineLevel="0" collapsed="false">
      <c r="A49" s="31" t="s">
        <v>162</v>
      </c>
      <c r="B49" s="31" t="s">
        <v>75</v>
      </c>
      <c r="C49" s="32" t="n">
        <v>46237</v>
      </c>
      <c r="D49" s="31" t="s">
        <v>83</v>
      </c>
      <c r="E49" s="31" t="s">
        <v>141</v>
      </c>
      <c r="F49" s="33" t="n">
        <v>20</v>
      </c>
      <c r="G49" s="31"/>
      <c r="H49" s="34" t="str">
        <f aca="false">IF($E49="","",IFERROR(INDEX(tblItems[Item Code],MATCH($E49,tblItems[Item Name],0)),"?"))</f>
        <v>EG-FG-CAN-01-02-01-01</v>
      </c>
      <c r="I49" s="34" t="str">
        <f aca="false">IF($A49="","",IF(COUNTIFS(tblShipment[Shipment No],$A49,tblShipment[Item Name],$E49)&gt;1,"Item listed twice",IF(COUNTIFS(tblShipment[Shipment No],$A49,tblShipment[Market],"&lt;&gt;"&amp;$B49)&gt;0,"Market differs on same shipment",IF(N($F49)&lt;=0,"Qty must be more than 0","OK"))))</f>
        <v>OK</v>
      </c>
    </row>
    <row r="50" customFormat="false" ht="15" hidden="false" customHeight="false" outlineLevel="0" collapsed="false">
      <c r="A50" s="31" t="s">
        <v>162</v>
      </c>
      <c r="B50" s="31" t="s">
        <v>75</v>
      </c>
      <c r="C50" s="32" t="n">
        <v>46237</v>
      </c>
      <c r="D50" s="31" t="s">
        <v>83</v>
      </c>
      <c r="E50" s="31" t="s">
        <v>122</v>
      </c>
      <c r="F50" s="33" t="n">
        <v>25</v>
      </c>
      <c r="G50" s="31"/>
      <c r="H50" s="34" t="str">
        <f aca="false">IF($E50="","",IFERROR(INDEX(tblItems[Item Code],MATCH($E50,tblItems[Item Name],0)),"?"))</f>
        <v>EG-FG-GRP-01-02-01-01</v>
      </c>
      <c r="I50" s="34" t="str">
        <f aca="false">IF($A50="","",IF(COUNTIFS(tblShipment[Shipment No],$A50,tblShipment[Item Name],$E50)&gt;1,"Item listed twice",IF(COUNTIFS(tblShipment[Shipment No],$A50,tblShipment[Market],"&lt;&gt;"&amp;$B50)&gt;0,"Market differs on same shipment",IF(N($F50)&lt;=0,"Qty must be more than 0","OK"))))</f>
        <v>OK</v>
      </c>
    </row>
    <row r="51" customFormat="false" ht="15" hidden="false" customHeight="false" outlineLevel="0" collapsed="false">
      <c r="A51" s="31" t="s">
        <v>162</v>
      </c>
      <c r="B51" s="31" t="s">
        <v>75</v>
      </c>
      <c r="C51" s="32" t="n">
        <v>46237</v>
      </c>
      <c r="D51" s="31" t="s">
        <v>83</v>
      </c>
      <c r="E51" s="31" t="s">
        <v>95</v>
      </c>
      <c r="F51" s="33" t="n">
        <v>35</v>
      </c>
      <c r="G51" s="31"/>
      <c r="H51" s="34" t="str">
        <f aca="false">IF($E51="","",IFERROR(INDEX(tblItems[Item Code],MATCH($E51,tblItems[Item Name],0)),"?"))</f>
        <v>EG-FG-GUV-01-02-01-01</v>
      </c>
      <c r="I51" s="34" t="str">
        <f aca="false">IF($A51="","",IF(COUNTIFS(tblShipment[Shipment No],$A51,tblShipment[Item Name],$E51)&gt;1,"Item listed twice",IF(COUNTIFS(tblShipment[Shipment No],$A51,tblShipment[Market],"&lt;&gt;"&amp;$B51)&gt;0,"Market differs on same shipment",IF(N($F51)&lt;=0,"Qty must be more than 0","OK"))))</f>
        <v>OK</v>
      </c>
    </row>
    <row r="52" customFormat="false" ht="15" hidden="false" customHeight="false" outlineLevel="0" collapsed="false">
      <c r="A52" s="31" t="s">
        <v>162</v>
      </c>
      <c r="B52" s="31" t="s">
        <v>75</v>
      </c>
      <c r="C52" s="32" t="n">
        <v>46237</v>
      </c>
      <c r="D52" s="31" t="s">
        <v>83</v>
      </c>
      <c r="E52" s="31" t="s">
        <v>91</v>
      </c>
      <c r="F52" s="33" t="n">
        <v>55</v>
      </c>
      <c r="G52" s="31"/>
      <c r="H52" s="34" t="str">
        <f aca="false">IF($E52="","",IFERROR(INDEX(tblItems[Item Code],MATCH($E52,tblItems[Item Name],0)),"?"))</f>
        <v>EG-FG-FIG-01-02-01-01</v>
      </c>
      <c r="I52" s="34" t="str">
        <f aca="false">IF($A52="","",IF(COUNTIFS(tblShipment[Shipment No],$A52,tblShipment[Item Name],$E52)&gt;1,"Item listed twice",IF(COUNTIFS(tblShipment[Shipment No],$A52,tblShipment[Market],"&lt;&gt;"&amp;$B52)&gt;0,"Market differs on same shipment",IF(N($F52)&lt;=0,"Qty must be more than 0","OK"))))</f>
        <v>OK</v>
      </c>
    </row>
    <row r="53" customFormat="false" ht="15" hidden="false" customHeight="false" outlineLevel="0" collapsed="false">
      <c r="A53" s="31" t="s">
        <v>163</v>
      </c>
      <c r="B53" s="31" t="s">
        <v>75</v>
      </c>
      <c r="C53" s="32" t="n">
        <v>46239</v>
      </c>
      <c r="D53" s="31" t="s">
        <v>83</v>
      </c>
      <c r="E53" s="31" t="s">
        <v>72</v>
      </c>
      <c r="F53" s="33" t="n">
        <v>95</v>
      </c>
      <c r="G53" s="31"/>
      <c r="H53" s="34" t="str">
        <f aca="false">IF($E53="","",IFERROR(INDEX(tblItems[Item Code],MATCH($E53,tblItems[Item Name],0)),"?"))</f>
        <v>EG-FG-MNG-05-02-01-01</v>
      </c>
      <c r="I53" s="34" t="str">
        <f aca="false">IF($A53="","",IF(COUNTIFS(tblShipment[Shipment No],$A53,tblShipment[Item Name],$E53)&gt;1,"Item listed twice",IF(COUNTIFS(tblShipment[Shipment No],$A53,tblShipment[Market],"&lt;&gt;"&amp;$B53)&gt;0,"Market differs on same shipment",IF(N($F53)&lt;=0,"Qty must be more than 0","OK"))))</f>
        <v>OK</v>
      </c>
    </row>
    <row r="54" customFormat="false" ht="15" hidden="false" customHeight="false" outlineLevel="0" collapsed="false">
      <c r="A54" s="31" t="s">
        <v>163</v>
      </c>
      <c r="B54" s="31" t="s">
        <v>75</v>
      </c>
      <c r="C54" s="32" t="n">
        <v>46239</v>
      </c>
      <c r="D54" s="31" t="s">
        <v>83</v>
      </c>
      <c r="E54" s="31" t="s">
        <v>91</v>
      </c>
      <c r="F54" s="33" t="n">
        <v>55</v>
      </c>
      <c r="G54" s="31"/>
      <c r="H54" s="34" t="str">
        <f aca="false">IF($E54="","",IFERROR(INDEX(tblItems[Item Code],MATCH($E54,tblItems[Item Name],0)),"?"))</f>
        <v>EG-FG-FIG-01-02-01-01</v>
      </c>
      <c r="I54" s="34" t="str">
        <f aca="false">IF($A54="","",IF(COUNTIFS(tblShipment[Shipment No],$A54,tblShipment[Item Name],$E54)&gt;1,"Item listed twice",IF(COUNTIFS(tblShipment[Shipment No],$A54,tblShipment[Market],"&lt;&gt;"&amp;$B54)&gt;0,"Market differs on same shipment",IF(N($F54)&lt;=0,"Qty must be more than 0","OK"))))</f>
        <v>OK</v>
      </c>
    </row>
    <row r="55" customFormat="false" ht="15" hidden="false" customHeight="false" outlineLevel="0" collapsed="false">
      <c r="A55" s="31" t="s">
        <v>163</v>
      </c>
      <c r="B55" s="31" t="s">
        <v>75</v>
      </c>
      <c r="C55" s="32" t="n">
        <v>46239</v>
      </c>
      <c r="D55" s="31" t="s">
        <v>83</v>
      </c>
      <c r="E55" s="31" t="s">
        <v>95</v>
      </c>
      <c r="F55" s="33" t="n">
        <v>45</v>
      </c>
      <c r="G55" s="31"/>
      <c r="H55" s="34" t="str">
        <f aca="false">IF($E55="","",IFERROR(INDEX(tblItems[Item Code],MATCH($E55,tblItems[Item Name],0)),"?"))</f>
        <v>EG-FG-GUV-01-02-01-01</v>
      </c>
      <c r="I55" s="34" t="str">
        <f aca="false">IF($A55="","",IF(COUNTIFS(tblShipment[Shipment No],$A55,tblShipment[Item Name],$E55)&gt;1,"Item listed twice",IF(COUNTIFS(tblShipment[Shipment No],$A55,tblShipment[Market],"&lt;&gt;"&amp;$B55)&gt;0,"Market differs on same shipment",IF(N($F55)&lt;=0,"Qty must be more than 0","OK"))))</f>
        <v>OK</v>
      </c>
    </row>
    <row r="56" customFormat="false" ht="15" hidden="false" customHeight="false" outlineLevel="0" collapsed="false">
      <c r="A56" s="31" t="s">
        <v>163</v>
      </c>
      <c r="B56" s="31" t="s">
        <v>75</v>
      </c>
      <c r="C56" s="32" t="n">
        <v>46239</v>
      </c>
      <c r="D56" s="31" t="s">
        <v>90</v>
      </c>
      <c r="E56" s="31" t="s">
        <v>106</v>
      </c>
      <c r="F56" s="33" t="n">
        <v>30</v>
      </c>
      <c r="G56" s="31"/>
      <c r="H56" s="34" t="str">
        <f aca="false">IF($E56="","",IFERROR(INDEX(tblItems[Item Code],MATCH($E56,tblItems[Item Name],0)),"?"))</f>
        <v>EG-FG-DAT-01-02-01-01</v>
      </c>
      <c r="I56" s="34" t="str">
        <f aca="false">IF($A56="","",IF(COUNTIFS(tblShipment[Shipment No],$A56,tblShipment[Item Name],$E56)&gt;1,"Item listed twice",IF(COUNTIFS(tblShipment[Shipment No],$A56,tblShipment[Market],"&lt;&gt;"&amp;$B56)&gt;0,"Market differs on same shipment",IF(N($F56)&lt;=0,"Qty must be more than 0","OK"))))</f>
        <v>OK</v>
      </c>
    </row>
    <row r="57" customFormat="false" ht="15" hidden="false" customHeight="false" outlineLevel="0" collapsed="false">
      <c r="A57" s="31" t="s">
        <v>163</v>
      </c>
      <c r="B57" s="31" t="s">
        <v>75</v>
      </c>
      <c r="C57" s="32" t="n">
        <v>46239</v>
      </c>
      <c r="D57" s="31" t="s">
        <v>83</v>
      </c>
      <c r="E57" s="31" t="s">
        <v>84</v>
      </c>
      <c r="F57" s="33" t="n">
        <v>95</v>
      </c>
      <c r="G57" s="31"/>
      <c r="H57" s="34" t="str">
        <f aca="false">IF($E57="","",IFERROR(INDEX(tblItems[Item Code],MATCH($E57,tblItems[Item Name],0)),"?"))</f>
        <v>EG-FG-MNG-12-02-01-01</v>
      </c>
      <c r="I57" s="34" t="str">
        <f aca="false">IF($A57="","",IF(COUNTIFS(tblShipment[Shipment No],$A57,tblShipment[Item Name],$E57)&gt;1,"Item listed twice",IF(COUNTIFS(tblShipment[Shipment No],$A57,tblShipment[Market],"&lt;&gt;"&amp;$B57)&gt;0,"Market differs on same shipment",IF(N($F57)&lt;=0,"Qty must be more than 0","OK"))))</f>
        <v>OK</v>
      </c>
    </row>
    <row r="58" customFormat="false" ht="15" hidden="false" customHeight="false" outlineLevel="0" collapsed="false">
      <c r="A58" s="31" t="s">
        <v>163</v>
      </c>
      <c r="B58" s="31" t="s">
        <v>75</v>
      </c>
      <c r="C58" s="32" t="n">
        <v>46239</v>
      </c>
      <c r="D58" s="31" t="s">
        <v>83</v>
      </c>
      <c r="E58" s="31" t="s">
        <v>100</v>
      </c>
      <c r="F58" s="33" t="n">
        <v>35</v>
      </c>
      <c r="G58" s="31"/>
      <c r="H58" s="34" t="str">
        <f aca="false">IF($E58="","",IFERROR(INDEX(tblItems[Item Code],MATCH($E58,tblItems[Item Name],0)),"?"))</f>
        <v>EG-FG-MNG-18-02-01-01</v>
      </c>
      <c r="I58" s="34" t="str">
        <f aca="false">IF($A58="","",IF(COUNTIFS(tblShipment[Shipment No],$A58,tblShipment[Item Name],$E58)&gt;1,"Item listed twice",IF(COUNTIFS(tblShipment[Shipment No],$A58,tblShipment[Market],"&lt;&gt;"&amp;$B58)&gt;0,"Market differs on same shipment",IF(N($F58)&lt;=0,"Qty must be more than 0","OK"))))</f>
        <v>OK</v>
      </c>
    </row>
    <row r="59" customFormat="false" ht="15" hidden="false" customHeight="false" outlineLevel="0" collapsed="false">
      <c r="A59" s="31" t="s">
        <v>163</v>
      </c>
      <c r="B59" s="31" t="s">
        <v>75</v>
      </c>
      <c r="C59" s="32" t="n">
        <v>46239</v>
      </c>
      <c r="D59" s="31" t="s">
        <v>83</v>
      </c>
      <c r="E59" s="31" t="s">
        <v>117</v>
      </c>
      <c r="F59" s="33" t="n">
        <v>25</v>
      </c>
      <c r="G59" s="31"/>
      <c r="H59" s="34" t="str">
        <f aca="false">IF($E59="","",IFERROR(INDEX(tblItems[Item Code],MATCH($E59,tblItems[Item Name],0)),"?"))</f>
        <v>EG-FG-MNG-06-02-01-01</v>
      </c>
      <c r="I59" s="34" t="str">
        <f aca="false">IF($A59="","",IF(COUNTIFS(tblShipment[Shipment No],$A59,tblShipment[Item Name],$E59)&gt;1,"Item listed twice",IF(COUNTIFS(tblShipment[Shipment No],$A59,tblShipment[Market],"&lt;&gt;"&amp;$B59)&gt;0,"Market differs on same shipment",IF(N($F59)&lt;=0,"Qty must be more than 0","OK"))))</f>
        <v>OK</v>
      </c>
    </row>
    <row r="60" customFormat="false" ht="15" hidden="false" customHeight="false" outlineLevel="0" collapsed="false">
      <c r="A60" s="31" t="s">
        <v>163</v>
      </c>
      <c r="B60" s="31" t="s">
        <v>75</v>
      </c>
      <c r="C60" s="32" t="n">
        <v>46239</v>
      </c>
      <c r="D60" s="31" t="s">
        <v>83</v>
      </c>
      <c r="E60" s="31" t="s">
        <v>122</v>
      </c>
      <c r="F60" s="33" t="n">
        <v>20</v>
      </c>
      <c r="G60" s="31"/>
      <c r="H60" s="34" t="str">
        <f aca="false">IF($E60="","",IFERROR(INDEX(tblItems[Item Code],MATCH($E60,tblItems[Item Name],0)),"?"))</f>
        <v>EG-FG-GRP-01-02-01-01</v>
      </c>
      <c r="I60" s="34" t="str">
        <f aca="false">IF($A60="","",IF(COUNTIFS(tblShipment[Shipment No],$A60,tblShipment[Item Name],$E60)&gt;1,"Item listed twice",IF(COUNTIFS(tblShipment[Shipment No],$A60,tblShipment[Market],"&lt;&gt;"&amp;$B60)&gt;0,"Market differs on same shipment",IF(N($F60)&lt;=0,"Qty must be more than 0","OK"))))</f>
        <v>OK</v>
      </c>
    </row>
    <row r="61" customFormat="false" ht="15" hidden="false" customHeight="false" outlineLevel="0" collapsed="false">
      <c r="A61" s="31" t="s">
        <v>164</v>
      </c>
      <c r="B61" s="31" t="s">
        <v>75</v>
      </c>
      <c r="C61" s="32" t="n">
        <v>46242</v>
      </c>
      <c r="D61" s="31" t="s">
        <v>83</v>
      </c>
      <c r="E61" s="31" t="s">
        <v>100</v>
      </c>
      <c r="F61" s="33" t="n">
        <v>35</v>
      </c>
      <c r="G61" s="31"/>
      <c r="H61" s="34" t="str">
        <f aca="false">IF($E61="","",IFERROR(INDEX(tblItems[Item Code],MATCH($E61,tblItems[Item Name],0)),"?"))</f>
        <v>EG-FG-MNG-18-02-01-01</v>
      </c>
      <c r="I61" s="34" t="str">
        <f aca="false">IF($A61="","",IF(COUNTIFS(tblShipment[Shipment No],$A61,tblShipment[Item Name],$E61)&gt;1,"Item listed twice",IF(COUNTIFS(tblShipment[Shipment No],$A61,tblShipment[Market],"&lt;&gt;"&amp;$B61)&gt;0,"Market differs on same shipment",IF(N($F61)&lt;=0,"Qty must be more than 0","OK"))))</f>
        <v>OK</v>
      </c>
    </row>
    <row r="62" customFormat="false" ht="15" hidden="false" customHeight="false" outlineLevel="0" collapsed="false">
      <c r="A62" s="31" t="s">
        <v>164</v>
      </c>
      <c r="B62" s="31" t="s">
        <v>75</v>
      </c>
      <c r="C62" s="32" t="n">
        <v>46242</v>
      </c>
      <c r="D62" s="31" t="s">
        <v>83</v>
      </c>
      <c r="E62" s="31" t="s">
        <v>112</v>
      </c>
      <c r="F62" s="33" t="n">
        <v>35</v>
      </c>
      <c r="G62" s="31"/>
      <c r="H62" s="34" t="str">
        <f aca="false">IF($E62="","",IFERROR(INDEX(tblItems[Item Code],MATCH($E62,tblItems[Item Name],0)),"?"))</f>
        <v>BOX-TRIO-01</v>
      </c>
      <c r="I62" s="34" t="str">
        <f aca="false">IF($A62="","",IF(COUNTIFS(tblShipment[Shipment No],$A62,tblShipment[Item Name],$E62)&gt;1,"Item listed twice",IF(COUNTIFS(tblShipment[Shipment No],$A62,tblShipment[Market],"&lt;&gt;"&amp;$B62)&gt;0,"Market differs on same shipment",IF(N($F62)&lt;=0,"Qty must be more than 0","OK"))))</f>
        <v>OK</v>
      </c>
    </row>
    <row r="63" customFormat="false" ht="15" hidden="false" customHeight="false" outlineLevel="0" collapsed="false">
      <c r="A63" s="31" t="s">
        <v>164</v>
      </c>
      <c r="B63" s="31" t="s">
        <v>75</v>
      </c>
      <c r="C63" s="32" t="n">
        <v>46242</v>
      </c>
      <c r="D63" s="31" t="s">
        <v>83</v>
      </c>
      <c r="E63" s="31" t="s">
        <v>72</v>
      </c>
      <c r="F63" s="33" t="n">
        <v>145</v>
      </c>
      <c r="G63" s="31"/>
      <c r="H63" s="34" t="str">
        <f aca="false">IF($E63="","",IFERROR(INDEX(tblItems[Item Code],MATCH($E63,tblItems[Item Name],0)),"?"))</f>
        <v>EG-FG-MNG-05-02-01-01</v>
      </c>
      <c r="I63" s="34" t="str">
        <f aca="false">IF($A63="","",IF(COUNTIFS(tblShipment[Shipment No],$A63,tblShipment[Item Name],$E63)&gt;1,"Item listed twice",IF(COUNTIFS(tblShipment[Shipment No],$A63,tblShipment[Market],"&lt;&gt;"&amp;$B63)&gt;0,"Market differs on same shipment",IF(N($F63)&lt;=0,"Qty must be more than 0","OK"))))</f>
        <v>OK</v>
      </c>
    </row>
    <row r="64" customFormat="false" ht="15" hidden="false" customHeight="false" outlineLevel="0" collapsed="false">
      <c r="A64" s="31" t="s">
        <v>164</v>
      </c>
      <c r="B64" s="31" t="s">
        <v>75</v>
      </c>
      <c r="C64" s="32" t="n">
        <v>46242</v>
      </c>
      <c r="D64" s="31" t="s">
        <v>83</v>
      </c>
      <c r="E64" s="31" t="s">
        <v>137</v>
      </c>
      <c r="F64" s="33" t="n">
        <v>20</v>
      </c>
      <c r="G64" s="31"/>
      <c r="H64" s="34" t="str">
        <f aca="false">IF($E64="","",IFERROR(INDEX(tblItems[Item Code],MATCH($E64,tblItems[Item Name],0)),"?"))</f>
        <v>EG-FG-PER-01-02-01-01</v>
      </c>
      <c r="I64" s="34" t="str">
        <f aca="false">IF($A64="","",IF(COUNTIFS(tblShipment[Shipment No],$A64,tblShipment[Item Name],$E64)&gt;1,"Item listed twice",IF(COUNTIFS(tblShipment[Shipment No],$A64,tblShipment[Market],"&lt;&gt;"&amp;$B64)&gt;0,"Market differs on same shipment",IF(N($F64)&lt;=0,"Qty must be more than 0","OK"))))</f>
        <v>OK</v>
      </c>
    </row>
    <row r="65" customFormat="false" ht="15" hidden="false" customHeight="false" outlineLevel="0" collapsed="false">
      <c r="A65" s="31" t="s">
        <v>164</v>
      </c>
      <c r="B65" s="31" t="s">
        <v>75</v>
      </c>
      <c r="C65" s="32" t="n">
        <v>46242</v>
      </c>
      <c r="D65" s="31" t="s">
        <v>83</v>
      </c>
      <c r="E65" s="31" t="s">
        <v>95</v>
      </c>
      <c r="F65" s="33" t="n">
        <v>40</v>
      </c>
      <c r="G65" s="31"/>
      <c r="H65" s="34" t="str">
        <f aca="false">IF($E65="","",IFERROR(INDEX(tblItems[Item Code],MATCH($E65,tblItems[Item Name],0)),"?"))</f>
        <v>EG-FG-GUV-01-02-01-01</v>
      </c>
      <c r="I65" s="34" t="str">
        <f aca="false">IF($A65="","",IF(COUNTIFS(tblShipment[Shipment No],$A65,tblShipment[Item Name],$E65)&gt;1,"Item listed twice",IF(COUNTIFS(tblShipment[Shipment No],$A65,tblShipment[Market],"&lt;&gt;"&amp;$B65)&gt;0,"Market differs on same shipment",IF(N($F65)&lt;=0,"Qty must be more than 0","OK"))))</f>
        <v>OK</v>
      </c>
    </row>
    <row r="66" customFormat="false" ht="15" hidden="false" customHeight="false" outlineLevel="0" collapsed="false">
      <c r="A66" s="31" t="s">
        <v>164</v>
      </c>
      <c r="B66" s="31" t="s">
        <v>75</v>
      </c>
      <c r="C66" s="32" t="n">
        <v>46242</v>
      </c>
      <c r="D66" s="31" t="s">
        <v>83</v>
      </c>
      <c r="E66" s="31" t="s">
        <v>127</v>
      </c>
      <c r="F66" s="33" t="n">
        <v>20</v>
      </c>
      <c r="G66" s="31"/>
      <c r="H66" s="34" t="str">
        <f aca="false">IF($E66="","",IFERROR(INDEX(tblItems[Item Code],MATCH($E66,tblItems[Item Name],0)),"?"))</f>
        <v>EG-FG-GRP-03-02-01-01</v>
      </c>
      <c r="I66" s="34" t="str">
        <f aca="false">IF($A66="","",IF(COUNTIFS(tblShipment[Shipment No],$A66,tblShipment[Item Name],$E66)&gt;1,"Item listed twice",IF(COUNTIFS(tblShipment[Shipment No],$A66,tblShipment[Market],"&lt;&gt;"&amp;$B66)&gt;0,"Market differs on same shipment",IF(N($F66)&lt;=0,"Qty must be more than 0","OK"))))</f>
        <v>OK</v>
      </c>
    </row>
    <row r="67" customFormat="false" ht="15" hidden="false" customHeight="false" outlineLevel="0" collapsed="false">
      <c r="A67" s="31" t="s">
        <v>164</v>
      </c>
      <c r="B67" s="31" t="s">
        <v>75</v>
      </c>
      <c r="C67" s="32" t="n">
        <v>46242</v>
      </c>
      <c r="D67" s="31" t="s">
        <v>83</v>
      </c>
      <c r="E67" s="31" t="s">
        <v>148</v>
      </c>
      <c r="F67" s="33" t="n">
        <v>20</v>
      </c>
      <c r="G67" s="31"/>
      <c r="H67" s="34" t="str">
        <f aca="false">IF($E67="","",IFERROR(INDEX(tblItems[Item Code],MATCH($E67,tblItems[Item Name],0)),"?"))</f>
        <v>EG-FG-MNG-99-02-01-01</v>
      </c>
      <c r="I67" s="34" t="str">
        <f aca="false">IF($A67="","",IF(COUNTIFS(tblShipment[Shipment No],$A67,tblShipment[Item Name],$E67)&gt;1,"Item listed twice",IF(COUNTIFS(tblShipment[Shipment No],$A67,tblShipment[Market],"&lt;&gt;"&amp;$B67)&gt;0,"Market differs on same shipment",IF(N($F67)&lt;=0,"Qty must be more than 0","OK"))))</f>
        <v>OK</v>
      </c>
    </row>
    <row r="68" customFormat="false" ht="15" hidden="false" customHeight="false" outlineLevel="0" collapsed="false">
      <c r="A68" s="31" t="s">
        <v>164</v>
      </c>
      <c r="B68" s="31" t="s">
        <v>75</v>
      </c>
      <c r="C68" s="32" t="n">
        <v>46242</v>
      </c>
      <c r="D68" s="31" t="s">
        <v>83</v>
      </c>
      <c r="E68" s="31" t="s">
        <v>117</v>
      </c>
      <c r="F68" s="33" t="n">
        <v>20</v>
      </c>
      <c r="G68" s="31"/>
      <c r="H68" s="34" t="str">
        <f aca="false">IF($E68="","",IFERROR(INDEX(tblItems[Item Code],MATCH($E68,tblItems[Item Name],0)),"?"))</f>
        <v>EG-FG-MNG-06-02-01-01</v>
      </c>
      <c r="I68" s="34" t="str">
        <f aca="false">IF($A68="","",IF(COUNTIFS(tblShipment[Shipment No],$A68,tblShipment[Item Name],$E68)&gt;1,"Item listed twice",IF(COUNTIFS(tblShipment[Shipment No],$A68,tblShipment[Market],"&lt;&gt;"&amp;$B68)&gt;0,"Market differs on same shipment",IF(N($F68)&lt;=0,"Qty must be more than 0","OK"))))</f>
        <v>OK</v>
      </c>
    </row>
    <row r="69" customFormat="false" ht="15" hidden="false" customHeight="false" outlineLevel="0" collapsed="false">
      <c r="A69" s="31" t="s">
        <v>164</v>
      </c>
      <c r="B69" s="31" t="s">
        <v>75</v>
      </c>
      <c r="C69" s="32" t="n">
        <v>46242</v>
      </c>
      <c r="D69" s="31" t="s">
        <v>83</v>
      </c>
      <c r="E69" s="31" t="s">
        <v>84</v>
      </c>
      <c r="F69" s="33" t="n">
        <v>125</v>
      </c>
      <c r="G69" s="31"/>
      <c r="H69" s="34" t="str">
        <f aca="false">IF($E69="","",IFERROR(INDEX(tblItems[Item Code],MATCH($E69,tblItems[Item Name],0)),"?"))</f>
        <v>EG-FG-MNG-12-02-01-01</v>
      </c>
      <c r="I69" s="34" t="str">
        <f aca="false">IF($A69="","",IF(COUNTIFS(tblShipment[Shipment No],$A69,tblShipment[Item Name],$E69)&gt;1,"Item listed twice",IF(COUNTIFS(tblShipment[Shipment No],$A69,tblShipment[Market],"&lt;&gt;"&amp;$B69)&gt;0,"Market differs on same shipment",IF(N($F69)&lt;=0,"Qty must be more than 0","OK"))))</f>
        <v>OK</v>
      </c>
    </row>
    <row r="70" customFormat="false" ht="15" hidden="false" customHeight="false" outlineLevel="0" collapsed="false">
      <c r="A70" s="31" t="s">
        <v>164</v>
      </c>
      <c r="B70" s="31" t="s">
        <v>75</v>
      </c>
      <c r="C70" s="32" t="n">
        <v>46242</v>
      </c>
      <c r="D70" s="31" t="s">
        <v>83</v>
      </c>
      <c r="E70" s="31" t="s">
        <v>91</v>
      </c>
      <c r="F70" s="33" t="n">
        <v>60</v>
      </c>
      <c r="G70" s="31"/>
      <c r="H70" s="34" t="str">
        <f aca="false">IF($E70="","",IFERROR(INDEX(tblItems[Item Code],MATCH($E70,tblItems[Item Name],0)),"?"))</f>
        <v>EG-FG-FIG-01-02-01-01</v>
      </c>
      <c r="I70" s="34" t="str">
        <f aca="false">IF($A70="","",IF(COUNTIFS(tblShipment[Shipment No],$A70,tblShipment[Item Name],$E70)&gt;1,"Item listed twice",IF(COUNTIFS(tblShipment[Shipment No],$A70,tblShipment[Market],"&lt;&gt;"&amp;$B70)&gt;0,"Market differs on same shipment",IF(N($F70)&lt;=0,"Qty must be more than 0","OK"))))</f>
        <v>OK</v>
      </c>
    </row>
    <row r="71" customFormat="false" ht="15" hidden="false" customHeight="false" outlineLevel="0" collapsed="false">
      <c r="A71" s="31" t="s">
        <v>164</v>
      </c>
      <c r="B71" s="31" t="s">
        <v>75</v>
      </c>
      <c r="C71" s="32" t="n">
        <v>46242</v>
      </c>
      <c r="D71" s="31" t="s">
        <v>83</v>
      </c>
      <c r="E71" s="31" t="s">
        <v>122</v>
      </c>
      <c r="F71" s="33" t="n">
        <v>20</v>
      </c>
      <c r="G71" s="31"/>
      <c r="H71" s="34" t="str">
        <f aca="false">IF($E71="","",IFERROR(INDEX(tblItems[Item Code],MATCH($E71,tblItems[Item Name],0)),"?"))</f>
        <v>EG-FG-GRP-01-02-01-01</v>
      </c>
      <c r="I71" s="34" t="str">
        <f aca="false">IF($A71="","",IF(COUNTIFS(tblShipment[Shipment No],$A71,tblShipment[Item Name],$E71)&gt;1,"Item listed twice",IF(COUNTIFS(tblShipment[Shipment No],$A71,tblShipment[Market],"&lt;&gt;"&amp;$B71)&gt;0,"Market differs on same shipment",IF(N($F71)&lt;=0,"Qty must be more than 0","OK"))))</f>
        <v>OK</v>
      </c>
    </row>
    <row r="72" customFormat="false" ht="15" hidden="false" customHeight="false" outlineLevel="0" collapsed="false">
      <c r="A72" s="31" t="s">
        <v>165</v>
      </c>
      <c r="B72" s="31" t="s">
        <v>75</v>
      </c>
      <c r="C72" s="32" t="n">
        <v>46245</v>
      </c>
      <c r="D72" s="31" t="s">
        <v>83</v>
      </c>
      <c r="E72" s="31" t="s">
        <v>84</v>
      </c>
      <c r="F72" s="33" t="n">
        <v>100</v>
      </c>
      <c r="G72" s="31"/>
      <c r="H72" s="34" t="str">
        <f aca="false">IF($E72="","",IFERROR(INDEX(tblItems[Item Code],MATCH($E72,tblItems[Item Name],0)),"?"))</f>
        <v>EG-FG-MNG-12-02-01-01</v>
      </c>
      <c r="I72" s="34" t="str">
        <f aca="false">IF($A72="","",IF(COUNTIFS(tblShipment[Shipment No],$A72,tblShipment[Item Name],$E72)&gt;1,"Item listed twice",IF(COUNTIFS(tblShipment[Shipment No],$A72,tblShipment[Market],"&lt;&gt;"&amp;$B72)&gt;0,"Market differs on same shipment",IF(N($F72)&lt;=0,"Qty must be more than 0","OK"))))</f>
        <v>OK</v>
      </c>
    </row>
    <row r="73" customFormat="false" ht="15" hidden="false" customHeight="false" outlineLevel="0" collapsed="false">
      <c r="A73" s="31" t="s">
        <v>165</v>
      </c>
      <c r="B73" s="31" t="s">
        <v>75</v>
      </c>
      <c r="C73" s="32" t="n">
        <v>46245</v>
      </c>
      <c r="D73" s="31" t="s">
        <v>83</v>
      </c>
      <c r="E73" s="31" t="s">
        <v>100</v>
      </c>
      <c r="F73" s="33" t="n">
        <v>25</v>
      </c>
      <c r="G73" s="31"/>
      <c r="H73" s="34" t="str">
        <f aca="false">IF($E73="","",IFERROR(INDEX(tblItems[Item Code],MATCH($E73,tblItems[Item Name],0)),"?"))</f>
        <v>EG-FG-MNG-18-02-01-01</v>
      </c>
      <c r="I73" s="34" t="str">
        <f aca="false">IF($A73="","",IF(COUNTIFS(tblShipment[Shipment No],$A73,tblShipment[Item Name],$E73)&gt;1,"Item listed twice",IF(COUNTIFS(tblShipment[Shipment No],$A73,tblShipment[Market],"&lt;&gt;"&amp;$B73)&gt;0,"Market differs on same shipment",IF(N($F73)&lt;=0,"Qty must be more than 0","OK"))))</f>
        <v>OK</v>
      </c>
    </row>
    <row r="74" customFormat="false" ht="15" hidden="false" customHeight="false" outlineLevel="0" collapsed="false">
      <c r="A74" s="31" t="s">
        <v>165</v>
      </c>
      <c r="B74" s="31" t="s">
        <v>75</v>
      </c>
      <c r="C74" s="32" t="n">
        <v>46245</v>
      </c>
      <c r="D74" s="31" t="s">
        <v>83</v>
      </c>
      <c r="E74" s="31" t="s">
        <v>95</v>
      </c>
      <c r="F74" s="33" t="n">
        <v>45</v>
      </c>
      <c r="G74" s="31"/>
      <c r="H74" s="34" t="str">
        <f aca="false">IF($E74="","",IFERROR(INDEX(tblItems[Item Code],MATCH($E74,tblItems[Item Name],0)),"?"))</f>
        <v>EG-FG-GUV-01-02-01-01</v>
      </c>
      <c r="I74" s="34" t="str">
        <f aca="false">IF($A74="","",IF(COUNTIFS(tblShipment[Shipment No],$A74,tblShipment[Item Name],$E74)&gt;1,"Item listed twice",IF(COUNTIFS(tblShipment[Shipment No],$A74,tblShipment[Market],"&lt;&gt;"&amp;$B74)&gt;0,"Market differs on same shipment",IF(N($F74)&lt;=0,"Qty must be more than 0","OK"))))</f>
        <v>OK</v>
      </c>
    </row>
    <row r="75" customFormat="false" ht="15" hidden="false" customHeight="false" outlineLevel="0" collapsed="false">
      <c r="A75" s="31" t="s">
        <v>165</v>
      </c>
      <c r="B75" s="31" t="s">
        <v>75</v>
      </c>
      <c r="C75" s="32" t="n">
        <v>46245</v>
      </c>
      <c r="D75" s="31" t="s">
        <v>90</v>
      </c>
      <c r="E75" s="31" t="s">
        <v>106</v>
      </c>
      <c r="F75" s="33" t="n">
        <v>30</v>
      </c>
      <c r="G75" s="31"/>
      <c r="H75" s="34" t="str">
        <f aca="false">IF($E75="","",IFERROR(INDEX(tblItems[Item Code],MATCH($E75,tblItems[Item Name],0)),"?"))</f>
        <v>EG-FG-DAT-01-02-01-01</v>
      </c>
      <c r="I75" s="34" t="str">
        <f aca="false">IF($A75="","",IF(COUNTIFS(tblShipment[Shipment No],$A75,tblShipment[Item Name],$E75)&gt;1,"Item listed twice",IF(COUNTIFS(tblShipment[Shipment No],$A75,tblShipment[Market],"&lt;&gt;"&amp;$B75)&gt;0,"Market differs on same shipment",IF(N($F75)&lt;=0,"Qty must be more than 0","OK"))))</f>
        <v>OK</v>
      </c>
    </row>
    <row r="76" customFormat="false" ht="15" hidden="false" customHeight="false" outlineLevel="0" collapsed="false">
      <c r="A76" s="31" t="s">
        <v>165</v>
      </c>
      <c r="B76" s="31" t="s">
        <v>75</v>
      </c>
      <c r="C76" s="32" t="n">
        <v>46245</v>
      </c>
      <c r="D76" s="31" t="s">
        <v>83</v>
      </c>
      <c r="E76" s="31" t="s">
        <v>127</v>
      </c>
      <c r="F76" s="33" t="n">
        <v>20</v>
      </c>
      <c r="G76" s="31"/>
      <c r="H76" s="34" t="str">
        <f aca="false">IF($E76="","",IFERROR(INDEX(tblItems[Item Code],MATCH($E76,tblItems[Item Name],0)),"?"))</f>
        <v>EG-FG-GRP-03-02-01-01</v>
      </c>
      <c r="I76" s="34" t="str">
        <f aca="false">IF($A76="","",IF(COUNTIFS(tblShipment[Shipment No],$A76,tblShipment[Item Name],$E76)&gt;1,"Item listed twice",IF(COUNTIFS(tblShipment[Shipment No],$A76,tblShipment[Market],"&lt;&gt;"&amp;$B76)&gt;0,"Market differs on same shipment",IF(N($F76)&lt;=0,"Qty must be more than 0","OK"))))</f>
        <v>OK</v>
      </c>
    </row>
    <row r="77" customFormat="false" ht="15" hidden="false" customHeight="false" outlineLevel="0" collapsed="false">
      <c r="A77" s="31" t="s">
        <v>165</v>
      </c>
      <c r="B77" s="31" t="s">
        <v>75</v>
      </c>
      <c r="C77" s="32" t="n">
        <v>46245</v>
      </c>
      <c r="D77" s="31" t="s">
        <v>83</v>
      </c>
      <c r="E77" s="31" t="s">
        <v>112</v>
      </c>
      <c r="F77" s="33" t="n">
        <v>35</v>
      </c>
      <c r="G77" s="31"/>
      <c r="H77" s="34" t="str">
        <f aca="false">IF($E77="","",IFERROR(INDEX(tblItems[Item Code],MATCH($E77,tblItems[Item Name],0)),"?"))</f>
        <v>BOX-TRIO-01</v>
      </c>
      <c r="I77" s="34" t="str">
        <f aca="false">IF($A77="","",IF(COUNTIFS(tblShipment[Shipment No],$A77,tblShipment[Item Name],$E77)&gt;1,"Item listed twice",IF(COUNTIFS(tblShipment[Shipment No],$A77,tblShipment[Market],"&lt;&gt;"&amp;$B77)&gt;0,"Market differs on same shipment",IF(N($F77)&lt;=0,"Qty must be more than 0","OK"))))</f>
        <v>OK</v>
      </c>
    </row>
    <row r="78" customFormat="false" ht="15" hidden="false" customHeight="false" outlineLevel="0" collapsed="false">
      <c r="A78" s="31" t="s">
        <v>165</v>
      </c>
      <c r="B78" s="31" t="s">
        <v>75</v>
      </c>
      <c r="C78" s="32" t="n">
        <v>46245</v>
      </c>
      <c r="D78" s="31" t="s">
        <v>83</v>
      </c>
      <c r="E78" s="31" t="s">
        <v>117</v>
      </c>
      <c r="F78" s="33" t="n">
        <v>25</v>
      </c>
      <c r="G78" s="31"/>
      <c r="H78" s="34" t="str">
        <f aca="false">IF($E78="","",IFERROR(INDEX(tblItems[Item Code],MATCH($E78,tblItems[Item Name],0)),"?"))</f>
        <v>EG-FG-MNG-06-02-01-01</v>
      </c>
      <c r="I78" s="34" t="str">
        <f aca="false">IF($A78="","",IF(COUNTIFS(tblShipment[Shipment No],$A78,tblShipment[Item Name],$E78)&gt;1,"Item listed twice",IF(COUNTIFS(tblShipment[Shipment No],$A78,tblShipment[Market],"&lt;&gt;"&amp;$B78)&gt;0,"Market differs on same shipment",IF(N($F78)&lt;=0,"Qty must be more than 0","OK"))))</f>
        <v>OK</v>
      </c>
    </row>
    <row r="79" customFormat="false" ht="15" hidden="false" customHeight="false" outlineLevel="0" collapsed="false">
      <c r="A79" s="31" t="s">
        <v>165</v>
      </c>
      <c r="B79" s="31" t="s">
        <v>75</v>
      </c>
      <c r="C79" s="32" t="n">
        <v>46245</v>
      </c>
      <c r="D79" s="31" t="s">
        <v>83</v>
      </c>
      <c r="E79" s="31" t="s">
        <v>137</v>
      </c>
      <c r="F79" s="33" t="n">
        <v>20</v>
      </c>
      <c r="G79" s="31"/>
      <c r="H79" s="34" t="str">
        <f aca="false">IF($E79="","",IFERROR(INDEX(tblItems[Item Code],MATCH($E79,tblItems[Item Name],0)),"?"))</f>
        <v>EG-FG-PER-01-02-01-01</v>
      </c>
      <c r="I79" s="34" t="str">
        <f aca="false">IF($A79="","",IF(COUNTIFS(tblShipment[Shipment No],$A79,tblShipment[Item Name],$E79)&gt;1,"Item listed twice",IF(COUNTIFS(tblShipment[Shipment No],$A79,tblShipment[Market],"&lt;&gt;"&amp;$B79)&gt;0,"Market differs on same shipment",IF(N($F79)&lt;=0,"Qty must be more than 0","OK"))))</f>
        <v>OK</v>
      </c>
    </row>
    <row r="80" customFormat="false" ht="15" hidden="false" customHeight="false" outlineLevel="0" collapsed="false">
      <c r="A80" s="31" t="s">
        <v>165</v>
      </c>
      <c r="B80" s="31" t="s">
        <v>75</v>
      </c>
      <c r="C80" s="32" t="n">
        <v>46245</v>
      </c>
      <c r="D80" s="31" t="s">
        <v>83</v>
      </c>
      <c r="E80" s="31" t="s">
        <v>72</v>
      </c>
      <c r="F80" s="33" t="n">
        <v>90</v>
      </c>
      <c r="G80" s="31"/>
      <c r="H80" s="34" t="str">
        <f aca="false">IF($E80="","",IFERROR(INDEX(tblItems[Item Code],MATCH($E80,tblItems[Item Name],0)),"?"))</f>
        <v>EG-FG-MNG-05-02-01-01</v>
      </c>
      <c r="I80" s="34" t="str">
        <f aca="false">IF($A80="","",IF(COUNTIFS(tblShipment[Shipment No],$A80,tblShipment[Item Name],$E80)&gt;1,"Item listed twice",IF(COUNTIFS(tblShipment[Shipment No],$A80,tblShipment[Market],"&lt;&gt;"&amp;$B80)&gt;0,"Market differs on same shipment",IF(N($F80)&lt;=0,"Qty must be more than 0","OK"))))</f>
        <v>OK</v>
      </c>
    </row>
    <row r="81" customFormat="false" ht="15" hidden="false" customHeight="false" outlineLevel="0" collapsed="false">
      <c r="A81" s="31" t="s">
        <v>165</v>
      </c>
      <c r="B81" s="31" t="s">
        <v>75</v>
      </c>
      <c r="C81" s="32" t="n">
        <v>46245</v>
      </c>
      <c r="D81" s="31" t="s">
        <v>83</v>
      </c>
      <c r="E81" s="31" t="s">
        <v>122</v>
      </c>
      <c r="F81" s="33" t="n">
        <v>25</v>
      </c>
      <c r="G81" s="31"/>
      <c r="H81" s="34" t="str">
        <f aca="false">IF($E81="","",IFERROR(INDEX(tblItems[Item Code],MATCH($E81,tblItems[Item Name],0)),"?"))</f>
        <v>EG-FG-GRP-01-02-01-01</v>
      </c>
      <c r="I81" s="34" t="str">
        <f aca="false">IF($A81="","",IF(COUNTIFS(tblShipment[Shipment No],$A81,tblShipment[Item Name],$E81)&gt;1,"Item listed twice",IF(COUNTIFS(tblShipment[Shipment No],$A81,tblShipment[Market],"&lt;&gt;"&amp;$B81)&gt;0,"Market differs on same shipment",IF(N($F81)&lt;=0,"Qty must be more than 0","OK"))))</f>
        <v>OK</v>
      </c>
    </row>
    <row r="82" customFormat="false" ht="15" hidden="false" customHeight="false" outlineLevel="0" collapsed="false">
      <c r="A82" s="31" t="s">
        <v>166</v>
      </c>
      <c r="B82" s="31" t="s">
        <v>75</v>
      </c>
      <c r="C82" s="32" t="n">
        <v>46247</v>
      </c>
      <c r="D82" s="31" t="s">
        <v>83</v>
      </c>
      <c r="E82" s="31" t="s">
        <v>72</v>
      </c>
      <c r="F82" s="33" t="n">
        <v>100</v>
      </c>
      <c r="G82" s="31"/>
      <c r="H82" s="34" t="str">
        <f aca="false">IF($E82="","",IFERROR(INDEX(tblItems[Item Code],MATCH($E82,tblItems[Item Name],0)),"?"))</f>
        <v>EG-FG-MNG-05-02-01-01</v>
      </c>
      <c r="I82" s="34" t="str">
        <f aca="false">IF($A82="","",IF(COUNTIFS(tblShipment[Shipment No],$A82,tblShipment[Item Name],$E82)&gt;1,"Item listed twice",IF(COUNTIFS(tblShipment[Shipment No],$A82,tblShipment[Market],"&lt;&gt;"&amp;$B82)&gt;0,"Market differs on same shipment",IF(N($F82)&lt;=0,"Qty must be more than 0","OK"))))</f>
        <v>OK</v>
      </c>
    </row>
    <row r="83" customFormat="false" ht="15" hidden="false" customHeight="false" outlineLevel="0" collapsed="false">
      <c r="A83" s="31" t="s">
        <v>166</v>
      </c>
      <c r="B83" s="31" t="s">
        <v>75</v>
      </c>
      <c r="C83" s="32" t="n">
        <v>46247</v>
      </c>
      <c r="D83" s="31" t="s">
        <v>83</v>
      </c>
      <c r="E83" s="31" t="s">
        <v>117</v>
      </c>
      <c r="F83" s="33" t="n">
        <v>20</v>
      </c>
      <c r="G83" s="31"/>
      <c r="H83" s="34" t="str">
        <f aca="false">IF($E83="","",IFERROR(INDEX(tblItems[Item Code],MATCH($E83,tblItems[Item Name],0)),"?"))</f>
        <v>EG-FG-MNG-06-02-01-01</v>
      </c>
      <c r="I83" s="34" t="str">
        <f aca="false">IF($A83="","",IF(COUNTIFS(tblShipment[Shipment No],$A83,tblShipment[Item Name],$E83)&gt;1,"Item listed twice",IF(COUNTIFS(tblShipment[Shipment No],$A83,tblShipment[Market],"&lt;&gt;"&amp;$B83)&gt;0,"Market differs on same shipment",IF(N($F83)&lt;=0,"Qty must be more than 0","OK"))))</f>
        <v>OK</v>
      </c>
    </row>
    <row r="84" customFormat="false" ht="15" hidden="false" customHeight="false" outlineLevel="0" collapsed="false">
      <c r="A84" s="31" t="s">
        <v>166</v>
      </c>
      <c r="B84" s="31" t="s">
        <v>75</v>
      </c>
      <c r="C84" s="32" t="n">
        <v>46247</v>
      </c>
      <c r="D84" s="31" t="s">
        <v>83</v>
      </c>
      <c r="E84" s="31" t="s">
        <v>84</v>
      </c>
      <c r="F84" s="33" t="n">
        <v>115</v>
      </c>
      <c r="G84" s="31"/>
      <c r="H84" s="34" t="str">
        <f aca="false">IF($E84="","",IFERROR(INDEX(tblItems[Item Code],MATCH($E84,tblItems[Item Name],0)),"?"))</f>
        <v>EG-FG-MNG-12-02-01-01</v>
      </c>
      <c r="I84" s="34" t="str">
        <f aca="false">IF($A84="","",IF(COUNTIFS(tblShipment[Shipment No],$A84,tblShipment[Item Name],$E84)&gt;1,"Item listed twice",IF(COUNTIFS(tblShipment[Shipment No],$A84,tblShipment[Market],"&lt;&gt;"&amp;$B84)&gt;0,"Market differs on same shipment",IF(N($F84)&lt;=0,"Qty must be more than 0","OK"))))</f>
        <v>OK</v>
      </c>
    </row>
    <row r="85" customFormat="false" ht="15" hidden="false" customHeight="false" outlineLevel="0" collapsed="false">
      <c r="A85" s="31" t="s">
        <v>166</v>
      </c>
      <c r="B85" s="31" t="s">
        <v>75</v>
      </c>
      <c r="C85" s="32" t="n">
        <v>46247</v>
      </c>
      <c r="D85" s="31" t="s">
        <v>83</v>
      </c>
      <c r="E85" s="31" t="s">
        <v>100</v>
      </c>
      <c r="F85" s="33" t="n">
        <v>35</v>
      </c>
      <c r="G85" s="31"/>
      <c r="H85" s="34" t="str">
        <f aca="false">IF($E85="","",IFERROR(INDEX(tblItems[Item Code],MATCH($E85,tblItems[Item Name],0)),"?"))</f>
        <v>EG-FG-MNG-18-02-01-01</v>
      </c>
      <c r="I85" s="34" t="str">
        <f aca="false">IF($A85="","",IF(COUNTIFS(tblShipment[Shipment No],$A85,tblShipment[Item Name],$E85)&gt;1,"Item listed twice",IF(COUNTIFS(tblShipment[Shipment No],$A85,tblShipment[Market],"&lt;&gt;"&amp;$B85)&gt;0,"Market differs on same shipment",IF(N($F85)&lt;=0,"Qty must be more than 0","OK"))))</f>
        <v>OK</v>
      </c>
    </row>
    <row r="86" customFormat="false" ht="15" hidden="false" customHeight="false" outlineLevel="0" collapsed="false">
      <c r="A86" s="31" t="s">
        <v>166</v>
      </c>
      <c r="B86" s="31" t="s">
        <v>75</v>
      </c>
      <c r="C86" s="32" t="n">
        <v>46247</v>
      </c>
      <c r="D86" s="31" t="s">
        <v>83</v>
      </c>
      <c r="E86" s="31" t="s">
        <v>122</v>
      </c>
      <c r="F86" s="33" t="n">
        <v>25</v>
      </c>
      <c r="G86" s="31"/>
      <c r="H86" s="34" t="str">
        <f aca="false">IF($E86="","",IFERROR(INDEX(tblItems[Item Code],MATCH($E86,tblItems[Item Name],0)),"?"))</f>
        <v>EG-FG-GRP-01-02-01-01</v>
      </c>
      <c r="I86" s="34" t="str">
        <f aca="false">IF($A86="","",IF(COUNTIFS(tblShipment[Shipment No],$A86,tblShipment[Item Name],$E86)&gt;1,"Item listed twice",IF(COUNTIFS(tblShipment[Shipment No],$A86,tblShipment[Market],"&lt;&gt;"&amp;$B86)&gt;0,"Market differs on same shipment",IF(N($F86)&lt;=0,"Qty must be more than 0","OK"))))</f>
        <v>OK</v>
      </c>
    </row>
    <row r="87" customFormat="false" ht="15" hidden="false" customHeight="false" outlineLevel="0" collapsed="false">
      <c r="A87" s="31" t="s">
        <v>166</v>
      </c>
      <c r="B87" s="31" t="s">
        <v>75</v>
      </c>
      <c r="C87" s="32" t="n">
        <v>46247</v>
      </c>
      <c r="D87" s="31" t="s">
        <v>83</v>
      </c>
      <c r="E87" s="31" t="s">
        <v>95</v>
      </c>
      <c r="F87" s="33" t="n">
        <v>45</v>
      </c>
      <c r="G87" s="31"/>
      <c r="H87" s="34" t="str">
        <f aca="false">IF($E87="","",IFERROR(INDEX(tblItems[Item Code],MATCH($E87,tblItems[Item Name],0)),"?"))</f>
        <v>EG-FG-GUV-01-02-01-01</v>
      </c>
      <c r="I87" s="34" t="str">
        <f aca="false">IF($A87="","",IF(COUNTIFS(tblShipment[Shipment No],$A87,tblShipment[Item Name],$E87)&gt;1,"Item listed twice",IF(COUNTIFS(tblShipment[Shipment No],$A87,tblShipment[Market],"&lt;&gt;"&amp;$B87)&gt;0,"Market differs on same shipment",IF(N($F87)&lt;=0,"Qty must be more than 0","OK"))))</f>
        <v>OK</v>
      </c>
    </row>
    <row r="88" customFormat="false" ht="15" hidden="false" customHeight="false" outlineLevel="0" collapsed="false">
      <c r="A88" s="31" t="s">
        <v>166</v>
      </c>
      <c r="B88" s="31" t="s">
        <v>75</v>
      </c>
      <c r="C88" s="32" t="n">
        <v>46247</v>
      </c>
      <c r="D88" s="31" t="s">
        <v>83</v>
      </c>
      <c r="E88" s="31" t="s">
        <v>91</v>
      </c>
      <c r="F88" s="33" t="n">
        <v>65</v>
      </c>
      <c r="G88" s="31"/>
      <c r="H88" s="34" t="str">
        <f aca="false">IF($E88="","",IFERROR(INDEX(tblItems[Item Code],MATCH($E88,tblItems[Item Name],0)),"?"))</f>
        <v>EG-FG-FIG-01-02-01-01</v>
      </c>
      <c r="I88" s="34" t="str">
        <f aca="false">IF($A88="","",IF(COUNTIFS(tblShipment[Shipment No],$A88,tblShipment[Item Name],$E88)&gt;1,"Item listed twice",IF(COUNTIFS(tblShipment[Shipment No],$A88,tblShipment[Market],"&lt;&gt;"&amp;$B88)&gt;0,"Market differs on same shipment",IF(N($F88)&lt;=0,"Qty must be more than 0","OK"))))</f>
        <v>OK</v>
      </c>
    </row>
    <row r="89" customFormat="false" ht="15" hidden="false" customHeight="false" outlineLevel="0" collapsed="false">
      <c r="A89" s="31" t="s">
        <v>166</v>
      </c>
      <c r="B89" s="31" t="s">
        <v>75</v>
      </c>
      <c r="C89" s="32" t="n">
        <v>46247</v>
      </c>
      <c r="D89" s="31" t="s">
        <v>83</v>
      </c>
      <c r="E89" s="31" t="s">
        <v>112</v>
      </c>
      <c r="F89" s="33" t="n">
        <v>35</v>
      </c>
      <c r="G89" s="31"/>
      <c r="H89" s="34" t="str">
        <f aca="false">IF($E89="","",IFERROR(INDEX(tblItems[Item Code],MATCH($E89,tblItems[Item Name],0)),"?"))</f>
        <v>BOX-TRIO-01</v>
      </c>
      <c r="I89" s="34" t="str">
        <f aca="false">IF($A89="","",IF(COUNTIFS(tblShipment[Shipment No],$A89,tblShipment[Item Name],$E89)&gt;1,"Item listed twice",IF(COUNTIFS(tblShipment[Shipment No],$A89,tblShipment[Market],"&lt;&gt;"&amp;$B89)&gt;0,"Market differs on same shipment",IF(N($F89)&lt;=0,"Qty must be more than 0","OK"))))</f>
        <v>OK</v>
      </c>
    </row>
    <row r="90" customFormat="false" ht="15" hidden="false" customHeight="false" outlineLevel="0" collapsed="false">
      <c r="A90" s="31" t="s">
        <v>166</v>
      </c>
      <c r="B90" s="31" t="s">
        <v>75</v>
      </c>
      <c r="C90" s="32" t="n">
        <v>46247</v>
      </c>
      <c r="D90" s="31" t="s">
        <v>90</v>
      </c>
      <c r="E90" s="31" t="s">
        <v>106</v>
      </c>
      <c r="F90" s="33" t="n">
        <v>35</v>
      </c>
      <c r="G90" s="31"/>
      <c r="H90" s="34" t="str">
        <f aca="false">IF($E90="","",IFERROR(INDEX(tblItems[Item Code],MATCH($E90,tblItems[Item Name],0)),"?"))</f>
        <v>EG-FG-DAT-01-02-01-01</v>
      </c>
      <c r="I90" s="34" t="str">
        <f aca="false">IF($A90="","",IF(COUNTIFS(tblShipment[Shipment No],$A90,tblShipment[Item Name],$E90)&gt;1,"Item listed twice",IF(COUNTIFS(tblShipment[Shipment No],$A90,tblShipment[Market],"&lt;&gt;"&amp;$B90)&gt;0,"Market differs on same shipment",IF(N($F90)&lt;=0,"Qty must be more than 0","OK"))))</f>
        <v>OK</v>
      </c>
    </row>
    <row r="91" customFormat="false" ht="15" hidden="false" customHeight="false" outlineLevel="0" collapsed="false">
      <c r="A91" s="31" t="s">
        <v>167</v>
      </c>
      <c r="B91" s="31" t="s">
        <v>75</v>
      </c>
      <c r="C91" s="32" t="n">
        <v>46250</v>
      </c>
      <c r="D91" s="31" t="s">
        <v>83</v>
      </c>
      <c r="E91" s="31" t="s">
        <v>112</v>
      </c>
      <c r="F91" s="33" t="n">
        <v>25</v>
      </c>
      <c r="G91" s="31"/>
      <c r="H91" s="34" t="str">
        <f aca="false">IF($E91="","",IFERROR(INDEX(tblItems[Item Code],MATCH($E91,tblItems[Item Name],0)),"?"))</f>
        <v>BOX-TRIO-01</v>
      </c>
      <c r="I91" s="34" t="str">
        <f aca="false">IF($A91="","",IF(COUNTIFS(tblShipment[Shipment No],$A91,tblShipment[Item Name],$E91)&gt;1,"Item listed twice",IF(COUNTIFS(tblShipment[Shipment No],$A91,tblShipment[Market],"&lt;&gt;"&amp;$B91)&gt;0,"Market differs on same shipment",IF(N($F91)&lt;=0,"Qty must be more than 0","OK"))))</f>
        <v>OK</v>
      </c>
    </row>
    <row r="92" customFormat="false" ht="15" hidden="false" customHeight="false" outlineLevel="0" collapsed="false">
      <c r="A92" s="31" t="s">
        <v>167</v>
      </c>
      <c r="B92" s="31" t="s">
        <v>75</v>
      </c>
      <c r="C92" s="32" t="n">
        <v>46250</v>
      </c>
      <c r="D92" s="31" t="s">
        <v>83</v>
      </c>
      <c r="E92" s="31" t="s">
        <v>122</v>
      </c>
      <c r="F92" s="33" t="n">
        <v>20</v>
      </c>
      <c r="G92" s="31"/>
      <c r="H92" s="34" t="str">
        <f aca="false">IF($E92="","",IFERROR(INDEX(tblItems[Item Code],MATCH($E92,tblItems[Item Name],0)),"?"))</f>
        <v>EG-FG-GRP-01-02-01-01</v>
      </c>
      <c r="I92" s="34" t="str">
        <f aca="false">IF($A92="","",IF(COUNTIFS(tblShipment[Shipment No],$A92,tblShipment[Item Name],$E92)&gt;1,"Item listed twice",IF(COUNTIFS(tblShipment[Shipment No],$A92,tblShipment[Market],"&lt;&gt;"&amp;$B92)&gt;0,"Market differs on same shipment",IF(N($F92)&lt;=0,"Qty must be more than 0","OK"))))</f>
        <v>OK</v>
      </c>
    </row>
    <row r="93" customFormat="false" ht="15" hidden="false" customHeight="false" outlineLevel="0" collapsed="false">
      <c r="A93" s="31" t="s">
        <v>167</v>
      </c>
      <c r="B93" s="31" t="s">
        <v>75</v>
      </c>
      <c r="C93" s="32" t="n">
        <v>46250</v>
      </c>
      <c r="D93" s="31" t="s">
        <v>83</v>
      </c>
      <c r="E93" s="31" t="s">
        <v>91</v>
      </c>
      <c r="F93" s="33" t="n">
        <v>80</v>
      </c>
      <c r="G93" s="31"/>
      <c r="H93" s="34" t="str">
        <f aca="false">IF($E93="","",IFERROR(INDEX(tblItems[Item Code],MATCH($E93,tblItems[Item Name],0)),"?"))</f>
        <v>EG-FG-FIG-01-02-01-01</v>
      </c>
      <c r="I93" s="34" t="str">
        <f aca="false">IF($A93="","",IF(COUNTIFS(tblShipment[Shipment No],$A93,tblShipment[Item Name],$E93)&gt;1,"Item listed twice",IF(COUNTIFS(tblShipment[Shipment No],$A93,tblShipment[Market],"&lt;&gt;"&amp;$B93)&gt;0,"Market differs on same shipment",IF(N($F93)&lt;=0,"Qty must be more than 0","OK"))))</f>
        <v>OK</v>
      </c>
    </row>
    <row r="94" customFormat="false" ht="15" hidden="false" customHeight="false" outlineLevel="0" collapsed="false">
      <c r="A94" s="31" t="s">
        <v>167</v>
      </c>
      <c r="B94" s="31" t="s">
        <v>75</v>
      </c>
      <c r="C94" s="32" t="n">
        <v>46250</v>
      </c>
      <c r="D94" s="31" t="s">
        <v>83</v>
      </c>
      <c r="E94" s="31" t="s">
        <v>72</v>
      </c>
      <c r="F94" s="33" t="n">
        <v>100</v>
      </c>
      <c r="G94" s="31"/>
      <c r="H94" s="34" t="str">
        <f aca="false">IF($E94="","",IFERROR(INDEX(tblItems[Item Code],MATCH($E94,tblItems[Item Name],0)),"?"))</f>
        <v>EG-FG-MNG-05-02-01-01</v>
      </c>
      <c r="I94" s="34" t="str">
        <f aca="false">IF($A94="","",IF(COUNTIFS(tblShipment[Shipment No],$A94,tblShipment[Item Name],$E94)&gt;1,"Item listed twice",IF(COUNTIFS(tblShipment[Shipment No],$A94,tblShipment[Market],"&lt;&gt;"&amp;$B94)&gt;0,"Market differs on same shipment",IF(N($F94)&lt;=0,"Qty must be more than 0","OK"))))</f>
        <v>OK</v>
      </c>
    </row>
    <row r="95" customFormat="false" ht="15" hidden="false" customHeight="false" outlineLevel="0" collapsed="false">
      <c r="A95" s="31" t="s">
        <v>167</v>
      </c>
      <c r="B95" s="31" t="s">
        <v>75</v>
      </c>
      <c r="C95" s="32" t="n">
        <v>46250</v>
      </c>
      <c r="D95" s="31" t="s">
        <v>83</v>
      </c>
      <c r="E95" s="31" t="s">
        <v>146</v>
      </c>
      <c r="F95" s="33" t="n">
        <v>20</v>
      </c>
      <c r="G95" s="31"/>
      <c r="H95" s="34" t="str">
        <f aca="false">IF($E95="","",IFERROR(INDEX(tblItems[Item Code],MATCH($E95,tblItems[Item Name],0)),"?"))</f>
        <v>EG-FG-MNG-19-02-01-01</v>
      </c>
      <c r="I95" s="34" t="str">
        <f aca="false">IF($A95="","",IF(COUNTIFS(tblShipment[Shipment No],$A95,tblShipment[Item Name],$E95)&gt;1,"Item listed twice",IF(COUNTIFS(tblShipment[Shipment No],$A95,tblShipment[Market],"&lt;&gt;"&amp;$B95)&gt;0,"Market differs on same shipment",IF(N($F95)&lt;=0,"Qty must be more than 0","OK"))))</f>
        <v>OK</v>
      </c>
    </row>
    <row r="96" customFormat="false" ht="15" hidden="false" customHeight="false" outlineLevel="0" collapsed="false">
      <c r="A96" s="31" t="s">
        <v>167</v>
      </c>
      <c r="B96" s="31" t="s">
        <v>75</v>
      </c>
      <c r="C96" s="32" t="n">
        <v>46250</v>
      </c>
      <c r="D96" s="31" t="s">
        <v>83</v>
      </c>
      <c r="E96" s="31" t="s">
        <v>84</v>
      </c>
      <c r="F96" s="33" t="n">
        <v>120</v>
      </c>
      <c r="G96" s="31"/>
      <c r="H96" s="34" t="str">
        <f aca="false">IF($E96="","",IFERROR(INDEX(tblItems[Item Code],MATCH($E96,tblItems[Item Name],0)),"?"))</f>
        <v>EG-FG-MNG-12-02-01-01</v>
      </c>
      <c r="I96" s="34" t="str">
        <f aca="false">IF($A96="","",IF(COUNTIFS(tblShipment[Shipment No],$A96,tblShipment[Item Name],$E96)&gt;1,"Item listed twice",IF(COUNTIFS(tblShipment[Shipment No],$A96,tblShipment[Market],"&lt;&gt;"&amp;$B96)&gt;0,"Market differs on same shipment",IF(N($F96)&lt;=0,"Qty must be more than 0","OK"))))</f>
        <v>OK</v>
      </c>
    </row>
    <row r="97" customFormat="false" ht="15" hidden="false" customHeight="false" outlineLevel="0" collapsed="false">
      <c r="A97" s="31" t="s">
        <v>167</v>
      </c>
      <c r="B97" s="31" t="s">
        <v>75</v>
      </c>
      <c r="C97" s="32" t="n">
        <v>46250</v>
      </c>
      <c r="D97" s="31" t="s">
        <v>83</v>
      </c>
      <c r="E97" s="31" t="s">
        <v>127</v>
      </c>
      <c r="F97" s="33" t="n">
        <v>20</v>
      </c>
      <c r="G97" s="31"/>
      <c r="H97" s="34" t="str">
        <f aca="false">IF($E97="","",IFERROR(INDEX(tblItems[Item Code],MATCH($E97,tblItems[Item Name],0)),"?"))</f>
        <v>EG-FG-GRP-03-02-01-01</v>
      </c>
      <c r="I97" s="34" t="str">
        <f aca="false">IF($A97="","",IF(COUNTIFS(tblShipment[Shipment No],$A97,tblShipment[Item Name],$E97)&gt;1,"Item listed twice",IF(COUNTIFS(tblShipment[Shipment No],$A97,tblShipment[Market],"&lt;&gt;"&amp;$B97)&gt;0,"Market differs on same shipment",IF(N($F97)&lt;=0,"Qty must be more than 0","OK"))))</f>
        <v>OK</v>
      </c>
    </row>
    <row r="98" customFormat="false" ht="15" hidden="false" customHeight="false" outlineLevel="0" collapsed="false">
      <c r="A98" s="31" t="s">
        <v>167</v>
      </c>
      <c r="B98" s="31" t="s">
        <v>75</v>
      </c>
      <c r="C98" s="32" t="n">
        <v>46250</v>
      </c>
      <c r="D98" s="31" t="s">
        <v>83</v>
      </c>
      <c r="E98" s="31" t="s">
        <v>100</v>
      </c>
      <c r="F98" s="33" t="n">
        <v>25</v>
      </c>
      <c r="G98" s="31"/>
      <c r="H98" s="34" t="str">
        <f aca="false">IF($E98="","",IFERROR(INDEX(tblItems[Item Code],MATCH($E98,tblItems[Item Name],0)),"?"))</f>
        <v>EG-FG-MNG-18-02-01-01</v>
      </c>
      <c r="I98" s="34" t="str">
        <f aca="false">IF($A98="","",IF(COUNTIFS(tblShipment[Shipment No],$A98,tblShipment[Item Name],$E98)&gt;1,"Item listed twice",IF(COUNTIFS(tblShipment[Shipment No],$A98,tblShipment[Market],"&lt;&gt;"&amp;$B98)&gt;0,"Market differs on same shipment",IF(N($F98)&lt;=0,"Qty must be more than 0","OK"))))</f>
        <v>OK</v>
      </c>
    </row>
    <row r="99" customFormat="false" ht="15" hidden="false" customHeight="false" outlineLevel="0" collapsed="false">
      <c r="A99" s="31" t="s">
        <v>167</v>
      </c>
      <c r="B99" s="31" t="s">
        <v>75</v>
      </c>
      <c r="C99" s="32" t="n">
        <v>46250</v>
      </c>
      <c r="D99" s="31" t="s">
        <v>83</v>
      </c>
      <c r="E99" s="31" t="s">
        <v>143</v>
      </c>
      <c r="F99" s="33" t="n">
        <v>20</v>
      </c>
      <c r="G99" s="31"/>
      <c r="H99" s="34" t="str">
        <f aca="false">IF($E99="","",IFERROR(INDEX(tblItems[Item Code],MATCH($E99,tblItems[Item Name],0)),"?"))</f>
        <v>EG-FG-MNG-11-02-01-01</v>
      </c>
      <c r="I99" s="34" t="str">
        <f aca="false">IF($A99="","",IF(COUNTIFS(tblShipment[Shipment No],$A99,tblShipment[Item Name],$E99)&gt;1,"Item listed twice",IF(COUNTIFS(tblShipment[Shipment No],$A99,tblShipment[Market],"&lt;&gt;"&amp;$B99)&gt;0,"Market differs on same shipment",IF(N($F99)&lt;=0,"Qty must be more than 0","OK"))))</f>
        <v>OK</v>
      </c>
    </row>
    <row r="100" customFormat="false" ht="15" hidden="false" customHeight="false" outlineLevel="0" collapsed="false">
      <c r="A100" s="31" t="s">
        <v>167</v>
      </c>
      <c r="B100" s="31" t="s">
        <v>75</v>
      </c>
      <c r="C100" s="32" t="n">
        <v>46250</v>
      </c>
      <c r="D100" s="31" t="s">
        <v>83</v>
      </c>
      <c r="E100" s="31" t="s">
        <v>117</v>
      </c>
      <c r="F100" s="33" t="n">
        <v>20</v>
      </c>
      <c r="G100" s="31"/>
      <c r="H100" s="34" t="str">
        <f aca="false">IF($E100="","",IFERROR(INDEX(tblItems[Item Code],MATCH($E100,tblItems[Item Name],0)),"?"))</f>
        <v>EG-FG-MNG-06-02-01-01</v>
      </c>
      <c r="I100" s="34" t="str">
        <f aca="false">IF($A100="","",IF(COUNTIFS(tblShipment[Shipment No],$A100,tblShipment[Item Name],$E100)&gt;1,"Item listed twice",IF(COUNTIFS(tblShipment[Shipment No],$A100,tblShipment[Market],"&lt;&gt;"&amp;$B100)&gt;0,"Market differs on same shipment",IF(N($F100)&lt;=0,"Qty must be more than 0","OK"))))</f>
        <v>OK</v>
      </c>
    </row>
    <row r="101" customFormat="false" ht="15" hidden="false" customHeight="false" outlineLevel="0" collapsed="false">
      <c r="A101" s="31" t="s">
        <v>168</v>
      </c>
      <c r="B101" s="31" t="s">
        <v>75</v>
      </c>
      <c r="C101" s="32" t="n">
        <v>46253</v>
      </c>
      <c r="D101" s="31" t="s">
        <v>83</v>
      </c>
      <c r="E101" s="31" t="s">
        <v>112</v>
      </c>
      <c r="F101" s="33" t="n">
        <v>30</v>
      </c>
      <c r="G101" s="31"/>
      <c r="H101" s="34" t="str">
        <f aca="false">IF($E101="","",IFERROR(INDEX(tblItems[Item Code],MATCH($E101,tblItems[Item Name],0)),"?"))</f>
        <v>BOX-TRIO-01</v>
      </c>
      <c r="I101" s="34" t="str">
        <f aca="false">IF($A101="","",IF(COUNTIFS(tblShipment[Shipment No],$A101,tblShipment[Item Name],$E101)&gt;1,"Item listed twice",IF(COUNTIFS(tblShipment[Shipment No],$A101,tblShipment[Market],"&lt;&gt;"&amp;$B101)&gt;0,"Market differs on same shipment",IF(N($F101)&lt;=0,"Qty must be more than 0","OK"))))</f>
        <v>OK</v>
      </c>
    </row>
    <row r="102" customFormat="false" ht="15" hidden="false" customHeight="false" outlineLevel="0" collapsed="false">
      <c r="A102" s="31" t="s">
        <v>168</v>
      </c>
      <c r="B102" s="31" t="s">
        <v>75</v>
      </c>
      <c r="C102" s="32" t="n">
        <v>46253</v>
      </c>
      <c r="D102" s="31" t="s">
        <v>83</v>
      </c>
      <c r="E102" s="31" t="s">
        <v>91</v>
      </c>
      <c r="F102" s="33" t="n">
        <v>85</v>
      </c>
      <c r="G102" s="31"/>
      <c r="H102" s="34" t="str">
        <f aca="false">IF($E102="","",IFERROR(INDEX(tblItems[Item Code],MATCH($E102,tblItems[Item Name],0)),"?"))</f>
        <v>EG-FG-FIG-01-02-01-01</v>
      </c>
      <c r="I102" s="34" t="str">
        <f aca="false">IF($A102="","",IF(COUNTIFS(tblShipment[Shipment No],$A102,tblShipment[Item Name],$E102)&gt;1,"Item listed twice",IF(COUNTIFS(tblShipment[Shipment No],$A102,tblShipment[Market],"&lt;&gt;"&amp;$B102)&gt;0,"Market differs on same shipment",IF(N($F102)&lt;=0,"Qty must be more than 0","OK"))))</f>
        <v>OK</v>
      </c>
    </row>
    <row r="103" customFormat="false" ht="15" hidden="false" customHeight="false" outlineLevel="0" collapsed="false">
      <c r="A103" s="31" t="s">
        <v>168</v>
      </c>
      <c r="B103" s="31" t="s">
        <v>75</v>
      </c>
      <c r="C103" s="32" t="n">
        <v>46253</v>
      </c>
      <c r="D103" s="31" t="s">
        <v>83</v>
      </c>
      <c r="E103" s="31" t="s">
        <v>72</v>
      </c>
      <c r="F103" s="33" t="n">
        <v>140</v>
      </c>
      <c r="G103" s="31"/>
      <c r="H103" s="34" t="str">
        <f aca="false">IF($E103="","",IFERROR(INDEX(tblItems[Item Code],MATCH($E103,tblItems[Item Name],0)),"?"))</f>
        <v>EG-FG-MNG-05-02-01-01</v>
      </c>
      <c r="I103" s="34" t="str">
        <f aca="false">IF($A103="","",IF(COUNTIFS(tblShipment[Shipment No],$A103,tblShipment[Item Name],$E103)&gt;1,"Item listed twice",IF(COUNTIFS(tblShipment[Shipment No],$A103,tblShipment[Market],"&lt;&gt;"&amp;$B103)&gt;0,"Market differs on same shipment",IF(N($F103)&lt;=0,"Qty must be more than 0","OK"))))</f>
        <v>OK</v>
      </c>
    </row>
    <row r="104" customFormat="false" ht="15" hidden="false" customHeight="false" outlineLevel="0" collapsed="false">
      <c r="A104" s="31" t="s">
        <v>168</v>
      </c>
      <c r="B104" s="31" t="s">
        <v>75</v>
      </c>
      <c r="C104" s="32" t="n">
        <v>46253</v>
      </c>
      <c r="D104" s="31" t="s">
        <v>90</v>
      </c>
      <c r="E104" s="31" t="s">
        <v>106</v>
      </c>
      <c r="F104" s="33" t="n">
        <v>25</v>
      </c>
      <c r="G104" s="31"/>
      <c r="H104" s="34" t="str">
        <f aca="false">IF($E104="","",IFERROR(INDEX(tblItems[Item Code],MATCH($E104,tblItems[Item Name],0)),"?"))</f>
        <v>EG-FG-DAT-01-02-01-01</v>
      </c>
      <c r="I104" s="34" t="str">
        <f aca="false">IF($A104="","",IF(COUNTIFS(tblShipment[Shipment No],$A104,tblShipment[Item Name],$E104)&gt;1,"Item listed twice",IF(COUNTIFS(tblShipment[Shipment No],$A104,tblShipment[Market],"&lt;&gt;"&amp;$B104)&gt;0,"Market differs on same shipment",IF(N($F104)&lt;=0,"Qty must be more than 0","OK"))))</f>
        <v>OK</v>
      </c>
    </row>
    <row r="105" customFormat="false" ht="15" hidden="false" customHeight="false" outlineLevel="0" collapsed="false">
      <c r="A105" s="31" t="s">
        <v>168</v>
      </c>
      <c r="B105" s="31" t="s">
        <v>75</v>
      </c>
      <c r="C105" s="32" t="n">
        <v>46253</v>
      </c>
      <c r="D105" s="31" t="s">
        <v>83</v>
      </c>
      <c r="E105" s="31" t="s">
        <v>84</v>
      </c>
      <c r="F105" s="33" t="n">
        <v>95</v>
      </c>
      <c r="G105" s="31"/>
      <c r="H105" s="34" t="str">
        <f aca="false">IF($E105="","",IFERROR(INDEX(tblItems[Item Code],MATCH($E105,tblItems[Item Name],0)),"?"))</f>
        <v>EG-FG-MNG-12-02-01-01</v>
      </c>
      <c r="I105" s="34" t="str">
        <f aca="false">IF($A105="","",IF(COUNTIFS(tblShipment[Shipment No],$A105,tblShipment[Item Name],$E105)&gt;1,"Item listed twice",IF(COUNTIFS(tblShipment[Shipment No],$A105,tblShipment[Market],"&lt;&gt;"&amp;$B105)&gt;0,"Market differs on same shipment",IF(N($F105)&lt;=0,"Qty must be more than 0","OK"))))</f>
        <v>OK</v>
      </c>
    </row>
    <row r="106" customFormat="false" ht="15" hidden="false" customHeight="false" outlineLevel="0" collapsed="false">
      <c r="A106" s="31" t="s">
        <v>168</v>
      </c>
      <c r="B106" s="31" t="s">
        <v>75</v>
      </c>
      <c r="C106" s="32" t="n">
        <v>46253</v>
      </c>
      <c r="D106" s="31" t="s">
        <v>83</v>
      </c>
      <c r="E106" s="31" t="s">
        <v>95</v>
      </c>
      <c r="F106" s="33" t="n">
        <v>40</v>
      </c>
      <c r="G106" s="31"/>
      <c r="H106" s="34" t="str">
        <f aca="false">IF($E106="","",IFERROR(INDEX(tblItems[Item Code],MATCH($E106,tblItems[Item Name],0)),"?"))</f>
        <v>EG-FG-GUV-01-02-01-01</v>
      </c>
      <c r="I106" s="34" t="str">
        <f aca="false">IF($A106="","",IF(COUNTIFS(tblShipment[Shipment No],$A106,tblShipment[Item Name],$E106)&gt;1,"Item listed twice",IF(COUNTIFS(tblShipment[Shipment No],$A106,tblShipment[Market],"&lt;&gt;"&amp;$B106)&gt;0,"Market differs on same shipment",IF(N($F106)&lt;=0,"Qty must be more than 0","OK"))))</f>
        <v>OK</v>
      </c>
    </row>
    <row r="107" customFormat="false" ht="15" hidden="false" customHeight="false" outlineLevel="0" collapsed="false">
      <c r="A107" s="31" t="s">
        <v>168</v>
      </c>
      <c r="B107" s="31" t="s">
        <v>75</v>
      </c>
      <c r="C107" s="32" t="n">
        <v>46253</v>
      </c>
      <c r="D107" s="31" t="s">
        <v>83</v>
      </c>
      <c r="E107" s="31" t="s">
        <v>100</v>
      </c>
      <c r="F107" s="33" t="n">
        <v>30</v>
      </c>
      <c r="G107" s="31"/>
      <c r="H107" s="34" t="str">
        <f aca="false">IF($E107="","",IFERROR(INDEX(tblItems[Item Code],MATCH($E107,tblItems[Item Name],0)),"?"))</f>
        <v>EG-FG-MNG-18-02-01-01</v>
      </c>
      <c r="I107" s="34" t="str">
        <f aca="false">IF($A107="","",IF(COUNTIFS(tblShipment[Shipment No],$A107,tblShipment[Item Name],$E107)&gt;1,"Item listed twice",IF(COUNTIFS(tblShipment[Shipment No],$A107,tblShipment[Market],"&lt;&gt;"&amp;$B107)&gt;0,"Market differs on same shipment",IF(N($F107)&lt;=0,"Qty must be more than 0","OK"))))</f>
        <v>OK</v>
      </c>
    </row>
    <row r="108" customFormat="false" ht="15" hidden="false" customHeight="false" outlineLevel="0" collapsed="false">
      <c r="A108" s="31" t="s">
        <v>168</v>
      </c>
      <c r="B108" s="31" t="s">
        <v>75</v>
      </c>
      <c r="C108" s="32" t="n">
        <v>46253</v>
      </c>
      <c r="D108" s="31" t="s">
        <v>83</v>
      </c>
      <c r="E108" s="31" t="s">
        <v>127</v>
      </c>
      <c r="F108" s="33" t="n">
        <v>20</v>
      </c>
      <c r="G108" s="31"/>
      <c r="H108" s="34" t="str">
        <f aca="false">IF($E108="","",IFERROR(INDEX(tblItems[Item Code],MATCH($E108,tblItems[Item Name],0)),"?"))</f>
        <v>EG-FG-GRP-03-02-01-01</v>
      </c>
      <c r="I108" s="34" t="str">
        <f aca="false">IF($A108="","",IF(COUNTIFS(tblShipment[Shipment No],$A108,tblShipment[Item Name],$E108)&gt;1,"Item listed twice",IF(COUNTIFS(tblShipment[Shipment No],$A108,tblShipment[Market],"&lt;&gt;"&amp;$B108)&gt;0,"Market differs on same shipment",IF(N($F108)&lt;=0,"Qty must be more than 0","OK"))))</f>
        <v>OK</v>
      </c>
    </row>
    <row r="109" customFormat="false" ht="15" hidden="false" customHeight="false" outlineLevel="0" collapsed="false">
      <c r="A109" s="31" t="s">
        <v>168</v>
      </c>
      <c r="B109" s="31" t="s">
        <v>75</v>
      </c>
      <c r="C109" s="32" t="n">
        <v>46253</v>
      </c>
      <c r="D109" s="31" t="s">
        <v>83</v>
      </c>
      <c r="E109" s="31" t="s">
        <v>141</v>
      </c>
      <c r="F109" s="33" t="n">
        <v>20</v>
      </c>
      <c r="G109" s="31"/>
      <c r="H109" s="34" t="str">
        <f aca="false">IF($E109="","",IFERROR(INDEX(tblItems[Item Code],MATCH($E109,tblItems[Item Name],0)),"?"))</f>
        <v>EG-FG-CAN-01-02-01-01</v>
      </c>
      <c r="I109" s="34" t="str">
        <f aca="false">IF($A109="","",IF(COUNTIFS(tblShipment[Shipment No],$A109,tblShipment[Item Name],$E109)&gt;1,"Item listed twice",IF(COUNTIFS(tblShipment[Shipment No],$A109,tblShipment[Market],"&lt;&gt;"&amp;$B109)&gt;0,"Market differs on same shipment",IF(N($F109)&lt;=0,"Qty must be more than 0","OK"))))</f>
        <v>OK</v>
      </c>
    </row>
    <row r="110" customFormat="false" ht="15" hidden="false" customHeight="false" outlineLevel="0" collapsed="false">
      <c r="A110" s="31" t="s">
        <v>168</v>
      </c>
      <c r="B110" s="31" t="s">
        <v>75</v>
      </c>
      <c r="C110" s="32" t="n">
        <v>46253</v>
      </c>
      <c r="D110" s="31" t="s">
        <v>83</v>
      </c>
      <c r="E110" s="31" t="s">
        <v>117</v>
      </c>
      <c r="F110" s="33" t="n">
        <v>20</v>
      </c>
      <c r="G110" s="31"/>
      <c r="H110" s="34" t="str">
        <f aca="false">IF($E110="","",IFERROR(INDEX(tblItems[Item Code],MATCH($E110,tblItems[Item Name],0)),"?"))</f>
        <v>EG-FG-MNG-06-02-01-01</v>
      </c>
      <c r="I110" s="34" t="str">
        <f aca="false">IF($A110="","",IF(COUNTIFS(tblShipment[Shipment No],$A110,tblShipment[Item Name],$E110)&gt;1,"Item listed twice",IF(COUNTIFS(tblShipment[Shipment No],$A110,tblShipment[Market],"&lt;&gt;"&amp;$B110)&gt;0,"Market differs on same shipment",IF(N($F110)&lt;=0,"Qty must be more than 0","OK"))))</f>
        <v>OK</v>
      </c>
    </row>
    <row r="111" customFormat="false" ht="15" hidden="false" customHeight="false" outlineLevel="0" collapsed="false">
      <c r="A111" s="31" t="s">
        <v>169</v>
      </c>
      <c r="B111" s="31" t="s">
        <v>75</v>
      </c>
      <c r="C111" s="32" t="n">
        <v>46256</v>
      </c>
      <c r="D111" s="31" t="s">
        <v>83</v>
      </c>
      <c r="E111" s="31" t="s">
        <v>91</v>
      </c>
      <c r="F111" s="33" t="n">
        <v>85</v>
      </c>
      <c r="G111" s="31"/>
      <c r="H111" s="34" t="str">
        <f aca="false">IF($E111="","",IFERROR(INDEX(tblItems[Item Code],MATCH($E111,tblItems[Item Name],0)),"?"))</f>
        <v>EG-FG-FIG-01-02-01-01</v>
      </c>
      <c r="I111" s="34" t="str">
        <f aca="false">IF($A111="","",IF(COUNTIFS(tblShipment[Shipment No],$A111,tblShipment[Item Name],$E111)&gt;1,"Item listed twice",IF(COUNTIFS(tblShipment[Shipment No],$A111,tblShipment[Market],"&lt;&gt;"&amp;$B111)&gt;0,"Market differs on same shipment",IF(N($F111)&lt;=0,"Qty must be more than 0","OK"))))</f>
        <v>OK</v>
      </c>
    </row>
    <row r="112" customFormat="false" ht="15" hidden="false" customHeight="false" outlineLevel="0" collapsed="false">
      <c r="A112" s="31" t="s">
        <v>169</v>
      </c>
      <c r="B112" s="31" t="s">
        <v>75</v>
      </c>
      <c r="C112" s="32" t="n">
        <v>46256</v>
      </c>
      <c r="D112" s="31" t="s">
        <v>90</v>
      </c>
      <c r="E112" s="31" t="s">
        <v>106</v>
      </c>
      <c r="F112" s="33" t="n">
        <v>35</v>
      </c>
      <c r="G112" s="31"/>
      <c r="H112" s="34" t="str">
        <f aca="false">IF($E112="","",IFERROR(INDEX(tblItems[Item Code],MATCH($E112,tblItems[Item Name],0)),"?"))</f>
        <v>EG-FG-DAT-01-02-01-01</v>
      </c>
      <c r="I112" s="34" t="str">
        <f aca="false">IF($A112="","",IF(COUNTIFS(tblShipment[Shipment No],$A112,tblShipment[Item Name],$E112)&gt;1,"Item listed twice",IF(COUNTIFS(tblShipment[Shipment No],$A112,tblShipment[Market],"&lt;&gt;"&amp;$B112)&gt;0,"Market differs on same shipment",IF(N($F112)&lt;=0,"Qty must be more than 0","OK"))))</f>
        <v>OK</v>
      </c>
    </row>
    <row r="113" customFormat="false" ht="15" hidden="false" customHeight="false" outlineLevel="0" collapsed="false">
      <c r="A113" s="31" t="s">
        <v>169</v>
      </c>
      <c r="B113" s="31" t="s">
        <v>75</v>
      </c>
      <c r="C113" s="32" t="n">
        <v>46256</v>
      </c>
      <c r="D113" s="31" t="s">
        <v>83</v>
      </c>
      <c r="E113" s="31" t="s">
        <v>117</v>
      </c>
      <c r="F113" s="33" t="n">
        <v>25</v>
      </c>
      <c r="G113" s="31"/>
      <c r="H113" s="34" t="str">
        <f aca="false">IF($E113="","",IFERROR(INDEX(tblItems[Item Code],MATCH($E113,tblItems[Item Name],0)),"?"))</f>
        <v>EG-FG-MNG-06-02-01-01</v>
      </c>
      <c r="I113" s="34" t="str">
        <f aca="false">IF($A113="","",IF(COUNTIFS(tblShipment[Shipment No],$A113,tblShipment[Item Name],$E113)&gt;1,"Item listed twice",IF(COUNTIFS(tblShipment[Shipment No],$A113,tblShipment[Market],"&lt;&gt;"&amp;$B113)&gt;0,"Market differs on same shipment",IF(N($F113)&lt;=0,"Qty must be more than 0","OK"))))</f>
        <v>OK</v>
      </c>
    </row>
    <row r="114" customFormat="false" ht="15" hidden="false" customHeight="false" outlineLevel="0" collapsed="false">
      <c r="A114" s="31" t="s">
        <v>169</v>
      </c>
      <c r="B114" s="31" t="s">
        <v>75</v>
      </c>
      <c r="C114" s="32" t="n">
        <v>46256</v>
      </c>
      <c r="D114" s="31" t="s">
        <v>83</v>
      </c>
      <c r="E114" s="31" t="s">
        <v>72</v>
      </c>
      <c r="F114" s="33" t="n">
        <v>95</v>
      </c>
      <c r="G114" s="31"/>
      <c r="H114" s="34" t="str">
        <f aca="false">IF($E114="","",IFERROR(INDEX(tblItems[Item Code],MATCH($E114,tblItems[Item Name],0)),"?"))</f>
        <v>EG-FG-MNG-05-02-01-01</v>
      </c>
      <c r="I114" s="34" t="str">
        <f aca="false">IF($A114="","",IF(COUNTIFS(tblShipment[Shipment No],$A114,tblShipment[Item Name],$E114)&gt;1,"Item listed twice",IF(COUNTIFS(tblShipment[Shipment No],$A114,tblShipment[Market],"&lt;&gt;"&amp;$B114)&gt;0,"Market differs on same shipment",IF(N($F114)&lt;=0,"Qty must be more than 0","OK"))))</f>
        <v>OK</v>
      </c>
    </row>
    <row r="115" customFormat="false" ht="15" hidden="false" customHeight="false" outlineLevel="0" collapsed="false">
      <c r="A115" s="31" t="s">
        <v>169</v>
      </c>
      <c r="B115" s="31" t="s">
        <v>75</v>
      </c>
      <c r="C115" s="32" t="n">
        <v>46256</v>
      </c>
      <c r="D115" s="31" t="s">
        <v>83</v>
      </c>
      <c r="E115" s="31" t="s">
        <v>100</v>
      </c>
      <c r="F115" s="33" t="n">
        <v>30</v>
      </c>
      <c r="G115" s="31"/>
      <c r="H115" s="34" t="str">
        <f aca="false">IF($E115="","",IFERROR(INDEX(tblItems[Item Code],MATCH($E115,tblItems[Item Name],0)),"?"))</f>
        <v>EG-FG-MNG-18-02-01-01</v>
      </c>
      <c r="I115" s="34" t="str">
        <f aca="false">IF($A115="","",IF(COUNTIFS(tblShipment[Shipment No],$A115,tblShipment[Item Name],$E115)&gt;1,"Item listed twice",IF(COUNTIFS(tblShipment[Shipment No],$A115,tblShipment[Market],"&lt;&gt;"&amp;$B115)&gt;0,"Market differs on same shipment",IF(N($F115)&lt;=0,"Qty must be more than 0","OK"))))</f>
        <v>OK</v>
      </c>
    </row>
    <row r="116" customFormat="false" ht="15" hidden="false" customHeight="false" outlineLevel="0" collapsed="false">
      <c r="A116" s="31" t="s">
        <v>169</v>
      </c>
      <c r="B116" s="31" t="s">
        <v>75</v>
      </c>
      <c r="C116" s="32" t="n">
        <v>46256</v>
      </c>
      <c r="D116" s="31" t="s">
        <v>83</v>
      </c>
      <c r="E116" s="31" t="s">
        <v>146</v>
      </c>
      <c r="F116" s="33" t="n">
        <v>20</v>
      </c>
      <c r="G116" s="31"/>
      <c r="H116" s="34" t="str">
        <f aca="false">IF($E116="","",IFERROR(INDEX(tblItems[Item Code],MATCH($E116,tblItems[Item Name],0)),"?"))</f>
        <v>EG-FG-MNG-19-02-01-01</v>
      </c>
      <c r="I116" s="34" t="str">
        <f aca="false">IF($A116="","",IF(COUNTIFS(tblShipment[Shipment No],$A116,tblShipment[Item Name],$E116)&gt;1,"Item listed twice",IF(COUNTIFS(tblShipment[Shipment No],$A116,tblShipment[Market],"&lt;&gt;"&amp;$B116)&gt;0,"Market differs on same shipment",IF(N($F116)&lt;=0,"Qty must be more than 0","OK"))))</f>
        <v>OK</v>
      </c>
    </row>
    <row r="117" customFormat="false" ht="15" hidden="false" customHeight="false" outlineLevel="0" collapsed="false">
      <c r="A117" s="31" t="s">
        <v>169</v>
      </c>
      <c r="B117" s="31" t="s">
        <v>75</v>
      </c>
      <c r="C117" s="32" t="n">
        <v>46256</v>
      </c>
      <c r="D117" s="31" t="s">
        <v>83</v>
      </c>
      <c r="E117" s="31" t="s">
        <v>127</v>
      </c>
      <c r="F117" s="33" t="n">
        <v>20</v>
      </c>
      <c r="G117" s="31"/>
      <c r="H117" s="34" t="str">
        <f aca="false">IF($E117="","",IFERROR(INDEX(tblItems[Item Code],MATCH($E117,tblItems[Item Name],0)),"?"))</f>
        <v>EG-FG-GRP-03-02-01-01</v>
      </c>
      <c r="I117" s="34" t="str">
        <f aca="false">IF($A117="","",IF(COUNTIFS(tblShipment[Shipment No],$A117,tblShipment[Item Name],$E117)&gt;1,"Item listed twice",IF(COUNTIFS(tblShipment[Shipment No],$A117,tblShipment[Market],"&lt;&gt;"&amp;$B117)&gt;0,"Market differs on same shipment",IF(N($F117)&lt;=0,"Qty must be more than 0","OK"))))</f>
        <v>OK</v>
      </c>
    </row>
    <row r="118" customFormat="false" ht="15" hidden="false" customHeight="false" outlineLevel="0" collapsed="false">
      <c r="A118" s="31" t="s">
        <v>169</v>
      </c>
      <c r="B118" s="31" t="s">
        <v>75</v>
      </c>
      <c r="C118" s="32" t="n">
        <v>46256</v>
      </c>
      <c r="D118" s="31" t="s">
        <v>83</v>
      </c>
      <c r="E118" s="31" t="s">
        <v>132</v>
      </c>
      <c r="F118" s="33" t="n">
        <v>20</v>
      </c>
      <c r="G118" s="31"/>
      <c r="H118" s="34" t="str">
        <f aca="false">IF($E118="","",IFERROR(INDEX(tblItems[Item Code],MATCH($E118,tblItems[Item Name],0)),"?"))</f>
        <v>EG-FG-MNG-15-02-01-01</v>
      </c>
      <c r="I118" s="34" t="str">
        <f aca="false">IF($A118="","",IF(COUNTIFS(tblShipment[Shipment No],$A118,tblShipment[Item Name],$E118)&gt;1,"Item listed twice",IF(COUNTIFS(tblShipment[Shipment No],$A118,tblShipment[Market],"&lt;&gt;"&amp;$B118)&gt;0,"Market differs on same shipment",IF(N($F118)&lt;=0,"Qty must be more than 0","OK"))))</f>
        <v>OK</v>
      </c>
    </row>
    <row r="119" customFormat="false" ht="15" hidden="false" customHeight="false" outlineLevel="0" collapsed="false">
      <c r="A119" s="31" t="s">
        <v>169</v>
      </c>
      <c r="B119" s="31" t="s">
        <v>75</v>
      </c>
      <c r="C119" s="32" t="n">
        <v>46256</v>
      </c>
      <c r="D119" s="31" t="s">
        <v>83</v>
      </c>
      <c r="E119" s="31" t="s">
        <v>112</v>
      </c>
      <c r="F119" s="33" t="n">
        <v>30</v>
      </c>
      <c r="G119" s="31"/>
      <c r="H119" s="34" t="str">
        <f aca="false">IF($E119="","",IFERROR(INDEX(tblItems[Item Code],MATCH($E119,tblItems[Item Name],0)),"?"))</f>
        <v>BOX-TRIO-01</v>
      </c>
      <c r="I119" s="34" t="str">
        <f aca="false">IF($A119="","",IF(COUNTIFS(tblShipment[Shipment No],$A119,tblShipment[Item Name],$E119)&gt;1,"Item listed twice",IF(COUNTIFS(tblShipment[Shipment No],$A119,tblShipment[Market],"&lt;&gt;"&amp;$B119)&gt;0,"Market differs on same shipment",IF(N($F119)&lt;=0,"Qty must be more than 0","OK"))))</f>
        <v>OK</v>
      </c>
    </row>
  </sheetData>
  <conditionalFormatting sqref="I7:I9000">
    <cfRule type="expression" priority="2" aboveAverage="0" equalAverage="0" bottom="0" percent="0" rank="0" text="" dxfId="12">
      <formula>AND(I7&lt;&gt;"",I7&lt;&gt;"OK",I7&lt;&gt;"VOID")</formula>
    </cfRule>
  </conditionalFormatting>
  <dataValidations count="3">
    <dataValidation allowBlank="true" errorStyle="stop" operator="between" showDropDown="false" showErrorMessage="false" showInputMessage="false" sqref="B7:B1119" type="list">
      <formula1>lstMarkets</formula1>
      <formula2>0</formula2>
    </dataValidation>
    <dataValidation allowBlank="true" errorStyle="stop" operator="between" showDropDown="false" showErrorMessage="false" showInputMessage="false" sqref="D7:D1119" type="list">
      <formula1>lstSource</formula1>
      <formula2>0</formula2>
    </dataValidation>
    <dataValidation allowBlank="true" errorStyle="stop" operator="between" showDropDown="false" showErrorMessage="false" showInputMessage="false" sqref="E7:E1119" type="list">
      <formula1>lstItems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P4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8" min="6" style="0" width="8"/>
    <col collapsed="false" customWidth="true" hidden="false" outlineLevel="0" max="9" min="9" style="0" width="13"/>
    <col collapsed="false" customWidth="true" hidden="false" outlineLevel="0" max="10" min="10" style="0" width="19"/>
    <col collapsed="false" customWidth="true" hidden="false" outlineLevel="0" max="11" min="11" style="0" width="18"/>
    <col collapsed="false" customWidth="true" hidden="false" outlineLevel="0" max="12" min="12" style="0" width="7"/>
    <col collapsed="false" customWidth="true" hidden="false" outlineLevel="0" max="13" min="13" style="0" width="23"/>
    <col collapsed="false" customWidth="true" hidden="false" outlineLevel="0" max="14" min="14" style="0" width="9"/>
    <col collapsed="false" customWidth="true" hidden="false" outlineLevel="0" max="15" min="15" style="0" width="7"/>
    <col collapsed="false" customWidth="true" hidden="false" outlineLevel="0" max="16" min="16" style="0" width="26"/>
  </cols>
  <sheetData>
    <row r="1" customFormat="false" ht="25.5" hidden="false" customHeight="tru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2" t="s">
        <v>172</v>
      </c>
    </row>
    <row r="6" customFormat="false" ht="31.5" hidden="false" customHeight="true" outlineLevel="0" collapsed="false">
      <c r="A6" s="11" t="s">
        <v>173</v>
      </c>
      <c r="B6" s="11" t="s">
        <v>153</v>
      </c>
      <c r="C6" s="11" t="s">
        <v>62</v>
      </c>
      <c r="D6" s="30" t="s">
        <v>174</v>
      </c>
      <c r="E6" s="11" t="s">
        <v>55</v>
      </c>
      <c r="F6" s="11" t="s">
        <v>175</v>
      </c>
      <c r="G6" s="11" t="s">
        <v>176</v>
      </c>
      <c r="H6" s="11" t="s">
        <v>177</v>
      </c>
      <c r="I6" s="11" t="s">
        <v>59</v>
      </c>
      <c r="J6" s="11" t="s">
        <v>60</v>
      </c>
      <c r="K6" s="11" t="s">
        <v>156</v>
      </c>
      <c r="L6" s="11" t="s">
        <v>71</v>
      </c>
      <c r="M6" s="30" t="s">
        <v>56</v>
      </c>
      <c r="N6" s="30" t="s">
        <v>58</v>
      </c>
      <c r="O6" s="30" t="s">
        <v>178</v>
      </c>
      <c r="P6" s="30" t="s">
        <v>157</v>
      </c>
    </row>
    <row r="7" customFormat="false" ht="15" hidden="false" customHeight="false" outlineLevel="0" collapsed="false">
      <c r="A7" s="32" t="n">
        <v>46227</v>
      </c>
      <c r="B7" s="31" t="s">
        <v>158</v>
      </c>
      <c r="C7" s="31" t="s">
        <v>79</v>
      </c>
      <c r="D7" s="34" t="str">
        <f aca="false">IF($C7="","",IFERROR(IF(IFERROR(INDEX(tblMoveTypes[In / Out],MATCH($C7,tblMoveTypes[Movement],0)),"?")="IN","IN   ",IF(IFERROR(INDEX(tblMoveTypes[In / Out],MATCH($C7,tblMoveTypes[Movement],0)),"?")="OUT","OUT   ","--   "))&amp;"fill: "&amp;IF(IFERROR(INDEX(tblMoveTypes[Item?],MATCH($C7,tblMoveTypes[Movement],0)),"?")="Yes","Item  ","")&amp;IF(AND(IFERROR(INDEX(tblMoveTypes[Qty?],MATCH($C7,tblMoveTypes[Movement],0)),"?")="Yes",IFERROR(INDEX(tblMoveTypes[In / Out],MATCH($C7,tblMoveTypes[Movement],0)),"?")="IN"),"In  ","")&amp;IF(AND(IFERROR(INDEX(tblMoveTypes[Qty?],MATCH($C7,tblMoveTypes[Movement],0)),"?")="Yes",IFERROR(INDEX(tblMoveTypes[In / Out],MATCH($C7,tblMoveTypes[Movement],0)),"?")="OUT"),"Out  ","")&amp;IF(IFERROR(INDEX(tblMoveTypes[Orders?],MATCH($C7,tblMoveTypes[Movement],0)),"?")="Yes","Orders  ","")&amp;IF(IFERROR(INDEX(tblMoveTypes[Courier?],MATCH($C7,tblMoveTypes[Movement],0)),"?")="Yes","Courier  ","")&amp;IF(IFERROR(INDEX(tblMoveTypes[Reason?],MATCH($C7,tblMoveTypes[Movement],0)),"?")="Yes","Reason",""),"unknown movement"))</f>
        <v>IN   fill: Item  In  </v>
      </c>
      <c r="E7" s="31" t="s">
        <v>72</v>
      </c>
      <c r="F7" s="33" t="n">
        <v>145</v>
      </c>
      <c r="G7" s="33"/>
      <c r="H7" s="33"/>
      <c r="I7" s="31"/>
      <c r="J7" s="31"/>
      <c r="K7" s="31"/>
      <c r="L7" s="31"/>
      <c r="M7" s="34" t="str">
        <f aca="false">IF($E7="","",IFERROR(INDEX(tblItems[Item Code],MATCH($E7,tblItems[Item Name],0)),"?"))</f>
        <v>EG-FG-MNG-05-02-01-01</v>
      </c>
      <c r="N7" s="34" t="str">
        <f aca="false">IF($B7="","",IFERROR(INDEX(tblShipment[Market],MATCH($B7,tblShipment[Shipment No],0)),"?"))</f>
        <v>Qatar</v>
      </c>
      <c r="O7" s="35" t="n">
        <f aca="false">N($F7)+N($G7)</f>
        <v>145</v>
      </c>
      <c r="P7" s="34" t="str">
        <f aca="false">IF($A7="","",IF($L7="Yes","VOID",IF(COUNTIFS(tblMoveTypes[Movement],$C7)=0,"Unknown movement",IF(COUNTIF(tblShipment[Shipment No],$B7)=0,"Unknown shipment",IF(AND(IFERROR(INDEX(tblMoveTypes[Item?],MATCH($C7,tblMoveTypes[Movement],0)),"?")="Yes",$E7=""),"Item needed",IF(AND(IFERROR(INDEX(tblMoveTypes[Item?],MATCH($C7,tblMoveTypes[Movement],0)),"?")="No",$E7&lt;&gt;""),"Leave Item blank",IF(AND(IFERROR(INDEX(tblMoveTypes[In / Out],MATCH($C7,tblMoveTypes[Movement],0)),"?")="IN",$G7&lt;&gt;""),"Use the In column, not Out",IF(AND(IFERROR(INDEX(tblMoveTypes[In / Out],MATCH($C7,tblMoveTypes[Movement],0)),"?")="OUT",$F7&lt;&gt;""),"Use the Out column, not In",IF(AND(IFERROR(INDEX(tblMoveTypes[Qty?],MATCH($C7,tblMoveTypes[Movement],0)),"?")="Yes",N($F7)+N($G7)&lt;=0),"Qty needed",IF(AND(IFERROR(INDEX(tblMoveTypes[Qty?],MATCH($C7,tblMoveTypes[Movement],0)),"?")="No",N($F7)+N($G7)&gt;0),"Leave In and Out blank",IF(AND(IFERROR(INDEX(tblMoveTypes[Courier?],MATCH($C7,tblMoveTypes[Movement],0)),"?")="Yes",$I7=""),"Courier needed",IF(AND(IFERROR(INDEX(tblMoveTypes[Courier?],MATCH($C7,tblMoveTypes[Movement],0)),"?")="No",$I7&lt;&gt;""),"Leave Courier blank",IF(AND(IFERROR(INDEX(tblMoveTypes[Orders?],MATCH($C7,tblMoveTypes[Movement],0)),"?")="Yes",$H7=""),"Orders needed",IF(AND(IFERROR(INDEX(tblMoveTypes[Orders?],MATCH($C7,tblMoveTypes[Movement],0)),"?")="No",$H7&lt;&gt;""),"Leave Orders blank",IF(AND(IFERROR(INDEX(tblMoveTypes[Reason?],MATCH($C7,tblMoveTypes[Movement],0)),"?")="Yes",$J7=""),"Reason needed",IF($A7&lt;_xlfn.MINIFS(tblShipment[Arrival Date],tblShipment[Shipment No],$B7),"Date before arrival",IF(AND($E7&lt;&gt;"",COUNTIFS(tblShipment[Shipment No],$B7,tblShipment[Item Name],$E7)=0),"Item not in this shipment","OK")))))))))))))))))</f>
        <v>OK</v>
      </c>
    </row>
    <row r="8" customFormat="false" ht="15" hidden="false" customHeight="false" outlineLevel="0" collapsed="false">
      <c r="A8" s="32" t="n">
        <v>46227</v>
      </c>
      <c r="B8" s="31" t="s">
        <v>158</v>
      </c>
      <c r="C8" s="31" t="s">
        <v>78</v>
      </c>
      <c r="D8" s="34" t="str">
        <f aca="false">IF($C8="","",IFERROR(IF(IFERROR(INDEX(tblMoveTypes[In / Out],MATCH($C8,tblMoveTypes[Movement],0)),"?")="IN","IN   ",IF(IFERROR(INDEX(tblMoveTypes[In / Out],MATCH($C8,tblMoveTypes[Movement],0)),"?")="OUT","OUT   ","--   "))&amp;"fill: "&amp;IF(IFERROR(INDEX(tblMoveTypes[Item?],MATCH($C8,tblMoveTypes[Movement],0)),"?")="Yes","Item  ","")&amp;IF(AND(IFERROR(INDEX(tblMoveTypes[Qty?],MATCH($C8,tblMoveTypes[Movement],0)),"?")="Yes",IFERROR(INDEX(tblMoveTypes[In / Out],MATCH($C8,tblMoveTypes[Movement],0)),"?")="IN"),"In  ","")&amp;IF(AND(IFERROR(INDEX(tblMoveTypes[Qty?],MATCH($C8,tblMoveTypes[Movement],0)),"?")="Yes",IFERROR(INDEX(tblMoveTypes[In / Out],MATCH($C8,tblMoveTypes[Movement],0)),"?")="OUT"),"Out  ","")&amp;IF(IFERROR(INDEX(tblMoveTypes[Orders?],MATCH($C8,tblMoveTypes[Movement],0)),"?")="Yes","Orders  ","")&amp;IF(IFERROR(INDEX(tblMoveTypes[Courier?],MATCH($C8,tblMoveTypes[Movement],0)),"?")="Yes","Courier  ","")&amp;IF(IFERROR(INDEX(tblMoveTypes[Reason?],MATCH($C8,tblMoveTypes[Movement],0)),"?")="Yes","Reason",""),"unknown movement"))</f>
        <v>OUT   fill: Item  Out  Reason</v>
      </c>
      <c r="E8" s="31" t="s">
        <v>72</v>
      </c>
      <c r="F8" s="33"/>
      <c r="G8" s="33" t="n">
        <v>2</v>
      </c>
      <c r="H8" s="33"/>
      <c r="I8" s="31"/>
      <c r="J8" s="31" t="s">
        <v>77</v>
      </c>
      <c r="K8" s="31"/>
      <c r="L8" s="31"/>
      <c r="M8" s="34" t="str">
        <f aca="false">IF($E8="","",IFERROR(INDEX(tblItems[Item Code],MATCH($E8,tblItems[Item Name],0)),"?"))</f>
        <v>EG-FG-MNG-05-02-01-01</v>
      </c>
      <c r="N8" s="34" t="str">
        <f aca="false">IF($B8="","",IFERROR(INDEX(tblShipment[Market],MATCH($B8,tblShipment[Shipment No],0)),"?"))</f>
        <v>Qatar</v>
      </c>
      <c r="O8" s="35" t="n">
        <f aca="false">N($F8)+N($G8)</f>
        <v>2</v>
      </c>
      <c r="P8" s="34" t="str">
        <f aca="false">IF($A8="","",IF($L8="Yes","VOID",IF(COUNTIFS(tblMoveTypes[Movement],$C8)=0,"Unknown movement",IF(COUNTIF(tblShipment[Shipment No],$B8)=0,"Unknown shipment",IF(AND(IFERROR(INDEX(tblMoveTypes[Item?],MATCH($C8,tblMoveTypes[Movement],0)),"?")="Yes",$E8=""),"Item needed",IF(AND(IFERROR(INDEX(tblMoveTypes[Item?],MATCH($C8,tblMoveTypes[Movement],0)),"?")="No",$E8&lt;&gt;""),"Leave Item blank",IF(AND(IFERROR(INDEX(tblMoveTypes[In / Out],MATCH($C8,tblMoveTypes[Movement],0)),"?")="IN",$G8&lt;&gt;""),"Use the In column, not Out",IF(AND(IFERROR(INDEX(tblMoveTypes[In / Out],MATCH($C8,tblMoveTypes[Movement],0)),"?")="OUT",$F8&lt;&gt;""),"Use the Out column, not In",IF(AND(IFERROR(INDEX(tblMoveTypes[Qty?],MATCH($C8,tblMoveTypes[Movement],0)),"?")="Yes",N($F8)+N($G8)&lt;=0),"Qty needed",IF(AND(IFERROR(INDEX(tblMoveTypes[Qty?],MATCH($C8,tblMoveTypes[Movement],0)),"?")="No",N($F8)+N($G8)&gt;0),"Leave In and Out blank",IF(AND(IFERROR(INDEX(tblMoveTypes[Courier?],MATCH($C8,tblMoveTypes[Movement],0)),"?")="Yes",$I8=""),"Courier needed",IF(AND(IFERROR(INDEX(tblMoveTypes[Courier?],MATCH($C8,tblMoveTypes[Movement],0)),"?")="No",$I8&lt;&gt;""),"Leave Courier blank",IF(AND(IFERROR(INDEX(tblMoveTypes[Orders?],MATCH($C8,tblMoveTypes[Movement],0)),"?")="Yes",$H8=""),"Orders needed",IF(AND(IFERROR(INDEX(tblMoveTypes[Orders?],MATCH($C8,tblMoveTypes[Movement],0)),"?")="No",$H8&lt;&gt;""),"Leave Orders blank",IF(AND(IFERROR(INDEX(tblMoveTypes[Reason?],MATCH($C8,tblMoveTypes[Movement],0)),"?")="Yes",$J8=""),"Reason needed",IF($A8&lt;_xlfn.MINIFS(tblShipment[Arrival Date],tblShipment[Shipment No],$B8),"Date before arrival",IF(AND($E8&lt;&gt;"",COUNTIFS(tblShipment[Shipment No],$B8,tblShipment[Item Name],$E8)=0),"Item not in this shipment","OK")))))))))))))))))</f>
        <v>OK</v>
      </c>
    </row>
    <row r="9" customFormat="false" ht="15" hidden="false" customHeight="false" outlineLevel="0" collapsed="false">
      <c r="A9" s="32" t="n">
        <v>46227</v>
      </c>
      <c r="B9" s="31" t="s">
        <v>158</v>
      </c>
      <c r="C9" s="31" t="s">
        <v>79</v>
      </c>
      <c r="D9" s="34" t="str">
        <f aca="false">IF($C9="","",IFERROR(IF(IFERROR(INDEX(tblMoveTypes[In / Out],MATCH($C9,tblMoveTypes[Movement],0)),"?")="IN","IN   ",IF(IFERROR(INDEX(tblMoveTypes[In / Out],MATCH($C9,tblMoveTypes[Movement],0)),"?")="OUT","OUT   ","--   "))&amp;"fill: "&amp;IF(IFERROR(INDEX(tblMoveTypes[Item?],MATCH($C9,tblMoveTypes[Movement],0)),"?")="Yes","Item  ","")&amp;IF(AND(IFERROR(INDEX(tblMoveTypes[Qty?],MATCH($C9,tblMoveTypes[Movement],0)),"?")="Yes",IFERROR(INDEX(tblMoveTypes[In / Out],MATCH($C9,tblMoveTypes[Movement],0)),"?")="IN"),"In  ","")&amp;IF(AND(IFERROR(INDEX(tblMoveTypes[Qty?],MATCH($C9,tblMoveTypes[Movement],0)),"?")="Yes",IFERROR(INDEX(tblMoveTypes[In / Out],MATCH($C9,tblMoveTypes[Movement],0)),"?")="OUT"),"Out  ","")&amp;IF(IFERROR(INDEX(tblMoveTypes[Orders?],MATCH($C9,tblMoveTypes[Movement],0)),"?")="Yes","Orders  ","")&amp;IF(IFERROR(INDEX(tblMoveTypes[Courier?],MATCH($C9,tblMoveTypes[Movement],0)),"?")="Yes","Courier  ","")&amp;IF(IFERROR(INDEX(tblMoveTypes[Reason?],MATCH($C9,tblMoveTypes[Movement],0)),"?")="Yes","Reason",""),"unknown movement"))</f>
        <v>IN   fill: Item  In  </v>
      </c>
      <c r="E9" s="31" t="s">
        <v>106</v>
      </c>
      <c r="F9" s="33" t="n">
        <v>30</v>
      </c>
      <c r="G9" s="33"/>
      <c r="H9" s="33"/>
      <c r="I9" s="31"/>
      <c r="J9" s="31"/>
      <c r="K9" s="31"/>
      <c r="L9" s="31"/>
      <c r="M9" s="34" t="str">
        <f aca="false">IF($E9="","",IFERROR(INDEX(tblItems[Item Code],MATCH($E9,tblItems[Item Name],0)),"?"))</f>
        <v>EG-FG-DAT-01-02-01-01</v>
      </c>
      <c r="N9" s="34" t="str">
        <f aca="false">IF($B9="","",IFERROR(INDEX(tblShipment[Market],MATCH($B9,tblShipment[Shipment No],0)),"?"))</f>
        <v>Qatar</v>
      </c>
      <c r="O9" s="35" t="n">
        <f aca="false">N($F9)+N($G9)</f>
        <v>30</v>
      </c>
      <c r="P9" s="34" t="str">
        <f aca="false">IF($A9="","",IF($L9="Yes","VOID",IF(COUNTIFS(tblMoveTypes[Movement],$C9)=0,"Unknown movement",IF(COUNTIF(tblShipment[Shipment No],$B9)=0,"Unknown shipment",IF(AND(IFERROR(INDEX(tblMoveTypes[Item?],MATCH($C9,tblMoveTypes[Movement],0)),"?")="Yes",$E9=""),"Item needed",IF(AND(IFERROR(INDEX(tblMoveTypes[Item?],MATCH($C9,tblMoveTypes[Movement],0)),"?")="No",$E9&lt;&gt;""),"Leave Item blank",IF(AND(IFERROR(INDEX(tblMoveTypes[In / Out],MATCH($C9,tblMoveTypes[Movement],0)),"?")="IN",$G9&lt;&gt;""),"Use the In column, not Out",IF(AND(IFERROR(INDEX(tblMoveTypes[In / Out],MATCH($C9,tblMoveTypes[Movement],0)),"?")="OUT",$F9&lt;&gt;""),"Use the Out column, not In",IF(AND(IFERROR(INDEX(tblMoveTypes[Qty?],MATCH($C9,tblMoveTypes[Movement],0)),"?")="Yes",N($F9)+N($G9)&lt;=0),"Qty needed",IF(AND(IFERROR(INDEX(tblMoveTypes[Qty?],MATCH($C9,tblMoveTypes[Movement],0)),"?")="No",N($F9)+N($G9)&gt;0),"Leave In and Out blank",IF(AND(IFERROR(INDEX(tblMoveTypes[Courier?],MATCH($C9,tblMoveTypes[Movement],0)),"?")="Yes",$I9=""),"Courier needed",IF(AND(IFERROR(INDEX(tblMoveTypes[Courier?],MATCH($C9,tblMoveTypes[Movement],0)),"?")="No",$I9&lt;&gt;""),"Leave Courier blank",IF(AND(IFERROR(INDEX(tblMoveTypes[Orders?],MATCH($C9,tblMoveTypes[Movement],0)),"?")="Yes",$H9=""),"Orders needed",IF(AND(IFERROR(INDEX(tblMoveTypes[Orders?],MATCH($C9,tblMoveTypes[Movement],0)),"?")="No",$H9&lt;&gt;""),"Leave Orders blank",IF(AND(IFERROR(INDEX(tblMoveTypes[Reason?],MATCH($C9,tblMoveTypes[Movement],0)),"?")="Yes",$J9=""),"Reason needed",IF($A9&lt;_xlfn.MINIFS(tblShipment[Arrival Date],tblShipment[Shipment No],$B9),"Date before arrival",IF(AND($E9&lt;&gt;"",COUNTIFS(tblShipment[Shipment No],$B9,tblShipment[Item Name],$E9)=0),"Item not in this shipment","OK")))))))))))))))))</f>
        <v>OK</v>
      </c>
    </row>
    <row r="10" customFormat="false" ht="15" hidden="false" customHeight="false" outlineLevel="0" collapsed="false">
      <c r="A10" s="32" t="n">
        <v>46227</v>
      </c>
      <c r="B10" s="31" t="s">
        <v>158</v>
      </c>
      <c r="C10" s="31" t="s">
        <v>79</v>
      </c>
      <c r="D10" s="34" t="str">
        <f aca="false">IF($C10="","",IFERROR(IF(IFERROR(INDEX(tblMoveTypes[In / Out],MATCH($C10,tblMoveTypes[Movement],0)),"?")="IN","IN   ",IF(IFERROR(INDEX(tblMoveTypes[In / Out],MATCH($C10,tblMoveTypes[Movement],0)),"?")="OUT","OUT   ","--   "))&amp;"fill: "&amp;IF(IFERROR(INDEX(tblMoveTypes[Item?],MATCH($C10,tblMoveTypes[Movement],0)),"?")="Yes","Item  ","")&amp;IF(AND(IFERROR(INDEX(tblMoveTypes[Qty?],MATCH($C10,tblMoveTypes[Movement],0)),"?")="Yes",IFERROR(INDEX(tblMoveTypes[In / Out],MATCH($C10,tblMoveTypes[Movement],0)),"?")="IN"),"In  ","")&amp;IF(AND(IFERROR(INDEX(tblMoveTypes[Qty?],MATCH($C10,tblMoveTypes[Movement],0)),"?")="Yes",IFERROR(INDEX(tblMoveTypes[In / Out],MATCH($C10,tblMoveTypes[Movement],0)),"?")="OUT"),"Out  ","")&amp;IF(IFERROR(INDEX(tblMoveTypes[Orders?],MATCH($C10,tblMoveTypes[Movement],0)),"?")="Yes","Orders  ","")&amp;IF(IFERROR(INDEX(tblMoveTypes[Courier?],MATCH($C10,tblMoveTypes[Movement],0)),"?")="Yes","Courier  ","")&amp;IF(IFERROR(INDEX(tblMoveTypes[Reason?],MATCH($C10,tblMoveTypes[Movement],0)),"?")="Yes","Reason",""),"unknown movement"))</f>
        <v>IN   fill: Item  In  </v>
      </c>
      <c r="E10" s="31" t="s">
        <v>100</v>
      </c>
      <c r="F10" s="33" t="n">
        <v>35</v>
      </c>
      <c r="G10" s="33"/>
      <c r="H10" s="33"/>
      <c r="I10" s="31"/>
      <c r="J10" s="31"/>
      <c r="K10" s="31"/>
      <c r="L10" s="31"/>
      <c r="M10" s="34" t="str">
        <f aca="false">IF($E10="","",IFERROR(INDEX(tblItems[Item Code],MATCH($E10,tblItems[Item Name],0)),"?"))</f>
        <v>EG-FG-MNG-18-02-01-01</v>
      </c>
      <c r="N10" s="34" t="str">
        <f aca="false">IF($B10="","",IFERROR(INDEX(tblShipment[Market],MATCH($B10,tblShipment[Shipment No],0)),"?"))</f>
        <v>Qatar</v>
      </c>
      <c r="O10" s="35" t="n">
        <f aca="false">N($F10)+N($G10)</f>
        <v>35</v>
      </c>
      <c r="P10" s="34" t="str">
        <f aca="false">IF($A10="","",IF($L10="Yes","VOID",IF(COUNTIFS(tblMoveTypes[Movement],$C10)=0,"Unknown movement",IF(COUNTIF(tblShipment[Shipment No],$B10)=0,"Unknown shipment",IF(AND(IFERROR(INDEX(tblMoveTypes[Item?],MATCH($C10,tblMoveTypes[Movement],0)),"?")="Yes",$E10=""),"Item needed",IF(AND(IFERROR(INDEX(tblMoveTypes[Item?],MATCH($C10,tblMoveTypes[Movement],0)),"?")="No",$E10&lt;&gt;""),"Leave Item blank",IF(AND(IFERROR(INDEX(tblMoveTypes[In / Out],MATCH($C10,tblMoveTypes[Movement],0)),"?")="IN",$G10&lt;&gt;""),"Use the In column, not Out",IF(AND(IFERROR(INDEX(tblMoveTypes[In / Out],MATCH($C10,tblMoveTypes[Movement],0)),"?")="OUT",$F10&lt;&gt;""),"Use the Out column, not In",IF(AND(IFERROR(INDEX(tblMoveTypes[Qty?],MATCH($C10,tblMoveTypes[Movement],0)),"?")="Yes",N($F10)+N($G10)&lt;=0),"Qty needed",IF(AND(IFERROR(INDEX(tblMoveTypes[Qty?],MATCH($C10,tblMoveTypes[Movement],0)),"?")="No",N($F10)+N($G10)&gt;0),"Leave In and Out blank",IF(AND(IFERROR(INDEX(tblMoveTypes[Courier?],MATCH($C10,tblMoveTypes[Movement],0)),"?")="Yes",$I10=""),"Courier needed",IF(AND(IFERROR(INDEX(tblMoveTypes[Courier?],MATCH($C10,tblMoveTypes[Movement],0)),"?")="No",$I10&lt;&gt;""),"Leave Courier blank",IF(AND(IFERROR(INDEX(tblMoveTypes[Orders?],MATCH($C10,tblMoveTypes[Movement],0)),"?")="Yes",$H10=""),"Orders needed",IF(AND(IFERROR(INDEX(tblMoveTypes[Orders?],MATCH($C10,tblMoveTypes[Movement],0)),"?")="No",$H10&lt;&gt;""),"Leave Orders blank",IF(AND(IFERROR(INDEX(tblMoveTypes[Reason?],MATCH($C10,tblMoveTypes[Movement],0)),"?")="Yes",$J10=""),"Reason needed",IF($A10&lt;_xlfn.MINIFS(tblShipment[Arrival Date],tblShipment[Shipment No],$B10),"Date before arrival",IF(AND($E10&lt;&gt;"",COUNTIFS(tblShipment[Shipment No],$B10,tblShipment[Item Name],$E10)=0),"Item not in this shipment","OK")))))))))))))))))</f>
        <v>OK</v>
      </c>
    </row>
    <row r="11" customFormat="false" ht="15" hidden="false" customHeight="false" outlineLevel="0" collapsed="false">
      <c r="A11" s="32" t="n">
        <v>46227</v>
      </c>
      <c r="B11" s="31" t="s">
        <v>158</v>
      </c>
      <c r="C11" s="31" t="s">
        <v>79</v>
      </c>
      <c r="D11" s="34" t="str">
        <f aca="false">IF($C11="","",IFERROR(IF(IFERROR(INDEX(tblMoveTypes[In / Out],MATCH($C11,tblMoveTypes[Movement],0)),"?")="IN","IN   ",IF(IFERROR(INDEX(tblMoveTypes[In / Out],MATCH($C11,tblMoveTypes[Movement],0)),"?")="OUT","OUT   ","--   "))&amp;"fill: "&amp;IF(IFERROR(INDEX(tblMoveTypes[Item?],MATCH($C11,tblMoveTypes[Movement],0)),"?")="Yes","Item  ","")&amp;IF(AND(IFERROR(INDEX(tblMoveTypes[Qty?],MATCH($C11,tblMoveTypes[Movement],0)),"?")="Yes",IFERROR(INDEX(tblMoveTypes[In / Out],MATCH($C11,tblMoveTypes[Movement],0)),"?")="IN"),"In  ","")&amp;IF(AND(IFERROR(INDEX(tblMoveTypes[Qty?],MATCH($C11,tblMoveTypes[Movement],0)),"?")="Yes",IFERROR(INDEX(tblMoveTypes[In / Out],MATCH($C11,tblMoveTypes[Movement],0)),"?")="OUT"),"Out  ","")&amp;IF(IFERROR(INDEX(tblMoveTypes[Orders?],MATCH($C11,tblMoveTypes[Movement],0)),"?")="Yes","Orders  ","")&amp;IF(IFERROR(INDEX(tblMoveTypes[Courier?],MATCH($C11,tblMoveTypes[Movement],0)),"?")="Yes","Courier  ","")&amp;IF(IFERROR(INDEX(tblMoveTypes[Reason?],MATCH($C11,tblMoveTypes[Movement],0)),"?")="Yes","Reason",""),"unknown movement"))</f>
        <v>IN   fill: Item  In  </v>
      </c>
      <c r="E11" s="31" t="s">
        <v>91</v>
      </c>
      <c r="F11" s="33" t="n">
        <v>75</v>
      </c>
      <c r="G11" s="33"/>
      <c r="H11" s="33"/>
      <c r="I11" s="31"/>
      <c r="J11" s="31"/>
      <c r="K11" s="31"/>
      <c r="L11" s="31"/>
      <c r="M11" s="34" t="str">
        <f aca="false">IF($E11="","",IFERROR(INDEX(tblItems[Item Code],MATCH($E11,tblItems[Item Name],0)),"?"))</f>
        <v>EG-FG-FIG-01-02-01-01</v>
      </c>
      <c r="N11" s="34" t="str">
        <f aca="false">IF($B11="","",IFERROR(INDEX(tblShipment[Market],MATCH($B11,tblShipment[Shipment No],0)),"?"))</f>
        <v>Qatar</v>
      </c>
      <c r="O11" s="35" t="n">
        <f aca="false">N($F11)+N($G11)</f>
        <v>75</v>
      </c>
      <c r="P11" s="34" t="str">
        <f aca="false">IF($A11="","",IF($L11="Yes","VOID",IF(COUNTIFS(tblMoveTypes[Movement],$C11)=0,"Unknown movement",IF(COUNTIF(tblShipment[Shipment No],$B11)=0,"Unknown shipment",IF(AND(IFERROR(INDEX(tblMoveTypes[Item?],MATCH($C11,tblMoveTypes[Movement],0)),"?")="Yes",$E11=""),"Item needed",IF(AND(IFERROR(INDEX(tblMoveTypes[Item?],MATCH($C11,tblMoveTypes[Movement],0)),"?")="No",$E11&lt;&gt;""),"Leave Item blank",IF(AND(IFERROR(INDEX(tblMoveTypes[In / Out],MATCH($C11,tblMoveTypes[Movement],0)),"?")="IN",$G11&lt;&gt;""),"Use the In column, not Out",IF(AND(IFERROR(INDEX(tblMoveTypes[In / Out],MATCH($C11,tblMoveTypes[Movement],0)),"?")="OUT",$F11&lt;&gt;""),"Use the Out column, not In",IF(AND(IFERROR(INDEX(tblMoveTypes[Qty?],MATCH($C11,tblMoveTypes[Movement],0)),"?")="Yes",N($F11)+N($G11)&lt;=0),"Qty needed",IF(AND(IFERROR(INDEX(tblMoveTypes[Qty?],MATCH($C11,tblMoveTypes[Movement],0)),"?")="No",N($F11)+N($G11)&gt;0),"Leave In and Out blank",IF(AND(IFERROR(INDEX(tblMoveTypes[Courier?],MATCH($C11,tblMoveTypes[Movement],0)),"?")="Yes",$I11=""),"Courier needed",IF(AND(IFERROR(INDEX(tblMoveTypes[Courier?],MATCH($C11,tblMoveTypes[Movement],0)),"?")="No",$I11&lt;&gt;""),"Leave Courier blank",IF(AND(IFERROR(INDEX(tblMoveTypes[Orders?],MATCH($C11,tblMoveTypes[Movement],0)),"?")="Yes",$H11=""),"Orders needed",IF(AND(IFERROR(INDEX(tblMoveTypes[Orders?],MATCH($C11,tblMoveTypes[Movement],0)),"?")="No",$H11&lt;&gt;""),"Leave Orders blank",IF(AND(IFERROR(INDEX(tblMoveTypes[Reason?],MATCH($C11,tblMoveTypes[Movement],0)),"?")="Yes",$J11=""),"Reason needed",IF($A11&lt;_xlfn.MINIFS(tblShipment[Arrival Date],tblShipment[Shipment No],$B11),"Date before arrival",IF(AND($E11&lt;&gt;"",COUNTIFS(tblShipment[Shipment No],$B11,tblShipment[Item Name],$E11)=0),"Item not in this shipment","OK")))))))))))))))))</f>
        <v>OK</v>
      </c>
    </row>
    <row r="12" customFormat="false" ht="15" hidden="false" customHeight="false" outlineLevel="0" collapsed="false">
      <c r="A12" s="32" t="n">
        <v>46227</v>
      </c>
      <c r="B12" s="31" t="s">
        <v>158</v>
      </c>
      <c r="C12" s="31" t="s">
        <v>78</v>
      </c>
      <c r="D12" s="34" t="str">
        <f aca="false">IF($C12="","",IFERROR(IF(IFERROR(INDEX(tblMoveTypes[In / Out],MATCH($C12,tblMoveTypes[Movement],0)),"?")="IN","IN   ",IF(IFERROR(INDEX(tblMoveTypes[In / Out],MATCH($C12,tblMoveTypes[Movement],0)),"?")="OUT","OUT   ","--   "))&amp;"fill: "&amp;IF(IFERROR(INDEX(tblMoveTypes[Item?],MATCH($C12,tblMoveTypes[Movement],0)),"?")="Yes","Item  ","")&amp;IF(AND(IFERROR(INDEX(tblMoveTypes[Qty?],MATCH($C12,tblMoveTypes[Movement],0)),"?")="Yes",IFERROR(INDEX(tblMoveTypes[In / Out],MATCH($C12,tblMoveTypes[Movement],0)),"?")="IN"),"In  ","")&amp;IF(AND(IFERROR(INDEX(tblMoveTypes[Qty?],MATCH($C12,tblMoveTypes[Movement],0)),"?")="Yes",IFERROR(INDEX(tblMoveTypes[In / Out],MATCH($C12,tblMoveTypes[Movement],0)),"?")="OUT"),"Out  ","")&amp;IF(IFERROR(INDEX(tblMoveTypes[Orders?],MATCH($C12,tblMoveTypes[Movement],0)),"?")="Yes","Orders  ","")&amp;IF(IFERROR(INDEX(tblMoveTypes[Courier?],MATCH($C12,tblMoveTypes[Movement],0)),"?")="Yes","Courier  ","")&amp;IF(IFERROR(INDEX(tblMoveTypes[Reason?],MATCH($C12,tblMoveTypes[Movement],0)),"?")="Yes","Reason",""),"unknown movement"))</f>
        <v>OUT   fill: Item  Out  Reason</v>
      </c>
      <c r="E12" s="31" t="s">
        <v>91</v>
      </c>
      <c r="F12" s="33"/>
      <c r="G12" s="33" t="n">
        <v>2</v>
      </c>
      <c r="H12" s="33"/>
      <c r="I12" s="31"/>
      <c r="J12" s="31" t="s">
        <v>77</v>
      </c>
      <c r="K12" s="31"/>
      <c r="L12" s="31"/>
      <c r="M12" s="34" t="str">
        <f aca="false">IF($E12="","",IFERROR(INDEX(tblItems[Item Code],MATCH($E12,tblItems[Item Name],0)),"?"))</f>
        <v>EG-FG-FIG-01-02-01-01</v>
      </c>
      <c r="N12" s="34" t="str">
        <f aca="false">IF($B12="","",IFERROR(INDEX(tblShipment[Market],MATCH($B12,tblShipment[Shipment No],0)),"?"))</f>
        <v>Qatar</v>
      </c>
      <c r="O12" s="35" t="n">
        <f aca="false">N($F12)+N($G12)</f>
        <v>2</v>
      </c>
      <c r="P12" s="34" t="str">
        <f aca="false">IF($A12="","",IF($L12="Yes","VOID",IF(COUNTIFS(tblMoveTypes[Movement],$C12)=0,"Unknown movement",IF(COUNTIF(tblShipment[Shipment No],$B12)=0,"Unknown shipment",IF(AND(IFERROR(INDEX(tblMoveTypes[Item?],MATCH($C12,tblMoveTypes[Movement],0)),"?")="Yes",$E12=""),"Item needed",IF(AND(IFERROR(INDEX(tblMoveTypes[Item?],MATCH($C12,tblMoveTypes[Movement],0)),"?")="No",$E12&lt;&gt;""),"Leave Item blank",IF(AND(IFERROR(INDEX(tblMoveTypes[In / Out],MATCH($C12,tblMoveTypes[Movement],0)),"?")="IN",$G12&lt;&gt;""),"Use the In column, not Out",IF(AND(IFERROR(INDEX(tblMoveTypes[In / Out],MATCH($C12,tblMoveTypes[Movement],0)),"?")="OUT",$F12&lt;&gt;""),"Use the Out column, not In",IF(AND(IFERROR(INDEX(tblMoveTypes[Qty?],MATCH($C12,tblMoveTypes[Movement],0)),"?")="Yes",N($F12)+N($G12)&lt;=0),"Qty needed",IF(AND(IFERROR(INDEX(tblMoveTypes[Qty?],MATCH($C12,tblMoveTypes[Movement],0)),"?")="No",N($F12)+N($G12)&gt;0),"Leave In and Out blank",IF(AND(IFERROR(INDEX(tblMoveTypes[Courier?],MATCH($C12,tblMoveTypes[Movement],0)),"?")="Yes",$I12=""),"Courier needed",IF(AND(IFERROR(INDEX(tblMoveTypes[Courier?],MATCH($C12,tblMoveTypes[Movement],0)),"?")="No",$I12&lt;&gt;""),"Leave Courier blank",IF(AND(IFERROR(INDEX(tblMoveTypes[Orders?],MATCH($C12,tblMoveTypes[Movement],0)),"?")="Yes",$H12=""),"Orders needed",IF(AND(IFERROR(INDEX(tblMoveTypes[Orders?],MATCH($C12,tblMoveTypes[Movement],0)),"?")="No",$H12&lt;&gt;""),"Leave Orders blank",IF(AND(IFERROR(INDEX(tblMoveTypes[Reason?],MATCH($C12,tblMoveTypes[Movement],0)),"?")="Yes",$J12=""),"Reason needed",IF($A12&lt;_xlfn.MINIFS(tblShipment[Arrival Date],tblShipment[Shipment No],$B12),"Date before arrival",IF(AND($E12&lt;&gt;"",COUNTIFS(tblShipment[Shipment No],$B12,tblShipment[Item Name],$E12)=0),"Item not in this shipment","OK")))))))))))))))))</f>
        <v>OK</v>
      </c>
    </row>
    <row r="13" customFormat="false" ht="15" hidden="false" customHeight="false" outlineLevel="0" collapsed="false">
      <c r="A13" s="32" t="n">
        <v>46227</v>
      </c>
      <c r="B13" s="31" t="s">
        <v>158</v>
      </c>
      <c r="C13" s="31" t="s">
        <v>79</v>
      </c>
      <c r="D13" s="34" t="str">
        <f aca="false">IF($C13="","",IFERROR(IF(IFERROR(INDEX(tblMoveTypes[In / Out],MATCH($C13,tblMoveTypes[Movement],0)),"?")="IN","IN   ",IF(IFERROR(INDEX(tblMoveTypes[In / Out],MATCH($C13,tblMoveTypes[Movement],0)),"?")="OUT","OUT   ","--   "))&amp;"fill: "&amp;IF(IFERROR(INDEX(tblMoveTypes[Item?],MATCH($C13,tblMoveTypes[Movement],0)),"?")="Yes","Item  ","")&amp;IF(AND(IFERROR(INDEX(tblMoveTypes[Qty?],MATCH($C13,tblMoveTypes[Movement],0)),"?")="Yes",IFERROR(INDEX(tblMoveTypes[In / Out],MATCH($C13,tblMoveTypes[Movement],0)),"?")="IN"),"In  ","")&amp;IF(AND(IFERROR(INDEX(tblMoveTypes[Qty?],MATCH($C13,tblMoveTypes[Movement],0)),"?")="Yes",IFERROR(INDEX(tblMoveTypes[In / Out],MATCH($C13,tblMoveTypes[Movement],0)),"?")="OUT"),"Out  ","")&amp;IF(IFERROR(INDEX(tblMoveTypes[Orders?],MATCH($C13,tblMoveTypes[Movement],0)),"?")="Yes","Orders  ","")&amp;IF(IFERROR(INDEX(tblMoveTypes[Courier?],MATCH($C13,tblMoveTypes[Movement],0)),"?")="Yes","Courier  ","")&amp;IF(IFERROR(INDEX(tblMoveTypes[Reason?],MATCH($C13,tblMoveTypes[Movement],0)),"?")="Yes","Reason",""),"unknown movement"))</f>
        <v>IN   fill: Item  In  </v>
      </c>
      <c r="E13" s="31" t="s">
        <v>84</v>
      </c>
      <c r="F13" s="33" t="n">
        <v>125</v>
      </c>
      <c r="G13" s="33"/>
      <c r="H13" s="33"/>
      <c r="I13" s="31"/>
      <c r="J13" s="31"/>
      <c r="K13" s="31"/>
      <c r="L13" s="31"/>
      <c r="M13" s="34" t="str">
        <f aca="false">IF($E13="","",IFERROR(INDEX(tblItems[Item Code],MATCH($E13,tblItems[Item Name],0)),"?"))</f>
        <v>EG-FG-MNG-12-02-01-01</v>
      </c>
      <c r="N13" s="34" t="str">
        <f aca="false">IF($B13="","",IFERROR(INDEX(tblShipment[Market],MATCH($B13,tblShipment[Shipment No],0)),"?"))</f>
        <v>Qatar</v>
      </c>
      <c r="O13" s="35" t="n">
        <f aca="false">N($F13)+N($G13)</f>
        <v>125</v>
      </c>
      <c r="P13" s="34" t="str">
        <f aca="false">IF($A13="","",IF($L13="Yes","VOID",IF(COUNTIFS(tblMoveTypes[Movement],$C13)=0,"Unknown movement",IF(COUNTIF(tblShipment[Shipment No],$B13)=0,"Unknown shipment",IF(AND(IFERROR(INDEX(tblMoveTypes[Item?],MATCH($C13,tblMoveTypes[Movement],0)),"?")="Yes",$E13=""),"Item needed",IF(AND(IFERROR(INDEX(tblMoveTypes[Item?],MATCH($C13,tblMoveTypes[Movement],0)),"?")="No",$E13&lt;&gt;""),"Leave Item blank",IF(AND(IFERROR(INDEX(tblMoveTypes[In / Out],MATCH($C13,tblMoveTypes[Movement],0)),"?")="IN",$G13&lt;&gt;""),"Use the In column, not Out",IF(AND(IFERROR(INDEX(tblMoveTypes[In / Out],MATCH($C13,tblMoveTypes[Movement],0)),"?")="OUT",$F13&lt;&gt;""),"Use the Out column, not In",IF(AND(IFERROR(INDEX(tblMoveTypes[Qty?],MATCH($C13,tblMoveTypes[Movement],0)),"?")="Yes",N($F13)+N($G13)&lt;=0),"Qty needed",IF(AND(IFERROR(INDEX(tblMoveTypes[Qty?],MATCH($C13,tblMoveTypes[Movement],0)),"?")="No",N($F13)+N($G13)&gt;0),"Leave In and Out blank",IF(AND(IFERROR(INDEX(tblMoveTypes[Courier?],MATCH($C13,tblMoveTypes[Movement],0)),"?")="Yes",$I13=""),"Courier needed",IF(AND(IFERROR(INDEX(tblMoveTypes[Courier?],MATCH($C13,tblMoveTypes[Movement],0)),"?")="No",$I13&lt;&gt;""),"Leave Courier blank",IF(AND(IFERROR(INDEX(tblMoveTypes[Orders?],MATCH($C13,tblMoveTypes[Movement],0)),"?")="Yes",$H13=""),"Orders needed",IF(AND(IFERROR(INDEX(tblMoveTypes[Orders?],MATCH($C13,tblMoveTypes[Movement],0)),"?")="No",$H13&lt;&gt;""),"Leave Orders blank",IF(AND(IFERROR(INDEX(tblMoveTypes[Reason?],MATCH($C13,tblMoveTypes[Movement],0)),"?")="Yes",$J13=""),"Reason needed",IF($A13&lt;_xlfn.MINIFS(tblShipment[Arrival Date],tblShipment[Shipment No],$B13),"Date before arrival",IF(AND($E13&lt;&gt;"",COUNTIFS(tblShipment[Shipment No],$B13,tblShipment[Item Name],$E13)=0),"Item not in this shipment","OK")))))))))))))))))</f>
        <v>OK</v>
      </c>
    </row>
    <row r="14" customFormat="false" ht="15" hidden="false" customHeight="false" outlineLevel="0" collapsed="false">
      <c r="A14" s="32" t="n">
        <v>46227</v>
      </c>
      <c r="B14" s="31" t="s">
        <v>158</v>
      </c>
      <c r="C14" s="31" t="s">
        <v>78</v>
      </c>
      <c r="D14" s="34" t="str">
        <f aca="false">IF($C14="","",IFERROR(IF(IFERROR(INDEX(tblMoveTypes[In / Out],MATCH($C14,tblMoveTypes[Movement],0)),"?")="IN","IN   ",IF(IFERROR(INDEX(tblMoveTypes[In / Out],MATCH($C14,tblMoveTypes[Movement],0)),"?")="OUT","OUT   ","--   "))&amp;"fill: "&amp;IF(IFERROR(INDEX(tblMoveTypes[Item?],MATCH($C14,tblMoveTypes[Movement],0)),"?")="Yes","Item  ","")&amp;IF(AND(IFERROR(INDEX(tblMoveTypes[Qty?],MATCH($C14,tblMoveTypes[Movement],0)),"?")="Yes",IFERROR(INDEX(tblMoveTypes[In / Out],MATCH($C14,tblMoveTypes[Movement],0)),"?")="IN"),"In  ","")&amp;IF(AND(IFERROR(INDEX(tblMoveTypes[Qty?],MATCH($C14,tblMoveTypes[Movement],0)),"?")="Yes",IFERROR(INDEX(tblMoveTypes[In / Out],MATCH($C14,tblMoveTypes[Movement],0)),"?")="OUT"),"Out  ","")&amp;IF(IFERROR(INDEX(tblMoveTypes[Orders?],MATCH($C14,tblMoveTypes[Movement],0)),"?")="Yes","Orders  ","")&amp;IF(IFERROR(INDEX(tblMoveTypes[Courier?],MATCH($C14,tblMoveTypes[Movement],0)),"?")="Yes","Courier  ","")&amp;IF(IFERROR(INDEX(tblMoveTypes[Reason?],MATCH($C14,tblMoveTypes[Movement],0)),"?")="Yes","Reason",""),"unknown movement"))</f>
        <v>OUT   fill: Item  Out  Reason</v>
      </c>
      <c r="E14" s="31" t="s">
        <v>84</v>
      </c>
      <c r="F14" s="33"/>
      <c r="G14" s="33" t="n">
        <v>1</v>
      </c>
      <c r="H14" s="33"/>
      <c r="I14" s="31"/>
      <c r="J14" s="31" t="s">
        <v>77</v>
      </c>
      <c r="K14" s="31"/>
      <c r="L14" s="31"/>
      <c r="M14" s="34" t="str">
        <f aca="false">IF($E14="","",IFERROR(INDEX(tblItems[Item Code],MATCH($E14,tblItems[Item Name],0)),"?"))</f>
        <v>EG-FG-MNG-12-02-01-01</v>
      </c>
      <c r="N14" s="34" t="str">
        <f aca="false">IF($B14="","",IFERROR(INDEX(tblShipment[Market],MATCH($B14,tblShipment[Shipment No],0)),"?"))</f>
        <v>Qatar</v>
      </c>
      <c r="O14" s="35" t="n">
        <f aca="false">N($F14)+N($G14)</f>
        <v>1</v>
      </c>
      <c r="P14" s="34" t="str">
        <f aca="false">IF($A14="","",IF($L14="Yes","VOID",IF(COUNTIFS(tblMoveTypes[Movement],$C14)=0,"Unknown movement",IF(COUNTIF(tblShipment[Shipment No],$B14)=0,"Unknown shipment",IF(AND(IFERROR(INDEX(tblMoveTypes[Item?],MATCH($C14,tblMoveTypes[Movement],0)),"?")="Yes",$E14=""),"Item needed",IF(AND(IFERROR(INDEX(tblMoveTypes[Item?],MATCH($C14,tblMoveTypes[Movement],0)),"?")="No",$E14&lt;&gt;""),"Leave Item blank",IF(AND(IFERROR(INDEX(tblMoveTypes[In / Out],MATCH($C14,tblMoveTypes[Movement],0)),"?")="IN",$G14&lt;&gt;""),"Use the In column, not Out",IF(AND(IFERROR(INDEX(tblMoveTypes[In / Out],MATCH($C14,tblMoveTypes[Movement],0)),"?")="OUT",$F14&lt;&gt;""),"Use the Out column, not In",IF(AND(IFERROR(INDEX(tblMoveTypes[Qty?],MATCH($C14,tblMoveTypes[Movement],0)),"?")="Yes",N($F14)+N($G14)&lt;=0),"Qty needed",IF(AND(IFERROR(INDEX(tblMoveTypes[Qty?],MATCH($C14,tblMoveTypes[Movement],0)),"?")="No",N($F14)+N($G14)&gt;0),"Leave In and Out blank",IF(AND(IFERROR(INDEX(tblMoveTypes[Courier?],MATCH($C14,tblMoveTypes[Movement],0)),"?")="Yes",$I14=""),"Courier needed",IF(AND(IFERROR(INDEX(tblMoveTypes[Courier?],MATCH($C14,tblMoveTypes[Movement],0)),"?")="No",$I14&lt;&gt;""),"Leave Courier blank",IF(AND(IFERROR(INDEX(tblMoveTypes[Orders?],MATCH($C14,tblMoveTypes[Movement],0)),"?")="Yes",$H14=""),"Orders needed",IF(AND(IFERROR(INDEX(tblMoveTypes[Orders?],MATCH($C14,tblMoveTypes[Movement],0)),"?")="No",$H14&lt;&gt;""),"Leave Orders blank",IF(AND(IFERROR(INDEX(tblMoveTypes[Reason?],MATCH($C14,tblMoveTypes[Movement],0)),"?")="Yes",$J14=""),"Reason needed",IF($A14&lt;_xlfn.MINIFS(tblShipment[Arrival Date],tblShipment[Shipment No],$B14),"Date before arrival",IF(AND($E14&lt;&gt;"",COUNTIFS(tblShipment[Shipment No],$B14,tblShipment[Item Name],$E14)=0),"Item not in this shipment","OK")))))))))))))))))</f>
        <v>OK</v>
      </c>
    </row>
    <row r="15" customFormat="false" ht="15" hidden="false" customHeight="false" outlineLevel="0" collapsed="false">
      <c r="A15" s="32" t="n">
        <v>46227</v>
      </c>
      <c r="B15" s="31" t="s">
        <v>158</v>
      </c>
      <c r="C15" s="31" t="s">
        <v>87</v>
      </c>
      <c r="D15" s="34" t="str">
        <f aca="false">IF($C15="","",IFERROR(IF(IFERROR(INDEX(tblMoveTypes[In / Out],MATCH($C15,tblMoveTypes[Movement],0)),"?")="IN","IN   ",IF(IFERROR(INDEX(tblMoveTypes[In / Out],MATCH($C15,tblMoveTypes[Movement],0)),"?")="OUT","OUT   ","--   "))&amp;"fill: "&amp;IF(IFERROR(INDEX(tblMoveTypes[Item?],MATCH($C15,tblMoveTypes[Movement],0)),"?")="Yes","Item  ","")&amp;IF(AND(IFERROR(INDEX(tblMoveTypes[Qty?],MATCH($C15,tblMoveTypes[Movement],0)),"?")="Yes",IFERROR(INDEX(tblMoveTypes[In / Out],MATCH($C15,tblMoveTypes[Movement],0)),"?")="IN"),"In  ","")&amp;IF(AND(IFERROR(INDEX(tblMoveTypes[Qty?],MATCH($C15,tblMoveTypes[Movement],0)),"?")="Yes",IFERROR(INDEX(tblMoveTypes[In / Out],MATCH($C15,tblMoveTypes[Movement],0)),"?")="OUT"),"Out  ","")&amp;IF(IFERROR(INDEX(tblMoveTypes[Orders?],MATCH($C15,tblMoveTypes[Movement],0)),"?")="Yes","Orders  ","")&amp;IF(IFERROR(INDEX(tblMoveTypes[Courier?],MATCH($C15,tblMoveTypes[Movement],0)),"?")="Yes","Courier  ","")&amp;IF(IFERROR(INDEX(tblMoveTypes[Reason?],MATCH($C15,tblMoveTypes[Movement],0)),"?")="Yes","Reason",""),"unknown movement"))</f>
        <v>OUT   fill: Item  Out  </v>
      </c>
      <c r="E15" s="31" t="s">
        <v>117</v>
      </c>
      <c r="F15" s="33"/>
      <c r="G15" s="33" t="n">
        <v>3</v>
      </c>
      <c r="H15" s="33"/>
      <c r="I15" s="31"/>
      <c r="J15" s="31"/>
      <c r="K15" s="31" t="s">
        <v>179</v>
      </c>
      <c r="L15" s="31"/>
      <c r="M15" s="34" t="str">
        <f aca="false">IF($E15="","",IFERROR(INDEX(tblItems[Item Code],MATCH($E15,tblItems[Item Name],0)),"?"))</f>
        <v>EG-FG-MNG-06-02-01-01</v>
      </c>
      <c r="N15" s="34" t="str">
        <f aca="false">IF($B15="","",IFERROR(INDEX(tblShipment[Market],MATCH($B15,tblShipment[Shipment No],0)),"?"))</f>
        <v>Qatar</v>
      </c>
      <c r="O15" s="35" t="n">
        <f aca="false">N($F15)+N($G15)</f>
        <v>3</v>
      </c>
      <c r="P15" s="34" t="str">
        <f aca="false">IF($A15="","",IF($L15="Yes","VOID",IF(COUNTIFS(tblMoveTypes[Movement],$C15)=0,"Unknown movement",IF(COUNTIF(tblShipment[Shipment No],$B15)=0,"Unknown shipment",IF(AND(IFERROR(INDEX(tblMoveTypes[Item?],MATCH($C15,tblMoveTypes[Movement],0)),"?")="Yes",$E15=""),"Item needed",IF(AND(IFERROR(INDEX(tblMoveTypes[Item?],MATCH($C15,tblMoveTypes[Movement],0)),"?")="No",$E15&lt;&gt;""),"Leave Item blank",IF(AND(IFERROR(INDEX(tblMoveTypes[In / Out],MATCH($C15,tblMoveTypes[Movement],0)),"?")="IN",$G15&lt;&gt;""),"Use the In column, not Out",IF(AND(IFERROR(INDEX(tblMoveTypes[In / Out],MATCH($C15,tblMoveTypes[Movement],0)),"?")="OUT",$F15&lt;&gt;""),"Use the Out column, not In",IF(AND(IFERROR(INDEX(tblMoveTypes[Qty?],MATCH($C15,tblMoveTypes[Movement],0)),"?")="Yes",N($F15)+N($G15)&lt;=0),"Qty needed",IF(AND(IFERROR(INDEX(tblMoveTypes[Qty?],MATCH($C15,tblMoveTypes[Movement],0)),"?")="No",N($F15)+N($G15)&gt;0),"Leave In and Out blank",IF(AND(IFERROR(INDEX(tblMoveTypes[Courier?],MATCH($C15,tblMoveTypes[Movement],0)),"?")="Yes",$I15=""),"Courier needed",IF(AND(IFERROR(INDEX(tblMoveTypes[Courier?],MATCH($C15,tblMoveTypes[Movement],0)),"?")="No",$I15&lt;&gt;""),"Leave Courier blank",IF(AND(IFERROR(INDEX(tblMoveTypes[Orders?],MATCH($C15,tblMoveTypes[Movement],0)),"?")="Yes",$H15=""),"Orders needed",IF(AND(IFERROR(INDEX(tblMoveTypes[Orders?],MATCH($C15,tblMoveTypes[Movement],0)),"?")="No",$H15&lt;&gt;""),"Leave Orders blank",IF(AND(IFERROR(INDEX(tblMoveTypes[Reason?],MATCH($C15,tblMoveTypes[Movement],0)),"?")="Yes",$J15=""),"Reason needed",IF($A15&lt;_xlfn.MINIFS(tblShipment[Arrival Date],tblShipment[Shipment No],$B15),"Date before arrival",IF(AND($E15&lt;&gt;"",COUNTIFS(tblShipment[Shipment No],$B15,tblShipment[Item Name],$E15)=0),"Item not in this shipment","OK")))))))))))))))))</f>
        <v>OK</v>
      </c>
    </row>
    <row r="16" customFormat="false" ht="15" hidden="false" customHeight="false" outlineLevel="0" collapsed="false">
      <c r="A16" s="32" t="n">
        <v>46227</v>
      </c>
      <c r="B16" s="31" t="s">
        <v>158</v>
      </c>
      <c r="C16" s="31" t="s">
        <v>79</v>
      </c>
      <c r="D16" s="34" t="str">
        <f aca="false">IF($C16="","",IFERROR(IF(IFERROR(INDEX(tblMoveTypes[In / Out],MATCH($C16,tblMoveTypes[Movement],0)),"?")="IN","IN   ",IF(IFERROR(INDEX(tblMoveTypes[In / Out],MATCH($C16,tblMoveTypes[Movement],0)),"?")="OUT","OUT   ","--   "))&amp;"fill: "&amp;IF(IFERROR(INDEX(tblMoveTypes[Item?],MATCH($C16,tblMoveTypes[Movement],0)),"?")="Yes","Item  ","")&amp;IF(AND(IFERROR(INDEX(tblMoveTypes[Qty?],MATCH($C16,tblMoveTypes[Movement],0)),"?")="Yes",IFERROR(INDEX(tblMoveTypes[In / Out],MATCH($C16,tblMoveTypes[Movement],0)),"?")="IN"),"In  ","")&amp;IF(AND(IFERROR(INDEX(tblMoveTypes[Qty?],MATCH($C16,tblMoveTypes[Movement],0)),"?")="Yes",IFERROR(INDEX(tblMoveTypes[In / Out],MATCH($C16,tblMoveTypes[Movement],0)),"?")="OUT"),"Out  ","")&amp;IF(IFERROR(INDEX(tblMoveTypes[Orders?],MATCH($C16,tblMoveTypes[Movement],0)),"?")="Yes","Orders  ","")&amp;IF(IFERROR(INDEX(tblMoveTypes[Courier?],MATCH($C16,tblMoveTypes[Movement],0)),"?")="Yes","Courier  ","")&amp;IF(IFERROR(INDEX(tblMoveTypes[Reason?],MATCH($C16,tblMoveTypes[Movement],0)),"?")="Yes","Reason",""),"unknown movement"))</f>
        <v>IN   fill: Item  In  </v>
      </c>
      <c r="E16" s="31" t="s">
        <v>117</v>
      </c>
      <c r="F16" s="33" t="n">
        <v>17</v>
      </c>
      <c r="G16" s="33"/>
      <c r="H16" s="33"/>
      <c r="I16" s="31"/>
      <c r="J16" s="31"/>
      <c r="K16" s="31"/>
      <c r="L16" s="31"/>
      <c r="M16" s="34" t="str">
        <f aca="false">IF($E16="","",IFERROR(INDEX(tblItems[Item Code],MATCH($E16,tblItems[Item Name],0)),"?"))</f>
        <v>EG-FG-MNG-06-02-01-01</v>
      </c>
      <c r="N16" s="34" t="str">
        <f aca="false">IF($B16="","",IFERROR(INDEX(tblShipment[Market],MATCH($B16,tblShipment[Shipment No],0)),"?"))</f>
        <v>Qatar</v>
      </c>
      <c r="O16" s="35" t="n">
        <f aca="false">N($F16)+N($G16)</f>
        <v>17</v>
      </c>
      <c r="P16" s="34" t="str">
        <f aca="false">IF($A16="","",IF($L16="Yes","VOID",IF(COUNTIFS(tblMoveTypes[Movement],$C16)=0,"Unknown movement",IF(COUNTIF(tblShipment[Shipment No],$B16)=0,"Unknown shipment",IF(AND(IFERROR(INDEX(tblMoveTypes[Item?],MATCH($C16,tblMoveTypes[Movement],0)),"?")="Yes",$E16=""),"Item needed",IF(AND(IFERROR(INDEX(tblMoveTypes[Item?],MATCH($C16,tblMoveTypes[Movement],0)),"?")="No",$E16&lt;&gt;""),"Leave Item blank",IF(AND(IFERROR(INDEX(tblMoveTypes[In / Out],MATCH($C16,tblMoveTypes[Movement],0)),"?")="IN",$G16&lt;&gt;""),"Use the In column, not Out",IF(AND(IFERROR(INDEX(tblMoveTypes[In / Out],MATCH($C16,tblMoveTypes[Movement],0)),"?")="OUT",$F16&lt;&gt;""),"Use the Out column, not In",IF(AND(IFERROR(INDEX(tblMoveTypes[Qty?],MATCH($C16,tblMoveTypes[Movement],0)),"?")="Yes",N($F16)+N($G16)&lt;=0),"Qty needed",IF(AND(IFERROR(INDEX(tblMoveTypes[Qty?],MATCH($C16,tblMoveTypes[Movement],0)),"?")="No",N($F16)+N($G16)&gt;0),"Leave In and Out blank",IF(AND(IFERROR(INDEX(tblMoveTypes[Courier?],MATCH($C16,tblMoveTypes[Movement],0)),"?")="Yes",$I16=""),"Courier needed",IF(AND(IFERROR(INDEX(tblMoveTypes[Courier?],MATCH($C16,tblMoveTypes[Movement],0)),"?")="No",$I16&lt;&gt;""),"Leave Courier blank",IF(AND(IFERROR(INDEX(tblMoveTypes[Orders?],MATCH($C16,tblMoveTypes[Movement],0)),"?")="Yes",$H16=""),"Orders needed",IF(AND(IFERROR(INDEX(tblMoveTypes[Orders?],MATCH($C16,tblMoveTypes[Movement],0)),"?")="No",$H16&lt;&gt;""),"Leave Orders blank",IF(AND(IFERROR(INDEX(tblMoveTypes[Reason?],MATCH($C16,tblMoveTypes[Movement],0)),"?")="Yes",$J16=""),"Reason needed",IF($A16&lt;_xlfn.MINIFS(tblShipment[Arrival Date],tblShipment[Shipment No],$B16),"Date before arrival",IF(AND($E16&lt;&gt;"",COUNTIFS(tblShipment[Shipment No],$B16,tblShipment[Item Name],$E16)=0),"Item not in this shipment","OK")))))))))))))))))</f>
        <v>OK</v>
      </c>
    </row>
    <row r="17" customFormat="false" ht="15" hidden="false" customHeight="false" outlineLevel="0" collapsed="false">
      <c r="A17" s="32" t="n">
        <v>46227</v>
      </c>
      <c r="B17" s="31" t="s">
        <v>158</v>
      </c>
      <c r="C17" s="31" t="s">
        <v>79</v>
      </c>
      <c r="D17" s="34" t="str">
        <f aca="false">IF($C17="","",IFERROR(IF(IFERROR(INDEX(tblMoveTypes[In / Out],MATCH($C17,tblMoveTypes[Movement],0)),"?")="IN","IN   ",IF(IFERROR(INDEX(tblMoveTypes[In / Out],MATCH($C17,tblMoveTypes[Movement],0)),"?")="OUT","OUT   ","--   "))&amp;"fill: "&amp;IF(IFERROR(INDEX(tblMoveTypes[Item?],MATCH($C17,tblMoveTypes[Movement],0)),"?")="Yes","Item  ","")&amp;IF(AND(IFERROR(INDEX(tblMoveTypes[Qty?],MATCH($C17,tblMoveTypes[Movement],0)),"?")="Yes",IFERROR(INDEX(tblMoveTypes[In / Out],MATCH($C17,tblMoveTypes[Movement],0)),"?")="IN"),"In  ","")&amp;IF(AND(IFERROR(INDEX(tblMoveTypes[Qty?],MATCH($C17,tblMoveTypes[Movement],0)),"?")="Yes",IFERROR(INDEX(tblMoveTypes[In / Out],MATCH($C17,tblMoveTypes[Movement],0)),"?")="OUT"),"Out  ","")&amp;IF(IFERROR(INDEX(tblMoveTypes[Orders?],MATCH($C17,tblMoveTypes[Movement],0)),"?")="Yes","Orders  ","")&amp;IF(IFERROR(INDEX(tblMoveTypes[Courier?],MATCH($C17,tblMoveTypes[Movement],0)),"?")="Yes","Courier  ","")&amp;IF(IFERROR(INDEX(tblMoveTypes[Reason?],MATCH($C17,tblMoveTypes[Movement],0)),"?")="Yes","Reason",""),"unknown movement"))</f>
        <v>IN   fill: Item  In  </v>
      </c>
      <c r="E17" s="31" t="s">
        <v>95</v>
      </c>
      <c r="F17" s="33" t="n">
        <v>40</v>
      </c>
      <c r="G17" s="33"/>
      <c r="H17" s="33"/>
      <c r="I17" s="31"/>
      <c r="J17" s="31"/>
      <c r="K17" s="31"/>
      <c r="L17" s="31"/>
      <c r="M17" s="34" t="str">
        <f aca="false">IF($E17="","",IFERROR(INDEX(tblItems[Item Code],MATCH($E17,tblItems[Item Name],0)),"?"))</f>
        <v>EG-FG-GUV-01-02-01-01</v>
      </c>
      <c r="N17" s="34" t="str">
        <f aca="false">IF($B17="","",IFERROR(INDEX(tblShipment[Market],MATCH($B17,tblShipment[Shipment No],0)),"?"))</f>
        <v>Qatar</v>
      </c>
      <c r="O17" s="35" t="n">
        <f aca="false">N($F17)+N($G17)</f>
        <v>40</v>
      </c>
      <c r="P17" s="34" t="str">
        <f aca="false">IF($A17="","",IF($L17="Yes","VOID",IF(COUNTIFS(tblMoveTypes[Movement],$C17)=0,"Unknown movement",IF(COUNTIF(tblShipment[Shipment No],$B17)=0,"Unknown shipment",IF(AND(IFERROR(INDEX(tblMoveTypes[Item?],MATCH($C17,tblMoveTypes[Movement],0)),"?")="Yes",$E17=""),"Item needed",IF(AND(IFERROR(INDEX(tblMoveTypes[Item?],MATCH($C17,tblMoveTypes[Movement],0)),"?")="No",$E17&lt;&gt;""),"Leave Item blank",IF(AND(IFERROR(INDEX(tblMoveTypes[In / Out],MATCH($C17,tblMoveTypes[Movement],0)),"?")="IN",$G17&lt;&gt;""),"Use the In column, not Out",IF(AND(IFERROR(INDEX(tblMoveTypes[In / Out],MATCH($C17,tblMoveTypes[Movement],0)),"?")="OUT",$F17&lt;&gt;""),"Use the Out column, not In",IF(AND(IFERROR(INDEX(tblMoveTypes[Qty?],MATCH($C17,tblMoveTypes[Movement],0)),"?")="Yes",N($F17)+N($G17)&lt;=0),"Qty needed",IF(AND(IFERROR(INDEX(tblMoveTypes[Qty?],MATCH($C17,tblMoveTypes[Movement],0)),"?")="No",N($F17)+N($G17)&gt;0),"Leave In and Out blank",IF(AND(IFERROR(INDEX(tblMoveTypes[Courier?],MATCH($C17,tblMoveTypes[Movement],0)),"?")="Yes",$I17=""),"Courier needed",IF(AND(IFERROR(INDEX(tblMoveTypes[Courier?],MATCH($C17,tblMoveTypes[Movement],0)),"?")="No",$I17&lt;&gt;""),"Leave Courier blank",IF(AND(IFERROR(INDEX(tblMoveTypes[Orders?],MATCH($C17,tblMoveTypes[Movement],0)),"?")="Yes",$H17=""),"Orders needed",IF(AND(IFERROR(INDEX(tblMoveTypes[Orders?],MATCH($C17,tblMoveTypes[Movement],0)),"?")="No",$H17&lt;&gt;""),"Leave Orders blank",IF(AND(IFERROR(INDEX(tblMoveTypes[Reason?],MATCH($C17,tblMoveTypes[Movement],0)),"?")="Yes",$J17=""),"Reason needed",IF($A17&lt;_xlfn.MINIFS(tblShipment[Arrival Date],tblShipment[Shipment No],$B17),"Date before arrival",IF(AND($E17&lt;&gt;"",COUNTIFS(tblShipment[Shipment No],$B17,tblShipment[Item Name],$E17)=0),"Item not in this shipment","OK")))))))))))))))))</f>
        <v>OK</v>
      </c>
    </row>
    <row r="18" customFormat="false" ht="15" hidden="false" customHeight="false" outlineLevel="0" collapsed="false">
      <c r="A18" s="32" t="n">
        <v>46227</v>
      </c>
      <c r="B18" s="31" t="s">
        <v>158</v>
      </c>
      <c r="C18" s="31" t="s">
        <v>78</v>
      </c>
      <c r="D18" s="34" t="str">
        <f aca="false">IF($C18="","",IFERROR(IF(IFERROR(INDEX(tblMoveTypes[In / Out],MATCH($C18,tblMoveTypes[Movement],0)),"?")="IN","IN   ",IF(IFERROR(INDEX(tblMoveTypes[In / Out],MATCH($C18,tblMoveTypes[Movement],0)),"?")="OUT","OUT   ","--   "))&amp;"fill: "&amp;IF(IFERROR(INDEX(tblMoveTypes[Item?],MATCH($C18,tblMoveTypes[Movement],0)),"?")="Yes","Item  ","")&amp;IF(AND(IFERROR(INDEX(tblMoveTypes[Qty?],MATCH($C18,tblMoveTypes[Movement],0)),"?")="Yes",IFERROR(INDEX(tblMoveTypes[In / Out],MATCH($C18,tblMoveTypes[Movement],0)),"?")="IN"),"In  ","")&amp;IF(AND(IFERROR(INDEX(tblMoveTypes[Qty?],MATCH($C18,tblMoveTypes[Movement],0)),"?")="Yes",IFERROR(INDEX(tblMoveTypes[In / Out],MATCH($C18,tblMoveTypes[Movement],0)),"?")="OUT"),"Out  ","")&amp;IF(IFERROR(INDEX(tblMoveTypes[Orders?],MATCH($C18,tblMoveTypes[Movement],0)),"?")="Yes","Orders  ","")&amp;IF(IFERROR(INDEX(tblMoveTypes[Courier?],MATCH($C18,tblMoveTypes[Movement],0)),"?")="Yes","Courier  ","")&amp;IF(IFERROR(INDEX(tblMoveTypes[Reason?],MATCH($C18,tblMoveTypes[Movement],0)),"?")="Yes","Reason",""),"unknown movement"))</f>
        <v>OUT   fill: Item  Out  Reason</v>
      </c>
      <c r="E18" s="31" t="s">
        <v>95</v>
      </c>
      <c r="F18" s="33"/>
      <c r="G18" s="33" t="n">
        <v>1</v>
      </c>
      <c r="H18" s="33"/>
      <c r="I18" s="31"/>
      <c r="J18" s="31" t="s">
        <v>77</v>
      </c>
      <c r="K18" s="31"/>
      <c r="L18" s="31"/>
      <c r="M18" s="34" t="str">
        <f aca="false">IF($E18="","",IFERROR(INDEX(tblItems[Item Code],MATCH($E18,tblItems[Item Name],0)),"?"))</f>
        <v>EG-FG-GUV-01-02-01-01</v>
      </c>
      <c r="N18" s="34" t="str">
        <f aca="false">IF($B18="","",IFERROR(INDEX(tblShipment[Market],MATCH($B18,tblShipment[Shipment No],0)),"?"))</f>
        <v>Qatar</v>
      </c>
      <c r="O18" s="35" t="n">
        <f aca="false">N($F18)+N($G18)</f>
        <v>1</v>
      </c>
      <c r="P18" s="34" t="str">
        <f aca="false">IF($A18="","",IF($L18="Yes","VOID",IF(COUNTIFS(tblMoveTypes[Movement],$C18)=0,"Unknown movement",IF(COUNTIF(tblShipment[Shipment No],$B18)=0,"Unknown shipment",IF(AND(IFERROR(INDEX(tblMoveTypes[Item?],MATCH($C18,tblMoveTypes[Movement],0)),"?")="Yes",$E18=""),"Item needed",IF(AND(IFERROR(INDEX(tblMoveTypes[Item?],MATCH($C18,tblMoveTypes[Movement],0)),"?")="No",$E18&lt;&gt;""),"Leave Item blank",IF(AND(IFERROR(INDEX(tblMoveTypes[In / Out],MATCH($C18,tblMoveTypes[Movement],0)),"?")="IN",$G18&lt;&gt;""),"Use the In column, not Out",IF(AND(IFERROR(INDEX(tblMoveTypes[In / Out],MATCH($C18,tblMoveTypes[Movement],0)),"?")="OUT",$F18&lt;&gt;""),"Use the Out column, not In",IF(AND(IFERROR(INDEX(tblMoveTypes[Qty?],MATCH($C18,tblMoveTypes[Movement],0)),"?")="Yes",N($F18)+N($G18)&lt;=0),"Qty needed",IF(AND(IFERROR(INDEX(tblMoveTypes[Qty?],MATCH($C18,tblMoveTypes[Movement],0)),"?")="No",N($F18)+N($G18)&gt;0),"Leave In and Out blank",IF(AND(IFERROR(INDEX(tblMoveTypes[Courier?],MATCH($C18,tblMoveTypes[Movement],0)),"?")="Yes",$I18=""),"Courier needed",IF(AND(IFERROR(INDEX(tblMoveTypes[Courier?],MATCH($C18,tblMoveTypes[Movement],0)),"?")="No",$I18&lt;&gt;""),"Leave Courier blank",IF(AND(IFERROR(INDEX(tblMoveTypes[Orders?],MATCH($C18,tblMoveTypes[Movement],0)),"?")="Yes",$H18=""),"Orders needed",IF(AND(IFERROR(INDEX(tblMoveTypes[Orders?],MATCH($C18,tblMoveTypes[Movement],0)),"?")="No",$H18&lt;&gt;""),"Leave Orders blank",IF(AND(IFERROR(INDEX(tblMoveTypes[Reason?],MATCH($C18,tblMoveTypes[Movement],0)),"?")="Yes",$J18=""),"Reason needed",IF($A18&lt;_xlfn.MINIFS(tblShipment[Arrival Date],tblShipment[Shipment No],$B18),"Date before arrival",IF(AND($E18&lt;&gt;"",COUNTIFS(tblShipment[Shipment No],$B18,tblShipment[Item Name],$E18)=0),"Item not in this shipment","OK")))))))))))))))))</f>
        <v>OK</v>
      </c>
    </row>
    <row r="19" customFormat="false" ht="15" hidden="false" customHeight="false" outlineLevel="0" collapsed="false">
      <c r="A19" s="32" t="n">
        <v>46227</v>
      </c>
      <c r="B19" s="31" t="s">
        <v>158</v>
      </c>
      <c r="C19" s="31" t="s">
        <v>79</v>
      </c>
      <c r="D19" s="34" t="str">
        <f aca="false">IF($C19="","",IFERROR(IF(IFERROR(INDEX(tblMoveTypes[In / Out],MATCH($C19,tblMoveTypes[Movement],0)),"?")="IN","IN   ",IF(IFERROR(INDEX(tblMoveTypes[In / Out],MATCH($C19,tblMoveTypes[Movement],0)),"?")="OUT","OUT   ","--   "))&amp;"fill: "&amp;IF(IFERROR(INDEX(tblMoveTypes[Item?],MATCH($C19,tblMoveTypes[Movement],0)),"?")="Yes","Item  ","")&amp;IF(AND(IFERROR(INDEX(tblMoveTypes[Qty?],MATCH($C19,tblMoveTypes[Movement],0)),"?")="Yes",IFERROR(INDEX(tblMoveTypes[In / Out],MATCH($C19,tblMoveTypes[Movement],0)),"?")="IN"),"In  ","")&amp;IF(AND(IFERROR(INDEX(tblMoveTypes[Qty?],MATCH($C19,tblMoveTypes[Movement],0)),"?")="Yes",IFERROR(INDEX(tblMoveTypes[In / Out],MATCH($C19,tblMoveTypes[Movement],0)),"?")="OUT"),"Out  ","")&amp;IF(IFERROR(INDEX(tblMoveTypes[Orders?],MATCH($C19,tblMoveTypes[Movement],0)),"?")="Yes","Orders  ","")&amp;IF(IFERROR(INDEX(tblMoveTypes[Courier?],MATCH($C19,tblMoveTypes[Movement],0)),"?")="Yes","Courier  ","")&amp;IF(IFERROR(INDEX(tblMoveTypes[Reason?],MATCH($C19,tblMoveTypes[Movement],0)),"?")="Yes","Reason",""),"unknown movement"))</f>
        <v>IN   fill: Item  In  </v>
      </c>
      <c r="E19" s="31" t="s">
        <v>148</v>
      </c>
      <c r="F19" s="33" t="n">
        <v>20</v>
      </c>
      <c r="G19" s="33"/>
      <c r="H19" s="33"/>
      <c r="I19" s="31"/>
      <c r="J19" s="31"/>
      <c r="K19" s="31"/>
      <c r="L19" s="31"/>
      <c r="M19" s="34" t="str">
        <f aca="false">IF($E19="","",IFERROR(INDEX(tblItems[Item Code],MATCH($E19,tblItems[Item Name],0)),"?"))</f>
        <v>EG-FG-MNG-99-02-01-01</v>
      </c>
      <c r="N19" s="34" t="str">
        <f aca="false">IF($B19="","",IFERROR(INDEX(tblShipment[Market],MATCH($B19,tblShipment[Shipment No],0)),"?"))</f>
        <v>Qatar</v>
      </c>
      <c r="O19" s="35" t="n">
        <f aca="false">N($F19)+N($G19)</f>
        <v>20</v>
      </c>
      <c r="P19" s="34" t="str">
        <f aca="false">IF($A19="","",IF($L19="Yes","VOID",IF(COUNTIFS(tblMoveTypes[Movement],$C19)=0,"Unknown movement",IF(COUNTIF(tblShipment[Shipment No],$B19)=0,"Unknown shipment",IF(AND(IFERROR(INDEX(tblMoveTypes[Item?],MATCH($C19,tblMoveTypes[Movement],0)),"?")="Yes",$E19=""),"Item needed",IF(AND(IFERROR(INDEX(tblMoveTypes[Item?],MATCH($C19,tblMoveTypes[Movement],0)),"?")="No",$E19&lt;&gt;""),"Leave Item blank",IF(AND(IFERROR(INDEX(tblMoveTypes[In / Out],MATCH($C19,tblMoveTypes[Movement],0)),"?")="IN",$G19&lt;&gt;""),"Use the In column, not Out",IF(AND(IFERROR(INDEX(tblMoveTypes[In / Out],MATCH($C19,tblMoveTypes[Movement],0)),"?")="OUT",$F19&lt;&gt;""),"Use the Out column, not In",IF(AND(IFERROR(INDEX(tblMoveTypes[Qty?],MATCH($C19,tblMoveTypes[Movement],0)),"?")="Yes",N($F19)+N($G19)&lt;=0),"Qty needed",IF(AND(IFERROR(INDEX(tblMoveTypes[Qty?],MATCH($C19,tblMoveTypes[Movement],0)),"?")="No",N($F19)+N($G19)&gt;0),"Leave In and Out blank",IF(AND(IFERROR(INDEX(tblMoveTypes[Courier?],MATCH($C19,tblMoveTypes[Movement],0)),"?")="Yes",$I19=""),"Courier needed",IF(AND(IFERROR(INDEX(tblMoveTypes[Courier?],MATCH($C19,tblMoveTypes[Movement],0)),"?")="No",$I19&lt;&gt;""),"Leave Courier blank",IF(AND(IFERROR(INDEX(tblMoveTypes[Orders?],MATCH($C19,tblMoveTypes[Movement],0)),"?")="Yes",$H19=""),"Orders needed",IF(AND(IFERROR(INDEX(tblMoveTypes[Orders?],MATCH($C19,tblMoveTypes[Movement],0)),"?")="No",$H19&lt;&gt;""),"Leave Orders blank",IF(AND(IFERROR(INDEX(tblMoveTypes[Reason?],MATCH($C19,tblMoveTypes[Movement],0)),"?")="Yes",$J19=""),"Reason needed",IF($A19&lt;_xlfn.MINIFS(tblShipment[Arrival Date],tblShipment[Shipment No],$B19),"Date before arrival",IF(AND($E19&lt;&gt;"",COUNTIFS(tblShipment[Shipment No],$B19,tblShipment[Item Name],$E19)=0),"Item not in this shipment","OK")))))))))))))))))</f>
        <v>OK</v>
      </c>
    </row>
    <row r="20" customFormat="false" ht="15" hidden="false" customHeight="false" outlineLevel="0" collapsed="false">
      <c r="A20" s="32" t="n">
        <v>46227</v>
      </c>
      <c r="B20" s="31" t="s">
        <v>158</v>
      </c>
      <c r="C20" s="31" t="s">
        <v>79</v>
      </c>
      <c r="D20" s="34" t="str">
        <f aca="false">IF($C20="","",IFERROR(IF(IFERROR(INDEX(tblMoveTypes[In / Out],MATCH($C20,tblMoveTypes[Movement],0)),"?")="IN","IN   ",IF(IFERROR(INDEX(tblMoveTypes[In / Out],MATCH($C20,tblMoveTypes[Movement],0)),"?")="OUT","OUT   ","--   "))&amp;"fill: "&amp;IF(IFERROR(INDEX(tblMoveTypes[Item?],MATCH($C20,tblMoveTypes[Movement],0)),"?")="Yes","Item  ","")&amp;IF(AND(IFERROR(INDEX(tblMoveTypes[Qty?],MATCH($C20,tblMoveTypes[Movement],0)),"?")="Yes",IFERROR(INDEX(tblMoveTypes[In / Out],MATCH($C20,tblMoveTypes[Movement],0)),"?")="IN"),"In  ","")&amp;IF(AND(IFERROR(INDEX(tblMoveTypes[Qty?],MATCH($C20,tblMoveTypes[Movement],0)),"?")="Yes",IFERROR(INDEX(tblMoveTypes[In / Out],MATCH($C20,tblMoveTypes[Movement],0)),"?")="OUT"),"Out  ","")&amp;IF(IFERROR(INDEX(tblMoveTypes[Orders?],MATCH($C20,tblMoveTypes[Movement],0)),"?")="Yes","Orders  ","")&amp;IF(IFERROR(INDEX(tblMoveTypes[Courier?],MATCH($C20,tblMoveTypes[Movement],0)),"?")="Yes","Courier  ","")&amp;IF(IFERROR(INDEX(tblMoveTypes[Reason?],MATCH($C20,tblMoveTypes[Movement],0)),"?")="Yes","Reason",""),"unknown movement"))</f>
        <v>IN   fill: Item  In  </v>
      </c>
      <c r="E20" s="31" t="s">
        <v>112</v>
      </c>
      <c r="F20" s="33" t="n">
        <v>35</v>
      </c>
      <c r="G20" s="33"/>
      <c r="H20" s="33"/>
      <c r="I20" s="31"/>
      <c r="J20" s="31"/>
      <c r="K20" s="31"/>
      <c r="L20" s="31"/>
      <c r="M20" s="34" t="str">
        <f aca="false">IF($E20="","",IFERROR(INDEX(tblItems[Item Code],MATCH($E20,tblItems[Item Name],0)),"?"))</f>
        <v>BOX-TRIO-01</v>
      </c>
      <c r="N20" s="34" t="str">
        <f aca="false">IF($B20="","",IFERROR(INDEX(tblShipment[Market],MATCH($B20,tblShipment[Shipment No],0)),"?"))</f>
        <v>Qatar</v>
      </c>
      <c r="O20" s="35" t="n">
        <f aca="false">N($F20)+N($G20)</f>
        <v>35</v>
      </c>
      <c r="P20" s="34" t="str">
        <f aca="false">IF($A20="","",IF($L20="Yes","VOID",IF(COUNTIFS(tblMoveTypes[Movement],$C20)=0,"Unknown movement",IF(COUNTIF(tblShipment[Shipment No],$B20)=0,"Unknown shipment",IF(AND(IFERROR(INDEX(tblMoveTypes[Item?],MATCH($C20,tblMoveTypes[Movement],0)),"?")="Yes",$E20=""),"Item needed",IF(AND(IFERROR(INDEX(tblMoveTypes[Item?],MATCH($C20,tblMoveTypes[Movement],0)),"?")="No",$E20&lt;&gt;""),"Leave Item blank",IF(AND(IFERROR(INDEX(tblMoveTypes[In / Out],MATCH($C20,tblMoveTypes[Movement],0)),"?")="IN",$G20&lt;&gt;""),"Use the In column, not Out",IF(AND(IFERROR(INDEX(tblMoveTypes[In / Out],MATCH($C20,tblMoveTypes[Movement],0)),"?")="OUT",$F20&lt;&gt;""),"Use the Out column, not In",IF(AND(IFERROR(INDEX(tblMoveTypes[Qty?],MATCH($C20,tblMoveTypes[Movement],0)),"?")="Yes",N($F20)+N($G20)&lt;=0),"Qty needed",IF(AND(IFERROR(INDEX(tblMoveTypes[Qty?],MATCH($C20,tblMoveTypes[Movement],0)),"?")="No",N($F20)+N($G20)&gt;0),"Leave In and Out blank",IF(AND(IFERROR(INDEX(tblMoveTypes[Courier?],MATCH($C20,tblMoveTypes[Movement],0)),"?")="Yes",$I20=""),"Courier needed",IF(AND(IFERROR(INDEX(tblMoveTypes[Courier?],MATCH($C20,tblMoveTypes[Movement],0)),"?")="No",$I20&lt;&gt;""),"Leave Courier blank",IF(AND(IFERROR(INDEX(tblMoveTypes[Orders?],MATCH($C20,tblMoveTypes[Movement],0)),"?")="Yes",$H20=""),"Orders needed",IF(AND(IFERROR(INDEX(tblMoveTypes[Orders?],MATCH($C20,tblMoveTypes[Movement],0)),"?")="No",$H20&lt;&gt;""),"Leave Orders blank",IF(AND(IFERROR(INDEX(tblMoveTypes[Reason?],MATCH($C20,tblMoveTypes[Movement],0)),"?")="Yes",$J20=""),"Reason needed",IF($A20&lt;_xlfn.MINIFS(tblShipment[Arrival Date],tblShipment[Shipment No],$B20),"Date before arrival",IF(AND($E20&lt;&gt;"",COUNTIFS(tblShipment[Shipment No],$B20,tblShipment[Item Name],$E20)=0),"Item not in this shipment","OK")))))))))))))))))</f>
        <v>OK</v>
      </c>
    </row>
    <row r="21" customFormat="false" ht="15" hidden="false" customHeight="false" outlineLevel="0" collapsed="false">
      <c r="A21" s="32" t="n">
        <v>46227</v>
      </c>
      <c r="B21" s="31" t="s">
        <v>158</v>
      </c>
      <c r="C21" s="31" t="s">
        <v>78</v>
      </c>
      <c r="D21" s="34" t="str">
        <f aca="false">IF($C21="","",IFERROR(IF(IFERROR(INDEX(tblMoveTypes[In / Out],MATCH($C21,tblMoveTypes[Movement],0)),"?")="IN","IN   ",IF(IFERROR(INDEX(tblMoveTypes[In / Out],MATCH($C21,tblMoveTypes[Movement],0)),"?")="OUT","OUT   ","--   "))&amp;"fill: "&amp;IF(IFERROR(INDEX(tblMoveTypes[Item?],MATCH($C21,tblMoveTypes[Movement],0)),"?")="Yes","Item  ","")&amp;IF(AND(IFERROR(INDEX(tblMoveTypes[Qty?],MATCH($C21,tblMoveTypes[Movement],0)),"?")="Yes",IFERROR(INDEX(tblMoveTypes[In / Out],MATCH($C21,tblMoveTypes[Movement],0)),"?")="IN"),"In  ","")&amp;IF(AND(IFERROR(INDEX(tblMoveTypes[Qty?],MATCH($C21,tblMoveTypes[Movement],0)),"?")="Yes",IFERROR(INDEX(tblMoveTypes[In / Out],MATCH($C21,tblMoveTypes[Movement],0)),"?")="OUT"),"Out  ","")&amp;IF(IFERROR(INDEX(tblMoveTypes[Orders?],MATCH($C21,tblMoveTypes[Movement],0)),"?")="Yes","Orders  ","")&amp;IF(IFERROR(INDEX(tblMoveTypes[Courier?],MATCH($C21,tblMoveTypes[Movement],0)),"?")="Yes","Courier  ","")&amp;IF(IFERROR(INDEX(tblMoveTypes[Reason?],MATCH($C21,tblMoveTypes[Movement],0)),"?")="Yes","Reason",""),"unknown movement"))</f>
        <v>OUT   fill: Item  Out  Reason</v>
      </c>
      <c r="E21" s="31" t="s">
        <v>112</v>
      </c>
      <c r="F21" s="33"/>
      <c r="G21" s="33" t="n">
        <v>1</v>
      </c>
      <c r="H21" s="33"/>
      <c r="I21" s="31"/>
      <c r="J21" s="31" t="s">
        <v>86</v>
      </c>
      <c r="K21" s="31"/>
      <c r="L21" s="31"/>
      <c r="M21" s="34" t="str">
        <f aca="false">IF($E21="","",IFERROR(INDEX(tblItems[Item Code],MATCH($E21,tblItems[Item Name],0)),"?"))</f>
        <v>BOX-TRIO-01</v>
      </c>
      <c r="N21" s="34" t="str">
        <f aca="false">IF($B21="","",IFERROR(INDEX(tblShipment[Market],MATCH($B21,tblShipment[Shipment No],0)),"?"))</f>
        <v>Qatar</v>
      </c>
      <c r="O21" s="35" t="n">
        <f aca="false">N($F21)+N($G21)</f>
        <v>1</v>
      </c>
      <c r="P21" s="34" t="str">
        <f aca="false">IF($A21="","",IF($L21="Yes","VOID",IF(COUNTIFS(tblMoveTypes[Movement],$C21)=0,"Unknown movement",IF(COUNTIF(tblShipment[Shipment No],$B21)=0,"Unknown shipment",IF(AND(IFERROR(INDEX(tblMoveTypes[Item?],MATCH($C21,tblMoveTypes[Movement],0)),"?")="Yes",$E21=""),"Item needed",IF(AND(IFERROR(INDEX(tblMoveTypes[Item?],MATCH($C21,tblMoveTypes[Movement],0)),"?")="No",$E21&lt;&gt;""),"Leave Item blank",IF(AND(IFERROR(INDEX(tblMoveTypes[In / Out],MATCH($C21,tblMoveTypes[Movement],0)),"?")="IN",$G21&lt;&gt;""),"Use the In column, not Out",IF(AND(IFERROR(INDEX(tblMoveTypes[In / Out],MATCH($C21,tblMoveTypes[Movement],0)),"?")="OUT",$F21&lt;&gt;""),"Use the Out column, not In",IF(AND(IFERROR(INDEX(tblMoveTypes[Qty?],MATCH($C21,tblMoveTypes[Movement],0)),"?")="Yes",N($F21)+N($G21)&lt;=0),"Qty needed",IF(AND(IFERROR(INDEX(tblMoveTypes[Qty?],MATCH($C21,tblMoveTypes[Movement],0)),"?")="No",N($F21)+N($G21)&gt;0),"Leave In and Out blank",IF(AND(IFERROR(INDEX(tblMoveTypes[Courier?],MATCH($C21,tblMoveTypes[Movement],0)),"?")="Yes",$I21=""),"Courier needed",IF(AND(IFERROR(INDEX(tblMoveTypes[Courier?],MATCH($C21,tblMoveTypes[Movement],0)),"?")="No",$I21&lt;&gt;""),"Leave Courier blank",IF(AND(IFERROR(INDEX(tblMoveTypes[Orders?],MATCH($C21,tblMoveTypes[Movement],0)),"?")="Yes",$H21=""),"Orders needed",IF(AND(IFERROR(INDEX(tblMoveTypes[Orders?],MATCH($C21,tblMoveTypes[Movement],0)),"?")="No",$H21&lt;&gt;""),"Leave Orders blank",IF(AND(IFERROR(INDEX(tblMoveTypes[Reason?],MATCH($C21,tblMoveTypes[Movement],0)),"?")="Yes",$J21=""),"Reason needed",IF($A21&lt;_xlfn.MINIFS(tblShipment[Arrival Date],tblShipment[Shipment No],$B21),"Date before arrival",IF(AND($E21&lt;&gt;"",COUNTIFS(tblShipment[Shipment No],$B21,tblShipment[Item Name],$E21)=0),"Item not in this shipment","OK")))))))))))))))))</f>
        <v>OK</v>
      </c>
    </row>
    <row r="22" customFormat="false" ht="15" hidden="false" customHeight="false" outlineLevel="0" collapsed="false">
      <c r="A22" s="32" t="n">
        <v>46227</v>
      </c>
      <c r="B22" s="31" t="s">
        <v>158</v>
      </c>
      <c r="C22" s="31" t="s">
        <v>103</v>
      </c>
      <c r="D22" s="34" t="str">
        <f aca="false">IF($C22="","",IFERROR(IF(IFERROR(INDEX(tblMoveTypes[In / Out],MATCH($C22,tblMoveTypes[Movement],0)),"?")="IN","IN   ",IF(IFERROR(INDEX(tblMoveTypes[In / Out],MATCH($C22,tblMoveTypes[Movement],0)),"?")="OUT","OUT   ","--   "))&amp;"fill: "&amp;IF(IFERROR(INDEX(tblMoveTypes[Item?],MATCH($C22,tblMoveTypes[Movement],0)),"?")="Yes","Item  ","")&amp;IF(AND(IFERROR(INDEX(tblMoveTypes[Qty?],MATCH($C22,tblMoveTypes[Movement],0)),"?")="Yes",IFERROR(INDEX(tblMoveTypes[In / Out],MATCH($C22,tblMoveTypes[Movement],0)),"?")="IN"),"In  ","")&amp;IF(AND(IFERROR(INDEX(tblMoveTypes[Qty?],MATCH($C22,tblMoveTypes[Movement],0)),"?")="Yes",IFERROR(INDEX(tblMoveTypes[In / Out],MATCH($C22,tblMoveTypes[Movement],0)),"?")="OUT"),"Out  ","")&amp;IF(IFERROR(INDEX(tblMoveTypes[Orders?],MATCH($C22,tblMoveTypes[Movement],0)),"?")="Yes","Orders  ","")&amp;IF(IFERROR(INDEX(tblMoveTypes[Courier?],MATCH($C22,tblMoveTypes[Movement],0)),"?")="Yes","Courier  ","")&amp;IF(IFERROR(INDEX(tblMoveTypes[Reason?],MATCH($C22,tblMoveTypes[Movement],0)),"?")="Yes","Reason",""),"unknown movement"))</f>
        <v>--   fill: Orders  </v>
      </c>
      <c r="E22" s="31"/>
      <c r="F22" s="33"/>
      <c r="G22" s="33"/>
      <c r="H22" s="33" t="n">
        <v>218</v>
      </c>
      <c r="I22" s="31"/>
      <c r="J22" s="31"/>
      <c r="K22" s="31"/>
      <c r="L22" s="31"/>
      <c r="M22" s="34" t="str">
        <f aca="false">IF($E22="","",IFERROR(INDEX(tblItems[Item Code],MATCH($E22,tblItems[Item Name],0)),"?"))</f>
        <v/>
      </c>
      <c r="N22" s="34" t="str">
        <f aca="false">IF($B22="","",IFERROR(INDEX(tblShipment[Market],MATCH($B22,tblShipment[Shipment No],0)),"?"))</f>
        <v>Qatar</v>
      </c>
      <c r="O22" s="35" t="n">
        <f aca="false">N($F22)+N($G22)</f>
        <v>0</v>
      </c>
      <c r="P22" s="34" t="str">
        <f aca="false">IF($A22="","",IF($L22="Yes","VOID",IF(COUNTIFS(tblMoveTypes[Movement],$C22)=0,"Unknown movement",IF(COUNTIF(tblShipment[Shipment No],$B22)=0,"Unknown shipment",IF(AND(IFERROR(INDEX(tblMoveTypes[Item?],MATCH($C22,tblMoveTypes[Movement],0)),"?")="Yes",$E22=""),"Item needed",IF(AND(IFERROR(INDEX(tblMoveTypes[Item?],MATCH($C22,tblMoveTypes[Movement],0)),"?")="No",$E22&lt;&gt;""),"Leave Item blank",IF(AND(IFERROR(INDEX(tblMoveTypes[In / Out],MATCH($C22,tblMoveTypes[Movement],0)),"?")="IN",$G22&lt;&gt;""),"Use the In column, not Out",IF(AND(IFERROR(INDEX(tblMoveTypes[In / Out],MATCH($C22,tblMoveTypes[Movement],0)),"?")="OUT",$F22&lt;&gt;""),"Use the Out column, not In",IF(AND(IFERROR(INDEX(tblMoveTypes[Qty?],MATCH($C22,tblMoveTypes[Movement],0)),"?")="Yes",N($F22)+N($G22)&lt;=0),"Qty needed",IF(AND(IFERROR(INDEX(tblMoveTypes[Qty?],MATCH($C22,tblMoveTypes[Movement],0)),"?")="No",N($F22)+N($G22)&gt;0),"Leave In and Out blank",IF(AND(IFERROR(INDEX(tblMoveTypes[Courier?],MATCH($C22,tblMoveTypes[Movement],0)),"?")="Yes",$I22=""),"Courier needed",IF(AND(IFERROR(INDEX(tblMoveTypes[Courier?],MATCH($C22,tblMoveTypes[Movement],0)),"?")="No",$I22&lt;&gt;""),"Leave Courier blank",IF(AND(IFERROR(INDEX(tblMoveTypes[Orders?],MATCH($C22,tblMoveTypes[Movement],0)),"?")="Yes",$H22=""),"Orders needed",IF(AND(IFERROR(INDEX(tblMoveTypes[Orders?],MATCH($C22,tblMoveTypes[Movement],0)),"?")="No",$H22&lt;&gt;""),"Leave Orders blank",IF(AND(IFERROR(INDEX(tblMoveTypes[Reason?],MATCH($C22,tblMoveTypes[Movement],0)),"?")="Yes",$J22=""),"Reason needed",IF($A22&lt;_xlfn.MINIFS(tblShipment[Arrival Date],tblShipment[Shipment No],$B22),"Date before arrival",IF(AND($E22&lt;&gt;"",COUNTIFS(tblShipment[Shipment No],$B22,tblShipment[Item Name],$E22)=0),"Item not in this shipment","OK")))))))))))))))))</f>
        <v>OK</v>
      </c>
    </row>
    <row r="23" customFormat="false" ht="15" hidden="false" customHeight="false" outlineLevel="0" collapsed="false">
      <c r="A23" s="32" t="n">
        <v>46227</v>
      </c>
      <c r="B23" s="31" t="s">
        <v>158</v>
      </c>
      <c r="C23" s="31" t="s">
        <v>98</v>
      </c>
      <c r="D23" s="34" t="str">
        <f aca="false">IF($C23="","",IFERROR(IF(IFERROR(INDEX(tblMoveTypes[In / Out],MATCH($C23,tblMoveTypes[Movement],0)),"?")="IN","IN   ",IF(IFERROR(INDEX(tblMoveTypes[In / Out],MATCH($C23,tblMoveTypes[Movement],0)),"?")="OUT","OUT   ","--   "))&amp;"fill: "&amp;IF(IFERROR(INDEX(tblMoveTypes[Item?],MATCH($C23,tblMoveTypes[Movement],0)),"?")="Yes","Item  ","")&amp;IF(AND(IFERROR(INDEX(tblMoveTypes[Qty?],MATCH($C23,tblMoveTypes[Movement],0)),"?")="Yes",IFERROR(INDEX(tblMoveTypes[In / Out],MATCH($C23,tblMoveTypes[Movement],0)),"?")="IN"),"In  ","")&amp;IF(AND(IFERROR(INDEX(tblMoveTypes[Qty?],MATCH($C23,tblMoveTypes[Movement],0)),"?")="Yes",IFERROR(INDEX(tblMoveTypes[In / Out],MATCH($C23,tblMoveTypes[Movement],0)),"?")="OUT"),"Out  ","")&amp;IF(IFERROR(INDEX(tblMoveTypes[Orders?],MATCH($C23,tblMoveTypes[Movement],0)),"?")="Yes","Orders  ","")&amp;IF(IFERROR(INDEX(tblMoveTypes[Courier?],MATCH($C23,tblMoveTypes[Movement],0)),"?")="Yes","Courier  ","")&amp;IF(IFERROR(INDEX(tblMoveTypes[Reason?],MATCH($C23,tblMoveTypes[Movement],0)),"?")="Yes","Reason",""),"unknown movement"))</f>
        <v>OUT   fill: Item  Out  Courier  </v>
      </c>
      <c r="E23" s="31" t="s">
        <v>72</v>
      </c>
      <c r="F23" s="33"/>
      <c r="G23" s="33" t="n">
        <v>143</v>
      </c>
      <c r="H23" s="33"/>
      <c r="I23" s="31" t="s">
        <v>76</v>
      </c>
      <c r="J23" s="31"/>
      <c r="K23" s="31"/>
      <c r="L23" s="31"/>
      <c r="M23" s="34" t="str">
        <f aca="false">IF($E23="","",IFERROR(INDEX(tblItems[Item Code],MATCH($E23,tblItems[Item Name],0)),"?"))</f>
        <v>EG-FG-MNG-05-02-01-01</v>
      </c>
      <c r="N23" s="34" t="str">
        <f aca="false">IF($B23="","",IFERROR(INDEX(tblShipment[Market],MATCH($B23,tblShipment[Shipment No],0)),"?"))</f>
        <v>Qatar</v>
      </c>
      <c r="O23" s="35" t="n">
        <f aca="false">N($F23)+N($G23)</f>
        <v>143</v>
      </c>
      <c r="P23" s="34" t="str">
        <f aca="false">IF($A23="","",IF($L23="Yes","VOID",IF(COUNTIFS(tblMoveTypes[Movement],$C23)=0,"Unknown movement",IF(COUNTIF(tblShipment[Shipment No],$B23)=0,"Unknown shipment",IF(AND(IFERROR(INDEX(tblMoveTypes[Item?],MATCH($C23,tblMoveTypes[Movement],0)),"?")="Yes",$E23=""),"Item needed",IF(AND(IFERROR(INDEX(tblMoveTypes[Item?],MATCH($C23,tblMoveTypes[Movement],0)),"?")="No",$E23&lt;&gt;""),"Leave Item blank",IF(AND(IFERROR(INDEX(tblMoveTypes[In / Out],MATCH($C23,tblMoveTypes[Movement],0)),"?")="IN",$G23&lt;&gt;""),"Use the In column, not Out",IF(AND(IFERROR(INDEX(tblMoveTypes[In / Out],MATCH($C23,tblMoveTypes[Movement],0)),"?")="OUT",$F23&lt;&gt;""),"Use the Out column, not In",IF(AND(IFERROR(INDEX(tblMoveTypes[Qty?],MATCH($C23,tblMoveTypes[Movement],0)),"?")="Yes",N($F23)+N($G23)&lt;=0),"Qty needed",IF(AND(IFERROR(INDEX(tblMoveTypes[Qty?],MATCH($C23,tblMoveTypes[Movement],0)),"?")="No",N($F23)+N($G23)&gt;0),"Leave In and Out blank",IF(AND(IFERROR(INDEX(tblMoveTypes[Courier?],MATCH($C23,tblMoveTypes[Movement],0)),"?")="Yes",$I23=""),"Courier needed",IF(AND(IFERROR(INDEX(tblMoveTypes[Courier?],MATCH($C23,tblMoveTypes[Movement],0)),"?")="No",$I23&lt;&gt;""),"Leave Courier blank",IF(AND(IFERROR(INDEX(tblMoveTypes[Orders?],MATCH($C23,tblMoveTypes[Movement],0)),"?")="Yes",$H23=""),"Orders needed",IF(AND(IFERROR(INDEX(tblMoveTypes[Orders?],MATCH($C23,tblMoveTypes[Movement],0)),"?")="No",$H23&lt;&gt;""),"Leave Orders blank",IF(AND(IFERROR(INDEX(tblMoveTypes[Reason?],MATCH($C23,tblMoveTypes[Movement],0)),"?")="Yes",$J23=""),"Reason needed",IF($A23&lt;_xlfn.MINIFS(tblShipment[Arrival Date],tblShipment[Shipment No],$B23),"Date before arrival",IF(AND($E23&lt;&gt;"",COUNTIFS(tblShipment[Shipment No],$B23,tblShipment[Item Name],$E23)=0),"Item not in this shipment","OK")))))))))))))))))</f>
        <v>OK</v>
      </c>
    </row>
    <row r="24" customFormat="false" ht="15" hidden="false" customHeight="false" outlineLevel="0" collapsed="false">
      <c r="A24" s="32" t="n">
        <v>46227</v>
      </c>
      <c r="B24" s="31" t="s">
        <v>158</v>
      </c>
      <c r="C24" s="31" t="s">
        <v>98</v>
      </c>
      <c r="D24" s="34" t="str">
        <f aca="false">IF($C24="","",IFERROR(IF(IFERROR(INDEX(tblMoveTypes[In / Out],MATCH($C24,tblMoveTypes[Movement],0)),"?")="IN","IN   ",IF(IFERROR(INDEX(tblMoveTypes[In / Out],MATCH($C24,tblMoveTypes[Movement],0)),"?")="OUT","OUT   ","--   "))&amp;"fill: "&amp;IF(IFERROR(INDEX(tblMoveTypes[Item?],MATCH($C24,tblMoveTypes[Movement],0)),"?")="Yes","Item  ","")&amp;IF(AND(IFERROR(INDEX(tblMoveTypes[Qty?],MATCH($C24,tblMoveTypes[Movement],0)),"?")="Yes",IFERROR(INDEX(tblMoveTypes[In / Out],MATCH($C24,tblMoveTypes[Movement],0)),"?")="IN"),"In  ","")&amp;IF(AND(IFERROR(INDEX(tblMoveTypes[Qty?],MATCH($C24,tblMoveTypes[Movement],0)),"?")="Yes",IFERROR(INDEX(tblMoveTypes[In / Out],MATCH($C24,tblMoveTypes[Movement],0)),"?")="OUT"),"Out  ","")&amp;IF(IFERROR(INDEX(tblMoveTypes[Orders?],MATCH($C24,tblMoveTypes[Movement],0)),"?")="Yes","Orders  ","")&amp;IF(IFERROR(INDEX(tblMoveTypes[Courier?],MATCH($C24,tblMoveTypes[Movement],0)),"?")="Yes","Courier  ","")&amp;IF(IFERROR(INDEX(tblMoveTypes[Reason?],MATCH($C24,tblMoveTypes[Movement],0)),"?")="Yes","Reason",""),"unknown movement"))</f>
        <v>OUT   fill: Item  Out  Courier  </v>
      </c>
      <c r="E24" s="31" t="s">
        <v>106</v>
      </c>
      <c r="F24" s="33"/>
      <c r="G24" s="33" t="n">
        <v>30</v>
      </c>
      <c r="H24" s="33"/>
      <c r="I24" s="31" t="s">
        <v>76</v>
      </c>
      <c r="J24" s="31"/>
      <c r="K24" s="31"/>
      <c r="L24" s="31"/>
      <c r="M24" s="34" t="str">
        <f aca="false">IF($E24="","",IFERROR(INDEX(tblItems[Item Code],MATCH($E24,tblItems[Item Name],0)),"?"))</f>
        <v>EG-FG-DAT-01-02-01-01</v>
      </c>
      <c r="N24" s="34" t="str">
        <f aca="false">IF($B24="","",IFERROR(INDEX(tblShipment[Market],MATCH($B24,tblShipment[Shipment No],0)),"?"))</f>
        <v>Qatar</v>
      </c>
      <c r="O24" s="35" t="n">
        <f aca="false">N($F24)+N($G24)</f>
        <v>30</v>
      </c>
      <c r="P24" s="34" t="str">
        <f aca="false">IF($A24="","",IF($L24="Yes","VOID",IF(COUNTIFS(tblMoveTypes[Movement],$C24)=0,"Unknown movement",IF(COUNTIF(tblShipment[Shipment No],$B24)=0,"Unknown shipment",IF(AND(IFERROR(INDEX(tblMoveTypes[Item?],MATCH($C24,tblMoveTypes[Movement],0)),"?")="Yes",$E24=""),"Item needed",IF(AND(IFERROR(INDEX(tblMoveTypes[Item?],MATCH($C24,tblMoveTypes[Movement],0)),"?")="No",$E24&lt;&gt;""),"Leave Item blank",IF(AND(IFERROR(INDEX(tblMoveTypes[In / Out],MATCH($C24,tblMoveTypes[Movement],0)),"?")="IN",$G24&lt;&gt;""),"Use the In column, not Out",IF(AND(IFERROR(INDEX(tblMoveTypes[In / Out],MATCH($C24,tblMoveTypes[Movement],0)),"?")="OUT",$F24&lt;&gt;""),"Use the Out column, not In",IF(AND(IFERROR(INDEX(tblMoveTypes[Qty?],MATCH($C24,tblMoveTypes[Movement],0)),"?")="Yes",N($F24)+N($G24)&lt;=0),"Qty needed",IF(AND(IFERROR(INDEX(tblMoveTypes[Qty?],MATCH($C24,tblMoveTypes[Movement],0)),"?")="No",N($F24)+N($G24)&gt;0),"Leave In and Out blank",IF(AND(IFERROR(INDEX(tblMoveTypes[Courier?],MATCH($C24,tblMoveTypes[Movement],0)),"?")="Yes",$I24=""),"Courier needed",IF(AND(IFERROR(INDEX(tblMoveTypes[Courier?],MATCH($C24,tblMoveTypes[Movement],0)),"?")="No",$I24&lt;&gt;""),"Leave Courier blank",IF(AND(IFERROR(INDEX(tblMoveTypes[Orders?],MATCH($C24,tblMoveTypes[Movement],0)),"?")="Yes",$H24=""),"Orders needed",IF(AND(IFERROR(INDEX(tblMoveTypes[Orders?],MATCH($C24,tblMoveTypes[Movement],0)),"?")="No",$H24&lt;&gt;""),"Leave Orders blank",IF(AND(IFERROR(INDEX(tblMoveTypes[Reason?],MATCH($C24,tblMoveTypes[Movement],0)),"?")="Yes",$J24=""),"Reason needed",IF($A24&lt;_xlfn.MINIFS(tblShipment[Arrival Date],tblShipment[Shipment No],$B24),"Date before arrival",IF(AND($E24&lt;&gt;"",COUNTIFS(tblShipment[Shipment No],$B24,tblShipment[Item Name],$E24)=0),"Item not in this shipment","OK")))))))))))))))))</f>
        <v>OK</v>
      </c>
    </row>
    <row r="25" customFormat="false" ht="15" hidden="false" customHeight="false" outlineLevel="0" collapsed="false">
      <c r="A25" s="32" t="n">
        <v>46227</v>
      </c>
      <c r="B25" s="31" t="s">
        <v>158</v>
      </c>
      <c r="C25" s="31" t="s">
        <v>98</v>
      </c>
      <c r="D25" s="34" t="str">
        <f aca="false">IF($C25="","",IFERROR(IF(IFERROR(INDEX(tblMoveTypes[In / Out],MATCH($C25,tblMoveTypes[Movement],0)),"?")="IN","IN   ",IF(IFERROR(INDEX(tblMoveTypes[In / Out],MATCH($C25,tblMoveTypes[Movement],0)),"?")="OUT","OUT   ","--   "))&amp;"fill: "&amp;IF(IFERROR(INDEX(tblMoveTypes[Item?],MATCH($C25,tblMoveTypes[Movement],0)),"?")="Yes","Item  ","")&amp;IF(AND(IFERROR(INDEX(tblMoveTypes[Qty?],MATCH($C25,tblMoveTypes[Movement],0)),"?")="Yes",IFERROR(INDEX(tblMoveTypes[In / Out],MATCH($C25,tblMoveTypes[Movement],0)),"?")="IN"),"In  ","")&amp;IF(AND(IFERROR(INDEX(tblMoveTypes[Qty?],MATCH($C25,tblMoveTypes[Movement],0)),"?")="Yes",IFERROR(INDEX(tblMoveTypes[In / Out],MATCH($C25,tblMoveTypes[Movement],0)),"?")="OUT"),"Out  ","")&amp;IF(IFERROR(INDEX(tblMoveTypes[Orders?],MATCH($C25,tblMoveTypes[Movement],0)),"?")="Yes","Orders  ","")&amp;IF(IFERROR(INDEX(tblMoveTypes[Courier?],MATCH($C25,tblMoveTypes[Movement],0)),"?")="Yes","Courier  ","")&amp;IF(IFERROR(INDEX(tblMoveTypes[Reason?],MATCH($C25,tblMoveTypes[Movement],0)),"?")="Yes","Reason",""),"unknown movement"))</f>
        <v>OUT   fill: Item  Out  Courier  </v>
      </c>
      <c r="E25" s="31" t="s">
        <v>100</v>
      </c>
      <c r="F25" s="33"/>
      <c r="G25" s="33" t="n">
        <v>35</v>
      </c>
      <c r="H25" s="33"/>
      <c r="I25" s="31" t="s">
        <v>76</v>
      </c>
      <c r="J25" s="31"/>
      <c r="K25" s="31"/>
      <c r="L25" s="31"/>
      <c r="M25" s="34" t="str">
        <f aca="false">IF($E25="","",IFERROR(INDEX(tblItems[Item Code],MATCH($E25,tblItems[Item Name],0)),"?"))</f>
        <v>EG-FG-MNG-18-02-01-01</v>
      </c>
      <c r="N25" s="34" t="str">
        <f aca="false">IF($B25="","",IFERROR(INDEX(tblShipment[Market],MATCH($B25,tblShipment[Shipment No],0)),"?"))</f>
        <v>Qatar</v>
      </c>
      <c r="O25" s="35" t="n">
        <f aca="false">N($F25)+N($G25)</f>
        <v>35</v>
      </c>
      <c r="P25" s="34" t="str">
        <f aca="false">IF($A25="","",IF($L25="Yes","VOID",IF(COUNTIFS(tblMoveTypes[Movement],$C25)=0,"Unknown movement",IF(COUNTIF(tblShipment[Shipment No],$B25)=0,"Unknown shipment",IF(AND(IFERROR(INDEX(tblMoveTypes[Item?],MATCH($C25,tblMoveTypes[Movement],0)),"?")="Yes",$E25=""),"Item needed",IF(AND(IFERROR(INDEX(tblMoveTypes[Item?],MATCH($C25,tblMoveTypes[Movement],0)),"?")="No",$E25&lt;&gt;""),"Leave Item blank",IF(AND(IFERROR(INDEX(tblMoveTypes[In / Out],MATCH($C25,tblMoveTypes[Movement],0)),"?")="IN",$G25&lt;&gt;""),"Use the In column, not Out",IF(AND(IFERROR(INDEX(tblMoveTypes[In / Out],MATCH($C25,tblMoveTypes[Movement],0)),"?")="OUT",$F25&lt;&gt;""),"Use the Out column, not In",IF(AND(IFERROR(INDEX(tblMoveTypes[Qty?],MATCH($C25,tblMoveTypes[Movement],0)),"?")="Yes",N($F25)+N($G25)&lt;=0),"Qty needed",IF(AND(IFERROR(INDEX(tblMoveTypes[Qty?],MATCH($C25,tblMoveTypes[Movement],0)),"?")="No",N($F25)+N($G25)&gt;0),"Leave In and Out blank",IF(AND(IFERROR(INDEX(tblMoveTypes[Courier?],MATCH($C25,tblMoveTypes[Movement],0)),"?")="Yes",$I25=""),"Courier needed",IF(AND(IFERROR(INDEX(tblMoveTypes[Courier?],MATCH($C25,tblMoveTypes[Movement],0)),"?")="No",$I25&lt;&gt;""),"Leave Courier blank",IF(AND(IFERROR(INDEX(tblMoveTypes[Orders?],MATCH($C25,tblMoveTypes[Movement],0)),"?")="Yes",$H25=""),"Orders needed",IF(AND(IFERROR(INDEX(tblMoveTypes[Orders?],MATCH($C25,tblMoveTypes[Movement],0)),"?")="No",$H25&lt;&gt;""),"Leave Orders blank",IF(AND(IFERROR(INDEX(tblMoveTypes[Reason?],MATCH($C25,tblMoveTypes[Movement],0)),"?")="Yes",$J25=""),"Reason needed",IF($A25&lt;_xlfn.MINIFS(tblShipment[Arrival Date],tblShipment[Shipment No],$B25),"Date before arrival",IF(AND($E25&lt;&gt;"",COUNTIFS(tblShipment[Shipment No],$B25,tblShipment[Item Name],$E25)=0),"Item not in this shipment","OK")))))))))))))))))</f>
        <v>OK</v>
      </c>
    </row>
    <row r="26" customFormat="false" ht="15" hidden="false" customHeight="false" outlineLevel="0" collapsed="false">
      <c r="A26" s="32" t="n">
        <v>46227</v>
      </c>
      <c r="B26" s="31" t="s">
        <v>158</v>
      </c>
      <c r="C26" s="31" t="s">
        <v>98</v>
      </c>
      <c r="D26" s="34" t="str">
        <f aca="false">IF($C26="","",IFERROR(IF(IFERROR(INDEX(tblMoveTypes[In / Out],MATCH($C26,tblMoveTypes[Movement],0)),"?")="IN","IN   ",IF(IFERROR(INDEX(tblMoveTypes[In / Out],MATCH($C26,tblMoveTypes[Movement],0)),"?")="OUT","OUT   ","--   "))&amp;"fill: "&amp;IF(IFERROR(INDEX(tblMoveTypes[Item?],MATCH($C26,tblMoveTypes[Movement],0)),"?")="Yes","Item  ","")&amp;IF(AND(IFERROR(INDEX(tblMoveTypes[Qty?],MATCH($C26,tblMoveTypes[Movement],0)),"?")="Yes",IFERROR(INDEX(tblMoveTypes[In / Out],MATCH($C26,tblMoveTypes[Movement],0)),"?")="IN"),"In  ","")&amp;IF(AND(IFERROR(INDEX(tblMoveTypes[Qty?],MATCH($C26,tblMoveTypes[Movement],0)),"?")="Yes",IFERROR(INDEX(tblMoveTypes[In / Out],MATCH($C26,tblMoveTypes[Movement],0)),"?")="OUT"),"Out  ","")&amp;IF(IFERROR(INDEX(tblMoveTypes[Orders?],MATCH($C26,tblMoveTypes[Movement],0)),"?")="Yes","Orders  ","")&amp;IF(IFERROR(INDEX(tblMoveTypes[Courier?],MATCH($C26,tblMoveTypes[Movement],0)),"?")="Yes","Courier  ","")&amp;IF(IFERROR(INDEX(tblMoveTypes[Reason?],MATCH($C26,tblMoveTypes[Movement],0)),"?")="Yes","Reason",""),"unknown movement"))</f>
        <v>OUT   fill: Item  Out  Courier  </v>
      </c>
      <c r="E26" s="31" t="s">
        <v>91</v>
      </c>
      <c r="F26" s="33"/>
      <c r="G26" s="33" t="n">
        <v>73</v>
      </c>
      <c r="H26" s="33"/>
      <c r="I26" s="31" t="s">
        <v>76</v>
      </c>
      <c r="J26" s="31"/>
      <c r="K26" s="31"/>
      <c r="L26" s="31"/>
      <c r="M26" s="34" t="str">
        <f aca="false">IF($E26="","",IFERROR(INDEX(tblItems[Item Code],MATCH($E26,tblItems[Item Name],0)),"?"))</f>
        <v>EG-FG-FIG-01-02-01-01</v>
      </c>
      <c r="N26" s="34" t="str">
        <f aca="false">IF($B26="","",IFERROR(INDEX(tblShipment[Market],MATCH($B26,tblShipment[Shipment No],0)),"?"))</f>
        <v>Qatar</v>
      </c>
      <c r="O26" s="35" t="n">
        <f aca="false">N($F26)+N($G26)</f>
        <v>73</v>
      </c>
      <c r="P26" s="34" t="str">
        <f aca="false">IF($A26="","",IF($L26="Yes","VOID",IF(COUNTIFS(tblMoveTypes[Movement],$C26)=0,"Unknown movement",IF(COUNTIF(tblShipment[Shipment No],$B26)=0,"Unknown shipment",IF(AND(IFERROR(INDEX(tblMoveTypes[Item?],MATCH($C26,tblMoveTypes[Movement],0)),"?")="Yes",$E26=""),"Item needed",IF(AND(IFERROR(INDEX(tblMoveTypes[Item?],MATCH($C26,tblMoveTypes[Movement],0)),"?")="No",$E26&lt;&gt;""),"Leave Item blank",IF(AND(IFERROR(INDEX(tblMoveTypes[In / Out],MATCH($C26,tblMoveTypes[Movement],0)),"?")="IN",$G26&lt;&gt;""),"Use the In column, not Out",IF(AND(IFERROR(INDEX(tblMoveTypes[In / Out],MATCH($C26,tblMoveTypes[Movement],0)),"?")="OUT",$F26&lt;&gt;""),"Use the Out column, not In",IF(AND(IFERROR(INDEX(tblMoveTypes[Qty?],MATCH($C26,tblMoveTypes[Movement],0)),"?")="Yes",N($F26)+N($G26)&lt;=0),"Qty needed",IF(AND(IFERROR(INDEX(tblMoveTypes[Qty?],MATCH($C26,tblMoveTypes[Movement],0)),"?")="No",N($F26)+N($G26)&gt;0),"Leave In and Out blank",IF(AND(IFERROR(INDEX(tblMoveTypes[Courier?],MATCH($C26,tblMoveTypes[Movement],0)),"?")="Yes",$I26=""),"Courier needed",IF(AND(IFERROR(INDEX(tblMoveTypes[Courier?],MATCH($C26,tblMoveTypes[Movement],0)),"?")="No",$I26&lt;&gt;""),"Leave Courier blank",IF(AND(IFERROR(INDEX(tblMoveTypes[Orders?],MATCH($C26,tblMoveTypes[Movement],0)),"?")="Yes",$H26=""),"Orders needed",IF(AND(IFERROR(INDEX(tblMoveTypes[Orders?],MATCH($C26,tblMoveTypes[Movement],0)),"?")="No",$H26&lt;&gt;""),"Leave Orders blank",IF(AND(IFERROR(INDEX(tblMoveTypes[Reason?],MATCH($C26,tblMoveTypes[Movement],0)),"?")="Yes",$J26=""),"Reason needed",IF($A26&lt;_xlfn.MINIFS(tblShipment[Arrival Date],tblShipment[Shipment No],$B26),"Date before arrival",IF(AND($E26&lt;&gt;"",COUNTIFS(tblShipment[Shipment No],$B26,tblShipment[Item Name],$E26)=0),"Item not in this shipment","OK")))))))))))))))))</f>
        <v>OK</v>
      </c>
    </row>
    <row r="27" customFormat="false" ht="15" hidden="false" customHeight="false" outlineLevel="0" collapsed="false">
      <c r="A27" s="32" t="n">
        <v>46227</v>
      </c>
      <c r="B27" s="31" t="s">
        <v>158</v>
      </c>
      <c r="C27" s="31" t="s">
        <v>98</v>
      </c>
      <c r="D27" s="34" t="str">
        <f aca="false">IF($C27="","",IFERROR(IF(IFERROR(INDEX(tblMoveTypes[In / Out],MATCH($C27,tblMoveTypes[Movement],0)),"?")="IN","IN   ",IF(IFERROR(INDEX(tblMoveTypes[In / Out],MATCH($C27,tblMoveTypes[Movement],0)),"?")="OUT","OUT   ","--   "))&amp;"fill: "&amp;IF(IFERROR(INDEX(tblMoveTypes[Item?],MATCH($C27,tblMoveTypes[Movement],0)),"?")="Yes","Item  ","")&amp;IF(AND(IFERROR(INDEX(tblMoveTypes[Qty?],MATCH($C27,tblMoveTypes[Movement],0)),"?")="Yes",IFERROR(INDEX(tblMoveTypes[In / Out],MATCH($C27,tblMoveTypes[Movement],0)),"?")="IN"),"In  ","")&amp;IF(AND(IFERROR(INDEX(tblMoveTypes[Qty?],MATCH($C27,tblMoveTypes[Movement],0)),"?")="Yes",IFERROR(INDEX(tblMoveTypes[In / Out],MATCH($C27,tblMoveTypes[Movement],0)),"?")="OUT"),"Out  ","")&amp;IF(IFERROR(INDEX(tblMoveTypes[Orders?],MATCH($C27,tblMoveTypes[Movement],0)),"?")="Yes","Orders  ","")&amp;IF(IFERROR(INDEX(tblMoveTypes[Courier?],MATCH($C27,tblMoveTypes[Movement],0)),"?")="Yes","Courier  ","")&amp;IF(IFERROR(INDEX(tblMoveTypes[Reason?],MATCH($C27,tblMoveTypes[Movement],0)),"?")="Yes","Reason",""),"unknown movement"))</f>
        <v>OUT   fill: Item  Out  Courier  </v>
      </c>
      <c r="E27" s="31" t="s">
        <v>84</v>
      </c>
      <c r="F27" s="33"/>
      <c r="G27" s="33" t="n">
        <v>124</v>
      </c>
      <c r="H27" s="33"/>
      <c r="I27" s="31" t="s">
        <v>76</v>
      </c>
      <c r="J27" s="31"/>
      <c r="K27" s="31"/>
      <c r="L27" s="31"/>
      <c r="M27" s="34" t="str">
        <f aca="false">IF($E27="","",IFERROR(INDEX(tblItems[Item Code],MATCH($E27,tblItems[Item Name],0)),"?"))</f>
        <v>EG-FG-MNG-12-02-01-01</v>
      </c>
      <c r="N27" s="34" t="str">
        <f aca="false">IF($B27="","",IFERROR(INDEX(tblShipment[Market],MATCH($B27,tblShipment[Shipment No],0)),"?"))</f>
        <v>Qatar</v>
      </c>
      <c r="O27" s="35" t="n">
        <f aca="false">N($F27)+N($G27)</f>
        <v>124</v>
      </c>
      <c r="P27" s="34" t="str">
        <f aca="false">IF($A27="","",IF($L27="Yes","VOID",IF(COUNTIFS(tblMoveTypes[Movement],$C27)=0,"Unknown movement",IF(COUNTIF(tblShipment[Shipment No],$B27)=0,"Unknown shipment",IF(AND(IFERROR(INDEX(tblMoveTypes[Item?],MATCH($C27,tblMoveTypes[Movement],0)),"?")="Yes",$E27=""),"Item needed",IF(AND(IFERROR(INDEX(tblMoveTypes[Item?],MATCH($C27,tblMoveTypes[Movement],0)),"?")="No",$E27&lt;&gt;""),"Leave Item blank",IF(AND(IFERROR(INDEX(tblMoveTypes[In / Out],MATCH($C27,tblMoveTypes[Movement],0)),"?")="IN",$G27&lt;&gt;""),"Use the In column, not Out",IF(AND(IFERROR(INDEX(tblMoveTypes[In / Out],MATCH($C27,tblMoveTypes[Movement],0)),"?")="OUT",$F27&lt;&gt;""),"Use the Out column, not In",IF(AND(IFERROR(INDEX(tblMoveTypes[Qty?],MATCH($C27,tblMoveTypes[Movement],0)),"?")="Yes",N($F27)+N($G27)&lt;=0),"Qty needed",IF(AND(IFERROR(INDEX(tblMoveTypes[Qty?],MATCH($C27,tblMoveTypes[Movement],0)),"?")="No",N($F27)+N($G27)&gt;0),"Leave In and Out blank",IF(AND(IFERROR(INDEX(tblMoveTypes[Courier?],MATCH($C27,tblMoveTypes[Movement],0)),"?")="Yes",$I27=""),"Courier needed",IF(AND(IFERROR(INDEX(tblMoveTypes[Courier?],MATCH($C27,tblMoveTypes[Movement],0)),"?")="No",$I27&lt;&gt;""),"Leave Courier blank",IF(AND(IFERROR(INDEX(tblMoveTypes[Orders?],MATCH($C27,tblMoveTypes[Movement],0)),"?")="Yes",$H27=""),"Orders needed",IF(AND(IFERROR(INDEX(tblMoveTypes[Orders?],MATCH($C27,tblMoveTypes[Movement],0)),"?")="No",$H27&lt;&gt;""),"Leave Orders blank",IF(AND(IFERROR(INDEX(tblMoveTypes[Reason?],MATCH($C27,tblMoveTypes[Movement],0)),"?")="Yes",$J27=""),"Reason needed",IF($A27&lt;_xlfn.MINIFS(tblShipment[Arrival Date],tblShipment[Shipment No],$B27),"Date before arrival",IF(AND($E27&lt;&gt;"",COUNTIFS(tblShipment[Shipment No],$B27,tblShipment[Item Name],$E27)=0),"Item not in this shipment","OK")))))))))))))))))</f>
        <v>OK</v>
      </c>
    </row>
    <row r="28" customFormat="false" ht="15" hidden="false" customHeight="false" outlineLevel="0" collapsed="false">
      <c r="A28" s="32" t="n">
        <v>46227</v>
      </c>
      <c r="B28" s="31" t="s">
        <v>158</v>
      </c>
      <c r="C28" s="31" t="s">
        <v>98</v>
      </c>
      <c r="D28" s="34" t="str">
        <f aca="false">IF($C28="","",IFERROR(IF(IFERROR(INDEX(tblMoveTypes[In / Out],MATCH($C28,tblMoveTypes[Movement],0)),"?")="IN","IN   ",IF(IFERROR(INDEX(tblMoveTypes[In / Out],MATCH($C28,tblMoveTypes[Movement],0)),"?")="OUT","OUT   ","--   "))&amp;"fill: "&amp;IF(IFERROR(INDEX(tblMoveTypes[Item?],MATCH($C28,tblMoveTypes[Movement],0)),"?")="Yes","Item  ","")&amp;IF(AND(IFERROR(INDEX(tblMoveTypes[Qty?],MATCH($C28,tblMoveTypes[Movement],0)),"?")="Yes",IFERROR(INDEX(tblMoveTypes[In / Out],MATCH($C28,tblMoveTypes[Movement],0)),"?")="IN"),"In  ","")&amp;IF(AND(IFERROR(INDEX(tblMoveTypes[Qty?],MATCH($C28,tblMoveTypes[Movement],0)),"?")="Yes",IFERROR(INDEX(tblMoveTypes[In / Out],MATCH($C28,tblMoveTypes[Movement],0)),"?")="OUT"),"Out  ","")&amp;IF(IFERROR(INDEX(tblMoveTypes[Orders?],MATCH($C28,tblMoveTypes[Movement],0)),"?")="Yes","Orders  ","")&amp;IF(IFERROR(INDEX(tblMoveTypes[Courier?],MATCH($C28,tblMoveTypes[Movement],0)),"?")="Yes","Courier  ","")&amp;IF(IFERROR(INDEX(tblMoveTypes[Reason?],MATCH($C28,tblMoveTypes[Movement],0)),"?")="Yes","Reason",""),"unknown movement"))</f>
        <v>OUT   fill: Item  Out  Courier  </v>
      </c>
      <c r="E28" s="31" t="s">
        <v>117</v>
      </c>
      <c r="F28" s="33"/>
      <c r="G28" s="33" t="n">
        <v>17</v>
      </c>
      <c r="H28" s="33"/>
      <c r="I28" s="31" t="s">
        <v>76</v>
      </c>
      <c r="J28" s="31"/>
      <c r="K28" s="31"/>
      <c r="L28" s="31"/>
      <c r="M28" s="34" t="str">
        <f aca="false">IF($E28="","",IFERROR(INDEX(tblItems[Item Code],MATCH($E28,tblItems[Item Name],0)),"?"))</f>
        <v>EG-FG-MNG-06-02-01-01</v>
      </c>
      <c r="N28" s="34" t="str">
        <f aca="false">IF($B28="","",IFERROR(INDEX(tblShipment[Market],MATCH($B28,tblShipment[Shipment No],0)),"?"))</f>
        <v>Qatar</v>
      </c>
      <c r="O28" s="35" t="n">
        <f aca="false">N($F28)+N($G28)</f>
        <v>17</v>
      </c>
      <c r="P28" s="34" t="str">
        <f aca="false">IF($A28="","",IF($L28="Yes","VOID",IF(COUNTIFS(tblMoveTypes[Movement],$C28)=0,"Unknown movement",IF(COUNTIF(tblShipment[Shipment No],$B28)=0,"Unknown shipment",IF(AND(IFERROR(INDEX(tblMoveTypes[Item?],MATCH($C28,tblMoveTypes[Movement],0)),"?")="Yes",$E28=""),"Item needed",IF(AND(IFERROR(INDEX(tblMoveTypes[Item?],MATCH($C28,tblMoveTypes[Movement],0)),"?")="No",$E28&lt;&gt;""),"Leave Item blank",IF(AND(IFERROR(INDEX(tblMoveTypes[In / Out],MATCH($C28,tblMoveTypes[Movement],0)),"?")="IN",$G28&lt;&gt;""),"Use the In column, not Out",IF(AND(IFERROR(INDEX(tblMoveTypes[In / Out],MATCH($C28,tblMoveTypes[Movement],0)),"?")="OUT",$F28&lt;&gt;""),"Use the Out column, not In",IF(AND(IFERROR(INDEX(tblMoveTypes[Qty?],MATCH($C28,tblMoveTypes[Movement],0)),"?")="Yes",N($F28)+N($G28)&lt;=0),"Qty needed",IF(AND(IFERROR(INDEX(tblMoveTypes[Qty?],MATCH($C28,tblMoveTypes[Movement],0)),"?")="No",N($F28)+N($G28)&gt;0),"Leave In and Out blank",IF(AND(IFERROR(INDEX(tblMoveTypes[Courier?],MATCH($C28,tblMoveTypes[Movement],0)),"?")="Yes",$I28=""),"Courier needed",IF(AND(IFERROR(INDEX(tblMoveTypes[Courier?],MATCH($C28,tblMoveTypes[Movement],0)),"?")="No",$I28&lt;&gt;""),"Leave Courier blank",IF(AND(IFERROR(INDEX(tblMoveTypes[Orders?],MATCH($C28,tblMoveTypes[Movement],0)),"?")="Yes",$H28=""),"Orders needed",IF(AND(IFERROR(INDEX(tblMoveTypes[Orders?],MATCH($C28,tblMoveTypes[Movement],0)),"?")="No",$H28&lt;&gt;""),"Leave Orders blank",IF(AND(IFERROR(INDEX(tblMoveTypes[Reason?],MATCH($C28,tblMoveTypes[Movement],0)),"?")="Yes",$J28=""),"Reason needed",IF($A28&lt;_xlfn.MINIFS(tblShipment[Arrival Date],tblShipment[Shipment No],$B28),"Date before arrival",IF(AND($E28&lt;&gt;"",COUNTIFS(tblShipment[Shipment No],$B28,tblShipment[Item Name],$E28)=0),"Item not in this shipment","OK")))))))))))))))))</f>
        <v>OK</v>
      </c>
    </row>
    <row r="29" customFormat="false" ht="15" hidden="false" customHeight="false" outlineLevel="0" collapsed="false">
      <c r="A29" s="32" t="n">
        <v>46227</v>
      </c>
      <c r="B29" s="31" t="s">
        <v>158</v>
      </c>
      <c r="C29" s="31" t="s">
        <v>98</v>
      </c>
      <c r="D29" s="34" t="str">
        <f aca="false">IF($C29="","",IFERROR(IF(IFERROR(INDEX(tblMoveTypes[In / Out],MATCH($C29,tblMoveTypes[Movement],0)),"?")="IN","IN   ",IF(IFERROR(INDEX(tblMoveTypes[In / Out],MATCH($C29,tblMoveTypes[Movement],0)),"?")="OUT","OUT   ","--   "))&amp;"fill: "&amp;IF(IFERROR(INDEX(tblMoveTypes[Item?],MATCH($C29,tblMoveTypes[Movement],0)),"?")="Yes","Item  ","")&amp;IF(AND(IFERROR(INDEX(tblMoveTypes[Qty?],MATCH($C29,tblMoveTypes[Movement],0)),"?")="Yes",IFERROR(INDEX(tblMoveTypes[In / Out],MATCH($C29,tblMoveTypes[Movement],0)),"?")="IN"),"In  ","")&amp;IF(AND(IFERROR(INDEX(tblMoveTypes[Qty?],MATCH($C29,tblMoveTypes[Movement],0)),"?")="Yes",IFERROR(INDEX(tblMoveTypes[In / Out],MATCH($C29,tblMoveTypes[Movement],0)),"?")="OUT"),"Out  ","")&amp;IF(IFERROR(INDEX(tblMoveTypes[Orders?],MATCH($C29,tblMoveTypes[Movement],0)),"?")="Yes","Orders  ","")&amp;IF(IFERROR(INDEX(tblMoveTypes[Courier?],MATCH($C29,tblMoveTypes[Movement],0)),"?")="Yes","Courier  ","")&amp;IF(IFERROR(INDEX(tblMoveTypes[Reason?],MATCH($C29,tblMoveTypes[Movement],0)),"?")="Yes","Reason",""),"unknown movement"))</f>
        <v>OUT   fill: Item  Out  Courier  </v>
      </c>
      <c r="E29" s="31" t="s">
        <v>95</v>
      </c>
      <c r="F29" s="33"/>
      <c r="G29" s="33" t="n">
        <v>39</v>
      </c>
      <c r="H29" s="33"/>
      <c r="I29" s="31" t="s">
        <v>76</v>
      </c>
      <c r="J29" s="31"/>
      <c r="K29" s="31"/>
      <c r="L29" s="31"/>
      <c r="M29" s="34" t="str">
        <f aca="false">IF($E29="","",IFERROR(INDEX(tblItems[Item Code],MATCH($E29,tblItems[Item Name],0)),"?"))</f>
        <v>EG-FG-GUV-01-02-01-01</v>
      </c>
      <c r="N29" s="34" t="str">
        <f aca="false">IF($B29="","",IFERROR(INDEX(tblShipment[Market],MATCH($B29,tblShipment[Shipment No],0)),"?"))</f>
        <v>Qatar</v>
      </c>
      <c r="O29" s="35" t="n">
        <f aca="false">N($F29)+N($G29)</f>
        <v>39</v>
      </c>
      <c r="P29" s="34" t="str">
        <f aca="false">IF($A29="","",IF($L29="Yes","VOID",IF(COUNTIFS(tblMoveTypes[Movement],$C29)=0,"Unknown movement",IF(COUNTIF(tblShipment[Shipment No],$B29)=0,"Unknown shipment",IF(AND(IFERROR(INDEX(tblMoveTypes[Item?],MATCH($C29,tblMoveTypes[Movement],0)),"?")="Yes",$E29=""),"Item needed",IF(AND(IFERROR(INDEX(tblMoveTypes[Item?],MATCH($C29,tblMoveTypes[Movement],0)),"?")="No",$E29&lt;&gt;""),"Leave Item blank",IF(AND(IFERROR(INDEX(tblMoveTypes[In / Out],MATCH($C29,tblMoveTypes[Movement],0)),"?")="IN",$G29&lt;&gt;""),"Use the In column, not Out",IF(AND(IFERROR(INDEX(tblMoveTypes[In / Out],MATCH($C29,tblMoveTypes[Movement],0)),"?")="OUT",$F29&lt;&gt;""),"Use the Out column, not In",IF(AND(IFERROR(INDEX(tblMoveTypes[Qty?],MATCH($C29,tblMoveTypes[Movement],0)),"?")="Yes",N($F29)+N($G29)&lt;=0),"Qty needed",IF(AND(IFERROR(INDEX(tblMoveTypes[Qty?],MATCH($C29,tblMoveTypes[Movement],0)),"?")="No",N($F29)+N($G29)&gt;0),"Leave In and Out blank",IF(AND(IFERROR(INDEX(tblMoveTypes[Courier?],MATCH($C29,tblMoveTypes[Movement],0)),"?")="Yes",$I29=""),"Courier needed",IF(AND(IFERROR(INDEX(tblMoveTypes[Courier?],MATCH($C29,tblMoveTypes[Movement],0)),"?")="No",$I29&lt;&gt;""),"Leave Courier blank",IF(AND(IFERROR(INDEX(tblMoveTypes[Orders?],MATCH($C29,tblMoveTypes[Movement],0)),"?")="Yes",$H29=""),"Orders needed",IF(AND(IFERROR(INDEX(tblMoveTypes[Orders?],MATCH($C29,tblMoveTypes[Movement],0)),"?")="No",$H29&lt;&gt;""),"Leave Orders blank",IF(AND(IFERROR(INDEX(tblMoveTypes[Reason?],MATCH($C29,tblMoveTypes[Movement],0)),"?")="Yes",$J29=""),"Reason needed",IF($A29&lt;_xlfn.MINIFS(tblShipment[Arrival Date],tblShipment[Shipment No],$B29),"Date before arrival",IF(AND($E29&lt;&gt;"",COUNTIFS(tblShipment[Shipment No],$B29,tblShipment[Item Name],$E29)=0),"Item not in this shipment","OK")))))))))))))))))</f>
        <v>OK</v>
      </c>
    </row>
    <row r="30" customFormat="false" ht="15" hidden="false" customHeight="false" outlineLevel="0" collapsed="false">
      <c r="A30" s="32" t="n">
        <v>46227</v>
      </c>
      <c r="B30" s="31" t="s">
        <v>158</v>
      </c>
      <c r="C30" s="31" t="s">
        <v>98</v>
      </c>
      <c r="D30" s="34" t="str">
        <f aca="false">IF($C30="","",IFERROR(IF(IFERROR(INDEX(tblMoveTypes[In / Out],MATCH($C30,tblMoveTypes[Movement],0)),"?")="IN","IN   ",IF(IFERROR(INDEX(tblMoveTypes[In / Out],MATCH($C30,tblMoveTypes[Movement],0)),"?")="OUT","OUT   ","--   "))&amp;"fill: "&amp;IF(IFERROR(INDEX(tblMoveTypes[Item?],MATCH($C30,tblMoveTypes[Movement],0)),"?")="Yes","Item  ","")&amp;IF(AND(IFERROR(INDEX(tblMoveTypes[Qty?],MATCH($C30,tblMoveTypes[Movement],0)),"?")="Yes",IFERROR(INDEX(tblMoveTypes[In / Out],MATCH($C30,tblMoveTypes[Movement],0)),"?")="IN"),"In  ","")&amp;IF(AND(IFERROR(INDEX(tblMoveTypes[Qty?],MATCH($C30,tblMoveTypes[Movement],0)),"?")="Yes",IFERROR(INDEX(tblMoveTypes[In / Out],MATCH($C30,tblMoveTypes[Movement],0)),"?")="OUT"),"Out  ","")&amp;IF(IFERROR(INDEX(tblMoveTypes[Orders?],MATCH($C30,tblMoveTypes[Movement],0)),"?")="Yes","Orders  ","")&amp;IF(IFERROR(INDEX(tblMoveTypes[Courier?],MATCH($C30,tblMoveTypes[Movement],0)),"?")="Yes","Courier  ","")&amp;IF(IFERROR(INDEX(tblMoveTypes[Reason?],MATCH($C30,tblMoveTypes[Movement],0)),"?")="Yes","Reason",""),"unknown movement"))</f>
        <v>OUT   fill: Item  Out  Courier  </v>
      </c>
      <c r="E30" s="31" t="s">
        <v>148</v>
      </c>
      <c r="F30" s="33"/>
      <c r="G30" s="33" t="n">
        <v>20</v>
      </c>
      <c r="H30" s="33"/>
      <c r="I30" s="31" t="s">
        <v>76</v>
      </c>
      <c r="J30" s="31"/>
      <c r="K30" s="31"/>
      <c r="L30" s="31"/>
      <c r="M30" s="34" t="str">
        <f aca="false">IF($E30="","",IFERROR(INDEX(tblItems[Item Code],MATCH($E30,tblItems[Item Name],0)),"?"))</f>
        <v>EG-FG-MNG-99-02-01-01</v>
      </c>
      <c r="N30" s="34" t="str">
        <f aca="false">IF($B30="","",IFERROR(INDEX(tblShipment[Market],MATCH($B30,tblShipment[Shipment No],0)),"?"))</f>
        <v>Qatar</v>
      </c>
      <c r="O30" s="35" t="n">
        <f aca="false">N($F30)+N($G30)</f>
        <v>20</v>
      </c>
      <c r="P30" s="34" t="str">
        <f aca="false">IF($A30="","",IF($L30="Yes","VOID",IF(COUNTIFS(tblMoveTypes[Movement],$C30)=0,"Unknown movement",IF(COUNTIF(tblShipment[Shipment No],$B30)=0,"Unknown shipment",IF(AND(IFERROR(INDEX(tblMoveTypes[Item?],MATCH($C30,tblMoveTypes[Movement],0)),"?")="Yes",$E30=""),"Item needed",IF(AND(IFERROR(INDEX(tblMoveTypes[Item?],MATCH($C30,tblMoveTypes[Movement],0)),"?")="No",$E30&lt;&gt;""),"Leave Item blank",IF(AND(IFERROR(INDEX(tblMoveTypes[In / Out],MATCH($C30,tblMoveTypes[Movement],0)),"?")="IN",$G30&lt;&gt;""),"Use the In column, not Out",IF(AND(IFERROR(INDEX(tblMoveTypes[In / Out],MATCH($C30,tblMoveTypes[Movement],0)),"?")="OUT",$F30&lt;&gt;""),"Use the Out column, not In",IF(AND(IFERROR(INDEX(tblMoveTypes[Qty?],MATCH($C30,tblMoveTypes[Movement],0)),"?")="Yes",N($F30)+N($G30)&lt;=0),"Qty needed",IF(AND(IFERROR(INDEX(tblMoveTypes[Qty?],MATCH($C30,tblMoveTypes[Movement],0)),"?")="No",N($F30)+N($G30)&gt;0),"Leave In and Out blank",IF(AND(IFERROR(INDEX(tblMoveTypes[Courier?],MATCH($C30,tblMoveTypes[Movement],0)),"?")="Yes",$I30=""),"Courier needed",IF(AND(IFERROR(INDEX(tblMoveTypes[Courier?],MATCH($C30,tblMoveTypes[Movement],0)),"?")="No",$I30&lt;&gt;""),"Leave Courier blank",IF(AND(IFERROR(INDEX(tblMoveTypes[Orders?],MATCH($C30,tblMoveTypes[Movement],0)),"?")="Yes",$H30=""),"Orders needed",IF(AND(IFERROR(INDEX(tblMoveTypes[Orders?],MATCH($C30,tblMoveTypes[Movement],0)),"?")="No",$H30&lt;&gt;""),"Leave Orders blank",IF(AND(IFERROR(INDEX(tblMoveTypes[Reason?],MATCH($C30,tblMoveTypes[Movement],0)),"?")="Yes",$J30=""),"Reason needed",IF($A30&lt;_xlfn.MINIFS(tblShipment[Arrival Date],tblShipment[Shipment No],$B30),"Date before arrival",IF(AND($E30&lt;&gt;"",COUNTIFS(tblShipment[Shipment No],$B30,tblShipment[Item Name],$E30)=0),"Item not in this shipment","OK")))))))))))))))))</f>
        <v>OK</v>
      </c>
    </row>
    <row r="31" customFormat="false" ht="15" hidden="false" customHeight="false" outlineLevel="0" collapsed="false">
      <c r="A31" s="32" t="n">
        <v>46227</v>
      </c>
      <c r="B31" s="31" t="s">
        <v>158</v>
      </c>
      <c r="C31" s="31" t="s">
        <v>98</v>
      </c>
      <c r="D31" s="34" t="str">
        <f aca="false">IF($C31="","",IFERROR(IF(IFERROR(INDEX(tblMoveTypes[In / Out],MATCH($C31,tblMoveTypes[Movement],0)),"?")="IN","IN   ",IF(IFERROR(INDEX(tblMoveTypes[In / Out],MATCH($C31,tblMoveTypes[Movement],0)),"?")="OUT","OUT   ","--   "))&amp;"fill: "&amp;IF(IFERROR(INDEX(tblMoveTypes[Item?],MATCH($C31,tblMoveTypes[Movement],0)),"?")="Yes","Item  ","")&amp;IF(AND(IFERROR(INDEX(tblMoveTypes[Qty?],MATCH($C31,tblMoveTypes[Movement],0)),"?")="Yes",IFERROR(INDEX(tblMoveTypes[In / Out],MATCH($C31,tblMoveTypes[Movement],0)),"?")="IN"),"In  ","")&amp;IF(AND(IFERROR(INDEX(tblMoveTypes[Qty?],MATCH($C31,tblMoveTypes[Movement],0)),"?")="Yes",IFERROR(INDEX(tblMoveTypes[In / Out],MATCH($C31,tblMoveTypes[Movement],0)),"?")="OUT"),"Out  ","")&amp;IF(IFERROR(INDEX(tblMoveTypes[Orders?],MATCH($C31,tblMoveTypes[Movement],0)),"?")="Yes","Orders  ","")&amp;IF(IFERROR(INDEX(tblMoveTypes[Courier?],MATCH($C31,tblMoveTypes[Movement],0)),"?")="Yes","Courier  ","")&amp;IF(IFERROR(INDEX(tblMoveTypes[Reason?],MATCH($C31,tblMoveTypes[Movement],0)),"?")="Yes","Reason",""),"unknown movement"))</f>
        <v>OUT   fill: Item  Out  Courier  </v>
      </c>
      <c r="E31" s="31" t="s">
        <v>112</v>
      </c>
      <c r="F31" s="33"/>
      <c r="G31" s="33" t="n">
        <v>34</v>
      </c>
      <c r="H31" s="33"/>
      <c r="I31" s="31" t="s">
        <v>76</v>
      </c>
      <c r="J31" s="31"/>
      <c r="K31" s="31"/>
      <c r="L31" s="31"/>
      <c r="M31" s="34" t="str">
        <f aca="false">IF($E31="","",IFERROR(INDEX(tblItems[Item Code],MATCH($E31,tblItems[Item Name],0)),"?"))</f>
        <v>BOX-TRIO-01</v>
      </c>
      <c r="N31" s="34" t="str">
        <f aca="false">IF($B31="","",IFERROR(INDEX(tblShipment[Market],MATCH($B31,tblShipment[Shipment No],0)),"?"))</f>
        <v>Qatar</v>
      </c>
      <c r="O31" s="35" t="n">
        <f aca="false">N($F31)+N($G31)</f>
        <v>34</v>
      </c>
      <c r="P31" s="34" t="str">
        <f aca="false">IF($A31="","",IF($L31="Yes","VOID",IF(COUNTIFS(tblMoveTypes[Movement],$C31)=0,"Unknown movement",IF(COUNTIF(tblShipment[Shipment No],$B31)=0,"Unknown shipment",IF(AND(IFERROR(INDEX(tblMoveTypes[Item?],MATCH($C31,tblMoveTypes[Movement],0)),"?")="Yes",$E31=""),"Item needed",IF(AND(IFERROR(INDEX(tblMoveTypes[Item?],MATCH($C31,tblMoveTypes[Movement],0)),"?")="No",$E31&lt;&gt;""),"Leave Item blank",IF(AND(IFERROR(INDEX(tblMoveTypes[In / Out],MATCH($C31,tblMoveTypes[Movement],0)),"?")="IN",$G31&lt;&gt;""),"Use the In column, not Out",IF(AND(IFERROR(INDEX(tblMoveTypes[In / Out],MATCH($C31,tblMoveTypes[Movement],0)),"?")="OUT",$F31&lt;&gt;""),"Use the Out column, not In",IF(AND(IFERROR(INDEX(tblMoveTypes[Qty?],MATCH($C31,tblMoveTypes[Movement],0)),"?")="Yes",N($F31)+N($G31)&lt;=0),"Qty needed",IF(AND(IFERROR(INDEX(tblMoveTypes[Qty?],MATCH($C31,tblMoveTypes[Movement],0)),"?")="No",N($F31)+N($G31)&gt;0),"Leave In and Out blank",IF(AND(IFERROR(INDEX(tblMoveTypes[Courier?],MATCH($C31,tblMoveTypes[Movement],0)),"?")="Yes",$I31=""),"Courier needed",IF(AND(IFERROR(INDEX(tblMoveTypes[Courier?],MATCH($C31,tblMoveTypes[Movement],0)),"?")="No",$I31&lt;&gt;""),"Leave Courier blank",IF(AND(IFERROR(INDEX(tblMoveTypes[Orders?],MATCH($C31,tblMoveTypes[Movement],0)),"?")="Yes",$H31=""),"Orders needed",IF(AND(IFERROR(INDEX(tblMoveTypes[Orders?],MATCH($C31,tblMoveTypes[Movement],0)),"?")="No",$H31&lt;&gt;""),"Leave Orders blank",IF(AND(IFERROR(INDEX(tblMoveTypes[Reason?],MATCH($C31,tblMoveTypes[Movement],0)),"?")="Yes",$J31=""),"Reason needed",IF($A31&lt;_xlfn.MINIFS(tblShipment[Arrival Date],tblShipment[Shipment No],$B31),"Date before arrival",IF(AND($E31&lt;&gt;"",COUNTIFS(tblShipment[Shipment No],$B31,tblShipment[Item Name],$E31)=0),"Item not in this shipment","OK")))))))))))))))))</f>
        <v>OK</v>
      </c>
    </row>
    <row r="32" customFormat="false" ht="15" hidden="false" customHeight="false" outlineLevel="0" collapsed="false">
      <c r="A32" s="32" t="n">
        <v>46227</v>
      </c>
      <c r="B32" s="31" t="s">
        <v>158</v>
      </c>
      <c r="C32" s="31" t="s">
        <v>110</v>
      </c>
      <c r="D32" s="34" t="str">
        <f aca="false">IF($C32="","",IFERROR(IF(IFERROR(INDEX(tblMoveTypes[In / Out],MATCH($C32,tblMoveTypes[Movement],0)),"?")="IN","IN   ",IF(IFERROR(INDEX(tblMoveTypes[In / Out],MATCH($C32,tblMoveTypes[Movement],0)),"?")="OUT","OUT   ","--   "))&amp;"fill: "&amp;IF(IFERROR(INDEX(tblMoveTypes[Item?],MATCH($C32,tblMoveTypes[Movement],0)),"?")="Yes","Item  ","")&amp;IF(AND(IFERROR(INDEX(tblMoveTypes[Qty?],MATCH($C32,tblMoveTypes[Movement],0)),"?")="Yes",IFERROR(INDEX(tblMoveTypes[In / Out],MATCH($C32,tblMoveTypes[Movement],0)),"?")="IN"),"In  ","")&amp;IF(AND(IFERROR(INDEX(tblMoveTypes[Qty?],MATCH($C32,tblMoveTypes[Movement],0)),"?")="Yes",IFERROR(INDEX(tblMoveTypes[In / Out],MATCH($C32,tblMoveTypes[Movement],0)),"?")="OUT"),"Out  ","")&amp;IF(IFERROR(INDEX(tblMoveTypes[Orders?],MATCH($C32,tblMoveTypes[Movement],0)),"?")="Yes","Orders  ","")&amp;IF(IFERROR(INDEX(tblMoveTypes[Courier?],MATCH($C32,tblMoveTypes[Movement],0)),"?")="Yes","Courier  ","")&amp;IF(IFERROR(INDEX(tblMoveTypes[Reason?],MATCH($C32,tblMoveTypes[Movement],0)),"?")="Yes","Reason",""),"unknown movement"))</f>
        <v>--   fill: Orders  Courier  </v>
      </c>
      <c r="E32" s="31"/>
      <c r="F32" s="33"/>
      <c r="G32" s="33"/>
      <c r="H32" s="33" t="n">
        <v>207</v>
      </c>
      <c r="I32" s="31" t="s">
        <v>76</v>
      </c>
      <c r="J32" s="31"/>
      <c r="K32" s="31"/>
      <c r="L32" s="31"/>
      <c r="M32" s="34" t="str">
        <f aca="false">IF($E32="","",IFERROR(INDEX(tblItems[Item Code],MATCH($E32,tblItems[Item Name],0)),"?"))</f>
        <v/>
      </c>
      <c r="N32" s="34" t="str">
        <f aca="false">IF($B32="","",IFERROR(INDEX(tblShipment[Market],MATCH($B32,tblShipment[Shipment No],0)),"?"))</f>
        <v>Qatar</v>
      </c>
      <c r="O32" s="35" t="n">
        <f aca="false">N($F32)+N($G32)</f>
        <v>0</v>
      </c>
      <c r="P32" s="34" t="str">
        <f aca="false">IF($A32="","",IF($L32="Yes","VOID",IF(COUNTIFS(tblMoveTypes[Movement],$C32)=0,"Unknown movement",IF(COUNTIF(tblShipment[Shipment No],$B32)=0,"Unknown shipment",IF(AND(IFERROR(INDEX(tblMoveTypes[Item?],MATCH($C32,tblMoveTypes[Movement],0)),"?")="Yes",$E32=""),"Item needed",IF(AND(IFERROR(INDEX(tblMoveTypes[Item?],MATCH($C32,tblMoveTypes[Movement],0)),"?")="No",$E32&lt;&gt;""),"Leave Item blank",IF(AND(IFERROR(INDEX(tblMoveTypes[In / Out],MATCH($C32,tblMoveTypes[Movement],0)),"?")="IN",$G32&lt;&gt;""),"Use the In column, not Out",IF(AND(IFERROR(INDEX(tblMoveTypes[In / Out],MATCH($C32,tblMoveTypes[Movement],0)),"?")="OUT",$F32&lt;&gt;""),"Use the Out column, not In",IF(AND(IFERROR(INDEX(tblMoveTypes[Qty?],MATCH($C32,tblMoveTypes[Movement],0)),"?")="Yes",N($F32)+N($G32)&lt;=0),"Qty needed",IF(AND(IFERROR(INDEX(tblMoveTypes[Qty?],MATCH($C32,tblMoveTypes[Movement],0)),"?")="No",N($F32)+N($G32)&gt;0),"Leave In and Out blank",IF(AND(IFERROR(INDEX(tblMoveTypes[Courier?],MATCH($C32,tblMoveTypes[Movement],0)),"?")="Yes",$I32=""),"Courier needed",IF(AND(IFERROR(INDEX(tblMoveTypes[Courier?],MATCH($C32,tblMoveTypes[Movement],0)),"?")="No",$I32&lt;&gt;""),"Leave Courier blank",IF(AND(IFERROR(INDEX(tblMoveTypes[Orders?],MATCH($C32,tblMoveTypes[Movement],0)),"?")="Yes",$H32=""),"Orders needed",IF(AND(IFERROR(INDEX(tblMoveTypes[Orders?],MATCH($C32,tblMoveTypes[Movement],0)),"?")="No",$H32&lt;&gt;""),"Leave Orders blank",IF(AND(IFERROR(INDEX(tblMoveTypes[Reason?],MATCH($C32,tblMoveTypes[Movement],0)),"?")="Yes",$J32=""),"Reason needed",IF($A32&lt;_xlfn.MINIFS(tblShipment[Arrival Date],tblShipment[Shipment No],$B32),"Date before arrival",IF(AND($E32&lt;&gt;"",COUNTIFS(tblShipment[Shipment No],$B32,tblShipment[Item Name],$E32)=0),"Item not in this shipment","OK")))))))))))))))))</f>
        <v>OK</v>
      </c>
    </row>
    <row r="33" customFormat="false" ht="15" hidden="false" customHeight="false" outlineLevel="0" collapsed="false">
      <c r="A33" s="32" t="n">
        <v>46228</v>
      </c>
      <c r="B33" s="31" t="s">
        <v>158</v>
      </c>
      <c r="C33" s="31" t="s">
        <v>115</v>
      </c>
      <c r="D33" s="34" t="str">
        <f aca="false">IF($C33="","",IFERROR(IF(IFERROR(INDEX(tblMoveTypes[In / Out],MATCH($C33,tblMoveTypes[Movement],0)),"?")="IN","IN   ",IF(IFERROR(INDEX(tblMoveTypes[In / Out],MATCH($C33,tblMoveTypes[Movement],0)),"?")="OUT","OUT   ","--   "))&amp;"fill: "&amp;IF(IFERROR(INDEX(tblMoveTypes[Item?],MATCH($C33,tblMoveTypes[Movement],0)),"?")="Yes","Item  ","")&amp;IF(AND(IFERROR(INDEX(tblMoveTypes[Qty?],MATCH($C33,tblMoveTypes[Movement],0)),"?")="Yes",IFERROR(INDEX(tblMoveTypes[In / Out],MATCH($C33,tblMoveTypes[Movement],0)),"?")="IN"),"In  ","")&amp;IF(AND(IFERROR(INDEX(tblMoveTypes[Qty?],MATCH($C33,tblMoveTypes[Movement],0)),"?")="Yes",IFERROR(INDEX(tblMoveTypes[In / Out],MATCH($C33,tblMoveTypes[Movement],0)),"?")="OUT"),"Out  ","")&amp;IF(IFERROR(INDEX(tblMoveTypes[Orders?],MATCH($C33,tblMoveTypes[Movement],0)),"?")="Yes","Orders  ","")&amp;IF(IFERROR(INDEX(tblMoveTypes[Courier?],MATCH($C33,tblMoveTypes[Movement],0)),"?")="Yes","Courier  ","")&amp;IF(IFERROR(INDEX(tblMoveTypes[Reason?],MATCH($C33,tblMoveTypes[Movement],0)),"?")="Yes","Reason",""),"unknown movement"))</f>
        <v>OUT   fill: Out  Orders  Courier  </v>
      </c>
      <c r="E33" s="31"/>
      <c r="F33" s="33"/>
      <c r="G33" s="33" t="n">
        <v>343</v>
      </c>
      <c r="H33" s="33" t="n">
        <v>138</v>
      </c>
      <c r="I33" s="31" t="s">
        <v>76</v>
      </c>
      <c r="J33" s="31"/>
      <c r="K33" s="31"/>
      <c r="L33" s="31"/>
      <c r="M33" s="34" t="str">
        <f aca="false">IF($E33="","",IFERROR(INDEX(tblItems[Item Code],MATCH($E33,tblItems[Item Name],0)),"?"))</f>
        <v/>
      </c>
      <c r="N33" s="34" t="str">
        <f aca="false">IF($B33="","",IFERROR(INDEX(tblShipment[Market],MATCH($B33,tblShipment[Shipment No],0)),"?"))</f>
        <v>Qatar</v>
      </c>
      <c r="O33" s="35" t="n">
        <f aca="false">N($F33)+N($G33)</f>
        <v>343</v>
      </c>
      <c r="P33" s="34" t="str">
        <f aca="false">IF($A33="","",IF($L33="Yes","VOID",IF(COUNTIFS(tblMoveTypes[Movement],$C33)=0,"Unknown movement",IF(COUNTIF(tblShipment[Shipment No],$B33)=0,"Unknown shipment",IF(AND(IFERROR(INDEX(tblMoveTypes[Item?],MATCH($C33,tblMoveTypes[Movement],0)),"?")="Yes",$E33=""),"Item needed",IF(AND(IFERROR(INDEX(tblMoveTypes[Item?],MATCH($C33,tblMoveTypes[Movement],0)),"?")="No",$E33&lt;&gt;""),"Leave Item blank",IF(AND(IFERROR(INDEX(tblMoveTypes[In / Out],MATCH($C33,tblMoveTypes[Movement],0)),"?")="IN",$G33&lt;&gt;""),"Use the In column, not Out",IF(AND(IFERROR(INDEX(tblMoveTypes[In / Out],MATCH($C33,tblMoveTypes[Movement],0)),"?")="OUT",$F33&lt;&gt;""),"Use the Out column, not In",IF(AND(IFERROR(INDEX(tblMoveTypes[Qty?],MATCH($C33,tblMoveTypes[Movement],0)),"?")="Yes",N($F33)+N($G33)&lt;=0),"Qty needed",IF(AND(IFERROR(INDEX(tblMoveTypes[Qty?],MATCH($C33,tblMoveTypes[Movement],0)),"?")="No",N($F33)+N($G33)&gt;0),"Leave In and Out blank",IF(AND(IFERROR(INDEX(tblMoveTypes[Courier?],MATCH($C33,tblMoveTypes[Movement],0)),"?")="Yes",$I33=""),"Courier needed",IF(AND(IFERROR(INDEX(tblMoveTypes[Courier?],MATCH($C33,tblMoveTypes[Movement],0)),"?")="No",$I33&lt;&gt;""),"Leave Courier blank",IF(AND(IFERROR(INDEX(tblMoveTypes[Orders?],MATCH($C33,tblMoveTypes[Movement],0)),"?")="Yes",$H33=""),"Orders needed",IF(AND(IFERROR(INDEX(tblMoveTypes[Orders?],MATCH($C33,tblMoveTypes[Movement],0)),"?")="No",$H33&lt;&gt;""),"Leave Orders blank",IF(AND(IFERROR(INDEX(tblMoveTypes[Reason?],MATCH($C33,tblMoveTypes[Movement],0)),"?")="Yes",$J33=""),"Reason needed",IF($A33&lt;_xlfn.MINIFS(tblShipment[Arrival Date],tblShipment[Shipment No],$B33),"Date before arrival",IF(AND($E33&lt;&gt;"",COUNTIFS(tblShipment[Shipment No],$B33,tblShipment[Item Name],$E33)=0),"Item not in this shipment","OK")))))))))))))))))</f>
        <v>OK</v>
      </c>
    </row>
    <row r="34" customFormat="false" ht="15" hidden="false" customHeight="false" outlineLevel="0" collapsed="false">
      <c r="A34" s="32" t="n">
        <v>46229</v>
      </c>
      <c r="B34" s="31" t="s">
        <v>158</v>
      </c>
      <c r="C34" s="31" t="s">
        <v>115</v>
      </c>
      <c r="D34" s="34" t="str">
        <f aca="false">IF($C34="","",IFERROR(IF(IFERROR(INDEX(tblMoveTypes[In / Out],MATCH($C34,tblMoveTypes[Movement],0)),"?")="IN","IN   ",IF(IFERROR(INDEX(tblMoveTypes[In / Out],MATCH($C34,tblMoveTypes[Movement],0)),"?")="OUT","OUT   ","--   "))&amp;"fill: "&amp;IF(IFERROR(INDEX(tblMoveTypes[Item?],MATCH($C34,tblMoveTypes[Movement],0)),"?")="Yes","Item  ","")&amp;IF(AND(IFERROR(INDEX(tblMoveTypes[Qty?],MATCH($C34,tblMoveTypes[Movement],0)),"?")="Yes",IFERROR(INDEX(tblMoveTypes[In / Out],MATCH($C34,tblMoveTypes[Movement],0)),"?")="IN"),"In  ","")&amp;IF(AND(IFERROR(INDEX(tblMoveTypes[Qty?],MATCH($C34,tblMoveTypes[Movement],0)),"?")="Yes",IFERROR(INDEX(tblMoveTypes[In / Out],MATCH($C34,tblMoveTypes[Movement],0)),"?")="OUT"),"Out  ","")&amp;IF(IFERROR(INDEX(tblMoveTypes[Orders?],MATCH($C34,tblMoveTypes[Movement],0)),"?")="Yes","Orders  ","")&amp;IF(IFERROR(INDEX(tblMoveTypes[Courier?],MATCH($C34,tblMoveTypes[Movement],0)),"?")="Yes","Courier  ","")&amp;IF(IFERROR(INDEX(tblMoveTypes[Reason?],MATCH($C34,tblMoveTypes[Movement],0)),"?")="Yes","Reason",""),"unknown movement"))</f>
        <v>OUT   fill: Out  Orders  Courier  </v>
      </c>
      <c r="E34" s="31"/>
      <c r="F34" s="33"/>
      <c r="G34" s="33" t="n">
        <v>89</v>
      </c>
      <c r="H34" s="33" t="n">
        <v>36</v>
      </c>
      <c r="I34" s="31" t="s">
        <v>76</v>
      </c>
      <c r="J34" s="31"/>
      <c r="K34" s="31"/>
      <c r="L34" s="31"/>
      <c r="M34" s="34" t="str">
        <f aca="false">IF($E34="","",IFERROR(INDEX(tblItems[Item Code],MATCH($E34,tblItems[Item Name],0)),"?"))</f>
        <v/>
      </c>
      <c r="N34" s="34" t="str">
        <f aca="false">IF($B34="","",IFERROR(INDEX(tblShipment[Market],MATCH($B34,tblShipment[Shipment No],0)),"?"))</f>
        <v>Qatar</v>
      </c>
      <c r="O34" s="35" t="n">
        <f aca="false">N($F34)+N($G34)</f>
        <v>89</v>
      </c>
      <c r="P34" s="34" t="str">
        <f aca="false">IF($A34="","",IF($L34="Yes","VOID",IF(COUNTIFS(tblMoveTypes[Movement],$C34)=0,"Unknown movement",IF(COUNTIF(tblShipment[Shipment No],$B34)=0,"Unknown shipment",IF(AND(IFERROR(INDEX(tblMoveTypes[Item?],MATCH($C34,tblMoveTypes[Movement],0)),"?")="Yes",$E34=""),"Item needed",IF(AND(IFERROR(INDEX(tblMoveTypes[Item?],MATCH($C34,tblMoveTypes[Movement],0)),"?")="No",$E34&lt;&gt;""),"Leave Item blank",IF(AND(IFERROR(INDEX(tblMoveTypes[In / Out],MATCH($C34,tblMoveTypes[Movement],0)),"?")="IN",$G34&lt;&gt;""),"Use the In column, not Out",IF(AND(IFERROR(INDEX(tblMoveTypes[In / Out],MATCH($C34,tblMoveTypes[Movement],0)),"?")="OUT",$F34&lt;&gt;""),"Use the Out column, not In",IF(AND(IFERROR(INDEX(tblMoveTypes[Qty?],MATCH($C34,tblMoveTypes[Movement],0)),"?")="Yes",N($F34)+N($G34)&lt;=0),"Qty needed",IF(AND(IFERROR(INDEX(tblMoveTypes[Qty?],MATCH($C34,tblMoveTypes[Movement],0)),"?")="No",N($F34)+N($G34)&gt;0),"Leave In and Out blank",IF(AND(IFERROR(INDEX(tblMoveTypes[Courier?],MATCH($C34,tblMoveTypes[Movement],0)),"?")="Yes",$I34=""),"Courier needed",IF(AND(IFERROR(INDEX(tblMoveTypes[Courier?],MATCH($C34,tblMoveTypes[Movement],0)),"?")="No",$I34&lt;&gt;""),"Leave Courier blank",IF(AND(IFERROR(INDEX(tblMoveTypes[Orders?],MATCH($C34,tblMoveTypes[Movement],0)),"?")="Yes",$H34=""),"Orders needed",IF(AND(IFERROR(INDEX(tblMoveTypes[Orders?],MATCH($C34,tblMoveTypes[Movement],0)),"?")="No",$H34&lt;&gt;""),"Leave Orders blank",IF(AND(IFERROR(INDEX(tblMoveTypes[Reason?],MATCH($C34,tblMoveTypes[Movement],0)),"?")="Yes",$J34=""),"Reason needed",IF($A34&lt;_xlfn.MINIFS(tblShipment[Arrival Date],tblShipment[Shipment No],$B34),"Date before arrival",IF(AND($E34&lt;&gt;"",COUNTIFS(tblShipment[Shipment No],$B34,tblShipment[Item Name],$E34)=0),"Item not in this shipment","OK")))))))))))))))))</f>
        <v>OK</v>
      </c>
    </row>
    <row r="35" customFormat="false" ht="15" hidden="false" customHeight="false" outlineLevel="0" collapsed="false">
      <c r="A35" s="32" t="n">
        <v>46229</v>
      </c>
      <c r="B35" s="31" t="s">
        <v>158</v>
      </c>
      <c r="C35" s="31" t="s">
        <v>120</v>
      </c>
      <c r="D35" s="34" t="str">
        <f aca="false">IF($C35="","",IFERROR(IF(IFERROR(INDEX(tblMoveTypes[In / Out],MATCH($C35,tblMoveTypes[Movement],0)),"?")="IN","IN   ",IF(IFERROR(INDEX(tblMoveTypes[In / Out],MATCH($C35,tblMoveTypes[Movement],0)),"?")="OUT","OUT   ","--   "))&amp;"fill: "&amp;IF(IFERROR(INDEX(tblMoveTypes[Item?],MATCH($C35,tblMoveTypes[Movement],0)),"?")="Yes","Item  ","")&amp;IF(AND(IFERROR(INDEX(tblMoveTypes[Qty?],MATCH($C35,tblMoveTypes[Movement],0)),"?")="Yes",IFERROR(INDEX(tblMoveTypes[In / Out],MATCH($C35,tblMoveTypes[Movement],0)),"?")="IN"),"In  ","")&amp;IF(AND(IFERROR(INDEX(tblMoveTypes[Qty?],MATCH($C35,tblMoveTypes[Movement],0)),"?")="Yes",IFERROR(INDEX(tblMoveTypes[In / Out],MATCH($C35,tblMoveTypes[Movement],0)),"?")="OUT"),"Out  ","")&amp;IF(IFERROR(INDEX(tblMoveTypes[Orders?],MATCH($C35,tblMoveTypes[Movement],0)),"?")="Yes","Orders  ","")&amp;IF(IFERROR(INDEX(tblMoveTypes[Courier?],MATCH($C35,tblMoveTypes[Movement],0)),"?")="Yes","Courier  ","")&amp;IF(IFERROR(INDEX(tblMoveTypes[Reason?],MATCH($C35,tblMoveTypes[Movement],0)),"?")="Yes","Reason",""),"unknown movement"))</f>
        <v>IN   fill: In  Orders  Courier  Reason</v>
      </c>
      <c r="E35" s="31"/>
      <c r="F35" s="33" t="n">
        <v>17</v>
      </c>
      <c r="G35" s="33"/>
      <c r="H35" s="33" t="n">
        <v>1</v>
      </c>
      <c r="I35" s="31" t="s">
        <v>76</v>
      </c>
      <c r="J35" s="31" t="s">
        <v>129</v>
      </c>
      <c r="K35" s="31"/>
      <c r="L35" s="31"/>
      <c r="M35" s="34" t="str">
        <f aca="false">IF($E35="","",IFERROR(INDEX(tblItems[Item Code],MATCH($E35,tblItems[Item Name],0)),"?"))</f>
        <v/>
      </c>
      <c r="N35" s="34" t="str">
        <f aca="false">IF($B35="","",IFERROR(INDEX(tblShipment[Market],MATCH($B35,tblShipment[Shipment No],0)),"?"))</f>
        <v>Qatar</v>
      </c>
      <c r="O35" s="35" t="n">
        <f aca="false">N($F35)+N($G35)</f>
        <v>17</v>
      </c>
      <c r="P35" s="34" t="str">
        <f aca="false">IF($A35="","",IF($L35="Yes","VOID",IF(COUNTIFS(tblMoveTypes[Movement],$C35)=0,"Unknown movement",IF(COUNTIF(tblShipment[Shipment No],$B35)=0,"Unknown shipment",IF(AND(IFERROR(INDEX(tblMoveTypes[Item?],MATCH($C35,tblMoveTypes[Movement],0)),"?")="Yes",$E35=""),"Item needed",IF(AND(IFERROR(INDEX(tblMoveTypes[Item?],MATCH($C35,tblMoveTypes[Movement],0)),"?")="No",$E35&lt;&gt;""),"Leave Item blank",IF(AND(IFERROR(INDEX(tblMoveTypes[In / Out],MATCH($C35,tblMoveTypes[Movement],0)),"?")="IN",$G35&lt;&gt;""),"Use the In column, not Out",IF(AND(IFERROR(INDEX(tblMoveTypes[In / Out],MATCH($C35,tblMoveTypes[Movement],0)),"?")="OUT",$F35&lt;&gt;""),"Use the Out column, not In",IF(AND(IFERROR(INDEX(tblMoveTypes[Qty?],MATCH($C35,tblMoveTypes[Movement],0)),"?")="Yes",N($F35)+N($G35)&lt;=0),"Qty needed",IF(AND(IFERROR(INDEX(tblMoveTypes[Qty?],MATCH($C35,tblMoveTypes[Movement],0)),"?")="No",N($F35)+N($G35)&gt;0),"Leave In and Out blank",IF(AND(IFERROR(INDEX(tblMoveTypes[Courier?],MATCH($C35,tblMoveTypes[Movement],0)),"?")="Yes",$I35=""),"Courier needed",IF(AND(IFERROR(INDEX(tblMoveTypes[Courier?],MATCH($C35,tblMoveTypes[Movement],0)),"?")="No",$I35&lt;&gt;""),"Leave Courier blank",IF(AND(IFERROR(INDEX(tblMoveTypes[Orders?],MATCH($C35,tblMoveTypes[Movement],0)),"?")="Yes",$H35=""),"Orders needed",IF(AND(IFERROR(INDEX(tblMoveTypes[Orders?],MATCH($C35,tblMoveTypes[Movement],0)),"?")="No",$H35&lt;&gt;""),"Leave Orders blank",IF(AND(IFERROR(INDEX(tblMoveTypes[Reason?],MATCH($C35,tblMoveTypes[Movement],0)),"?")="Yes",$J35=""),"Reason needed",IF($A35&lt;_xlfn.MINIFS(tblShipment[Arrival Date],tblShipment[Shipment No],$B35),"Date before arrival",IF(AND($E35&lt;&gt;"",COUNTIFS(tblShipment[Shipment No],$B35,tblShipment[Item Name],$E35)=0),"Item not in this shipment","OK")))))))))))))))))</f>
        <v>OK</v>
      </c>
    </row>
    <row r="36" customFormat="false" ht="15" hidden="false" customHeight="false" outlineLevel="0" collapsed="false">
      <c r="A36" s="32" t="n">
        <v>46229</v>
      </c>
      <c r="B36" s="31" t="s">
        <v>158</v>
      </c>
      <c r="C36" s="31" t="s">
        <v>125</v>
      </c>
      <c r="D36" s="34" t="str">
        <f aca="false">IF($C36="","",IFERROR(IF(IFERROR(INDEX(tblMoveTypes[In / Out],MATCH($C36,tblMoveTypes[Movement],0)),"?")="IN","IN   ",IF(IFERROR(INDEX(tblMoveTypes[In / Out],MATCH($C36,tblMoveTypes[Movement],0)),"?")="OUT","OUT   ","--   "))&amp;"fill: "&amp;IF(IFERROR(INDEX(tblMoveTypes[Item?],MATCH($C36,tblMoveTypes[Movement],0)),"?")="Yes","Item  ","")&amp;IF(AND(IFERROR(INDEX(tblMoveTypes[Qty?],MATCH($C36,tblMoveTypes[Movement],0)),"?")="Yes",IFERROR(INDEX(tblMoveTypes[In / Out],MATCH($C36,tblMoveTypes[Movement],0)),"?")="IN"),"In  ","")&amp;IF(AND(IFERROR(INDEX(tblMoveTypes[Qty?],MATCH($C36,tblMoveTypes[Movement],0)),"?")="Yes",IFERROR(INDEX(tblMoveTypes[In / Out],MATCH($C36,tblMoveTypes[Movement],0)),"?")="OUT"),"Out  ","")&amp;IF(IFERROR(INDEX(tblMoveTypes[Orders?],MATCH($C36,tblMoveTypes[Movement],0)),"?")="Yes","Orders  ","")&amp;IF(IFERROR(INDEX(tblMoveTypes[Courier?],MATCH($C36,tblMoveTypes[Movement],0)),"?")="Yes","Courier  ","")&amp;IF(IFERROR(INDEX(tblMoveTypes[Reason?],MATCH($C36,tblMoveTypes[Movement],0)),"?")="Yes","Reason",""),"unknown movement"))</f>
        <v>IN   fill: Item  In  </v>
      </c>
      <c r="E36" s="31" t="s">
        <v>95</v>
      </c>
      <c r="F36" s="33" t="n">
        <v>12</v>
      </c>
      <c r="G36" s="33"/>
      <c r="H36" s="33"/>
      <c r="I36" s="31"/>
      <c r="J36" s="31"/>
      <c r="K36" s="31"/>
      <c r="L36" s="31"/>
      <c r="M36" s="34" t="str">
        <f aca="false">IF($E36="","",IFERROR(INDEX(tblItems[Item Code],MATCH($E36,tblItems[Item Name],0)),"?"))</f>
        <v>EG-FG-GUV-01-02-01-01</v>
      </c>
      <c r="N36" s="34" t="str">
        <f aca="false">IF($B36="","",IFERROR(INDEX(tblShipment[Market],MATCH($B36,tblShipment[Shipment No],0)),"?"))</f>
        <v>Qatar</v>
      </c>
      <c r="O36" s="35" t="n">
        <f aca="false">N($F36)+N($G36)</f>
        <v>12</v>
      </c>
      <c r="P36" s="34" t="str">
        <f aca="false">IF($A36="","",IF($L36="Yes","VOID",IF(COUNTIFS(tblMoveTypes[Movement],$C36)=0,"Unknown movement",IF(COUNTIF(tblShipment[Shipment No],$B36)=0,"Unknown shipment",IF(AND(IFERROR(INDEX(tblMoveTypes[Item?],MATCH($C36,tblMoveTypes[Movement],0)),"?")="Yes",$E36=""),"Item needed",IF(AND(IFERROR(INDEX(tblMoveTypes[Item?],MATCH($C36,tblMoveTypes[Movement],0)),"?")="No",$E36&lt;&gt;""),"Leave Item blank",IF(AND(IFERROR(INDEX(tblMoveTypes[In / Out],MATCH($C36,tblMoveTypes[Movement],0)),"?")="IN",$G36&lt;&gt;""),"Use the In column, not Out",IF(AND(IFERROR(INDEX(tblMoveTypes[In / Out],MATCH($C36,tblMoveTypes[Movement],0)),"?")="OUT",$F36&lt;&gt;""),"Use the Out column, not In",IF(AND(IFERROR(INDEX(tblMoveTypes[Qty?],MATCH($C36,tblMoveTypes[Movement],0)),"?")="Yes",N($F36)+N($G36)&lt;=0),"Qty needed",IF(AND(IFERROR(INDEX(tblMoveTypes[Qty?],MATCH($C36,tblMoveTypes[Movement],0)),"?")="No",N($F36)+N($G36)&gt;0),"Leave In and Out blank",IF(AND(IFERROR(INDEX(tblMoveTypes[Courier?],MATCH($C36,tblMoveTypes[Movement],0)),"?")="Yes",$I36=""),"Courier needed",IF(AND(IFERROR(INDEX(tblMoveTypes[Courier?],MATCH($C36,tblMoveTypes[Movement],0)),"?")="No",$I36&lt;&gt;""),"Leave Courier blank",IF(AND(IFERROR(INDEX(tblMoveTypes[Orders?],MATCH($C36,tblMoveTypes[Movement],0)),"?")="Yes",$H36=""),"Orders needed",IF(AND(IFERROR(INDEX(tblMoveTypes[Orders?],MATCH($C36,tblMoveTypes[Movement],0)),"?")="No",$H36&lt;&gt;""),"Leave Orders blank",IF(AND(IFERROR(INDEX(tblMoveTypes[Reason?],MATCH($C36,tblMoveTypes[Movement],0)),"?")="Yes",$J36=""),"Reason needed",IF($A36&lt;_xlfn.MINIFS(tblShipment[Arrival Date],tblShipment[Shipment No],$B36),"Date before arrival",IF(AND($E36&lt;&gt;"",COUNTIFS(tblShipment[Shipment No],$B36,tblShipment[Item Name],$E36)=0),"Item not in this shipment","OK")))))))))))))))))</f>
        <v>OK</v>
      </c>
    </row>
    <row r="37" customFormat="false" ht="15" hidden="false" customHeight="false" outlineLevel="0" collapsed="false">
      <c r="A37" s="32" t="n">
        <v>46229</v>
      </c>
      <c r="B37" s="31" t="s">
        <v>158</v>
      </c>
      <c r="C37" s="31" t="s">
        <v>130</v>
      </c>
      <c r="D37" s="34" t="str">
        <f aca="false">IF($C37="","",IFERROR(IF(IFERROR(INDEX(tblMoveTypes[In / Out],MATCH($C37,tblMoveTypes[Movement],0)),"?")="IN","IN   ",IF(IFERROR(INDEX(tblMoveTypes[In / Out],MATCH($C37,tblMoveTypes[Movement],0)),"?")="OUT","OUT   ","--   "))&amp;"fill: "&amp;IF(IFERROR(INDEX(tblMoveTypes[Item?],MATCH($C37,tblMoveTypes[Movement],0)),"?")="Yes","Item  ","")&amp;IF(AND(IFERROR(INDEX(tblMoveTypes[Qty?],MATCH($C37,tblMoveTypes[Movement],0)),"?")="Yes",IFERROR(INDEX(tblMoveTypes[In / Out],MATCH($C37,tblMoveTypes[Movement],0)),"?")="IN"),"In  ","")&amp;IF(AND(IFERROR(INDEX(tblMoveTypes[Qty?],MATCH($C37,tblMoveTypes[Movement],0)),"?")="Yes",IFERROR(INDEX(tblMoveTypes[In / Out],MATCH($C37,tblMoveTypes[Movement],0)),"?")="OUT"),"Out  ","")&amp;IF(IFERROR(INDEX(tblMoveTypes[Orders?],MATCH($C37,tblMoveTypes[Movement],0)),"?")="Yes","Orders  ","")&amp;IF(IFERROR(INDEX(tblMoveTypes[Courier?],MATCH($C37,tblMoveTypes[Movement],0)),"?")="Yes","Courier  ","")&amp;IF(IFERROR(INDEX(tblMoveTypes[Reason?],MATCH($C37,tblMoveTypes[Movement],0)),"?")="Yes","Reason",""),"unknown movement"))</f>
        <v>OUT   fill: Item  Out  Reason</v>
      </c>
      <c r="E37" s="31" t="s">
        <v>95</v>
      </c>
      <c r="F37" s="33"/>
      <c r="G37" s="33" t="n">
        <v>5</v>
      </c>
      <c r="H37" s="33"/>
      <c r="I37" s="31"/>
      <c r="J37" s="31" t="s">
        <v>77</v>
      </c>
      <c r="K37" s="31"/>
      <c r="L37" s="31"/>
      <c r="M37" s="34" t="str">
        <f aca="false">IF($E37="","",IFERROR(INDEX(tblItems[Item Code],MATCH($E37,tblItems[Item Name],0)),"?"))</f>
        <v>EG-FG-GUV-01-02-01-01</v>
      </c>
      <c r="N37" s="34" t="str">
        <f aca="false">IF($B37="","",IFERROR(INDEX(tblShipment[Market],MATCH($B37,tblShipment[Shipment No],0)),"?"))</f>
        <v>Qatar</v>
      </c>
      <c r="O37" s="35" t="n">
        <f aca="false">N($F37)+N($G37)</f>
        <v>5</v>
      </c>
      <c r="P37" s="34" t="str">
        <f aca="false">IF($A37="","",IF($L37="Yes","VOID",IF(COUNTIFS(tblMoveTypes[Movement],$C37)=0,"Unknown movement",IF(COUNTIF(tblShipment[Shipment No],$B37)=0,"Unknown shipment",IF(AND(IFERROR(INDEX(tblMoveTypes[Item?],MATCH($C37,tblMoveTypes[Movement],0)),"?")="Yes",$E37=""),"Item needed",IF(AND(IFERROR(INDEX(tblMoveTypes[Item?],MATCH($C37,tblMoveTypes[Movement],0)),"?")="No",$E37&lt;&gt;""),"Leave Item blank",IF(AND(IFERROR(INDEX(tblMoveTypes[In / Out],MATCH($C37,tblMoveTypes[Movement],0)),"?")="IN",$G37&lt;&gt;""),"Use the In column, not Out",IF(AND(IFERROR(INDEX(tblMoveTypes[In / Out],MATCH($C37,tblMoveTypes[Movement],0)),"?")="OUT",$F37&lt;&gt;""),"Use the Out column, not In",IF(AND(IFERROR(INDEX(tblMoveTypes[Qty?],MATCH($C37,tblMoveTypes[Movement],0)),"?")="Yes",N($F37)+N($G37)&lt;=0),"Qty needed",IF(AND(IFERROR(INDEX(tblMoveTypes[Qty?],MATCH($C37,tblMoveTypes[Movement],0)),"?")="No",N($F37)+N($G37)&gt;0),"Leave In and Out blank",IF(AND(IFERROR(INDEX(tblMoveTypes[Courier?],MATCH($C37,tblMoveTypes[Movement],0)),"?")="Yes",$I37=""),"Courier needed",IF(AND(IFERROR(INDEX(tblMoveTypes[Courier?],MATCH($C37,tblMoveTypes[Movement],0)),"?")="No",$I37&lt;&gt;""),"Leave Courier blank",IF(AND(IFERROR(INDEX(tblMoveTypes[Orders?],MATCH($C37,tblMoveTypes[Movement],0)),"?")="Yes",$H37=""),"Orders needed",IF(AND(IFERROR(INDEX(tblMoveTypes[Orders?],MATCH($C37,tblMoveTypes[Movement],0)),"?")="No",$H37&lt;&gt;""),"Leave Orders blank",IF(AND(IFERROR(INDEX(tblMoveTypes[Reason?],MATCH($C37,tblMoveTypes[Movement],0)),"?")="Yes",$J37=""),"Reason needed",IF($A37&lt;_xlfn.MINIFS(tblShipment[Arrival Date],tblShipment[Shipment No],$B37),"Date before arrival",IF(AND($E37&lt;&gt;"",COUNTIFS(tblShipment[Shipment No],$B37,tblShipment[Item Name],$E37)=0),"Item not in this shipment","OK")))))))))))))))))</f>
        <v>OK</v>
      </c>
    </row>
    <row r="38" customFormat="false" ht="15" hidden="false" customHeight="false" outlineLevel="0" collapsed="false">
      <c r="A38" s="32" t="n">
        <v>46229</v>
      </c>
      <c r="B38" s="31" t="s">
        <v>158</v>
      </c>
      <c r="C38" s="31" t="s">
        <v>98</v>
      </c>
      <c r="D38" s="34" t="str">
        <f aca="false">IF($C38="","",IFERROR(IF(IFERROR(INDEX(tblMoveTypes[In / Out],MATCH($C38,tblMoveTypes[Movement],0)),"?")="IN","IN   ",IF(IFERROR(INDEX(tblMoveTypes[In / Out],MATCH($C38,tblMoveTypes[Movement],0)),"?")="OUT","OUT   ","--   "))&amp;"fill: "&amp;IF(IFERROR(INDEX(tblMoveTypes[Item?],MATCH($C38,tblMoveTypes[Movement],0)),"?")="Yes","Item  ","")&amp;IF(AND(IFERROR(INDEX(tblMoveTypes[Qty?],MATCH($C38,tblMoveTypes[Movement],0)),"?")="Yes",IFERROR(INDEX(tblMoveTypes[In / Out],MATCH($C38,tblMoveTypes[Movement],0)),"?")="IN"),"In  ","")&amp;IF(AND(IFERROR(INDEX(tblMoveTypes[Qty?],MATCH($C38,tblMoveTypes[Movement],0)),"?")="Yes",IFERROR(INDEX(tblMoveTypes[In / Out],MATCH($C38,tblMoveTypes[Movement],0)),"?")="OUT"),"Out  ","")&amp;IF(IFERROR(INDEX(tblMoveTypes[Orders?],MATCH($C38,tblMoveTypes[Movement],0)),"?")="Yes","Orders  ","")&amp;IF(IFERROR(INDEX(tblMoveTypes[Courier?],MATCH($C38,tblMoveTypes[Movement],0)),"?")="Yes","Courier  ","")&amp;IF(IFERROR(INDEX(tblMoveTypes[Reason?],MATCH($C38,tblMoveTypes[Movement],0)),"?")="Yes","Reason",""),"unknown movement"))</f>
        <v>OUT   fill: Item  Out  Courier  </v>
      </c>
      <c r="E38" s="31" t="s">
        <v>95</v>
      </c>
      <c r="F38" s="33"/>
      <c r="G38" s="33" t="n">
        <v>12</v>
      </c>
      <c r="H38" s="33"/>
      <c r="I38" s="31" t="s">
        <v>76</v>
      </c>
      <c r="J38" s="31"/>
      <c r="K38" s="31"/>
      <c r="L38" s="31"/>
      <c r="M38" s="34" t="str">
        <f aca="false">IF($E38="","",IFERROR(INDEX(tblItems[Item Code],MATCH($E38,tblItems[Item Name],0)),"?"))</f>
        <v>EG-FG-GUV-01-02-01-01</v>
      </c>
      <c r="N38" s="34" t="str">
        <f aca="false">IF($B38="","",IFERROR(INDEX(tblShipment[Market],MATCH($B38,tblShipment[Shipment No],0)),"?"))</f>
        <v>Qatar</v>
      </c>
      <c r="O38" s="35" t="n">
        <f aca="false">N($F38)+N($G38)</f>
        <v>12</v>
      </c>
      <c r="P38" s="34" t="str">
        <f aca="false">IF($A38="","",IF($L38="Yes","VOID",IF(COUNTIFS(tblMoveTypes[Movement],$C38)=0,"Unknown movement",IF(COUNTIF(tblShipment[Shipment No],$B38)=0,"Unknown shipment",IF(AND(IFERROR(INDEX(tblMoveTypes[Item?],MATCH($C38,tblMoveTypes[Movement],0)),"?")="Yes",$E38=""),"Item needed",IF(AND(IFERROR(INDEX(tblMoveTypes[Item?],MATCH($C38,tblMoveTypes[Movement],0)),"?")="No",$E38&lt;&gt;""),"Leave Item blank",IF(AND(IFERROR(INDEX(tblMoveTypes[In / Out],MATCH($C38,tblMoveTypes[Movement],0)),"?")="IN",$G38&lt;&gt;""),"Use the In column, not Out",IF(AND(IFERROR(INDEX(tblMoveTypes[In / Out],MATCH($C38,tblMoveTypes[Movement],0)),"?")="OUT",$F38&lt;&gt;""),"Use the Out column, not In",IF(AND(IFERROR(INDEX(tblMoveTypes[Qty?],MATCH($C38,tblMoveTypes[Movement],0)),"?")="Yes",N($F38)+N($G38)&lt;=0),"Qty needed",IF(AND(IFERROR(INDEX(tblMoveTypes[Qty?],MATCH($C38,tblMoveTypes[Movement],0)),"?")="No",N($F38)+N($G38)&gt;0),"Leave In and Out blank",IF(AND(IFERROR(INDEX(tblMoveTypes[Courier?],MATCH($C38,tblMoveTypes[Movement],0)),"?")="Yes",$I38=""),"Courier needed",IF(AND(IFERROR(INDEX(tblMoveTypes[Courier?],MATCH($C38,tblMoveTypes[Movement],0)),"?")="No",$I38&lt;&gt;""),"Leave Courier blank",IF(AND(IFERROR(INDEX(tblMoveTypes[Orders?],MATCH($C38,tblMoveTypes[Movement],0)),"?")="Yes",$H38=""),"Orders needed",IF(AND(IFERROR(INDEX(tblMoveTypes[Orders?],MATCH($C38,tblMoveTypes[Movement],0)),"?")="No",$H38&lt;&gt;""),"Leave Orders blank",IF(AND(IFERROR(INDEX(tblMoveTypes[Reason?],MATCH($C38,tblMoveTypes[Movement],0)),"?")="Yes",$J38=""),"Reason needed",IF($A38&lt;_xlfn.MINIFS(tblShipment[Arrival Date],tblShipment[Shipment No],$B38),"Date before arrival",IF(AND($E38&lt;&gt;"",COUNTIFS(tblShipment[Shipment No],$B38,tblShipment[Item Name],$E38)=0),"Item not in this shipment","OK")))))))))))))))))</f>
        <v>OK</v>
      </c>
    </row>
    <row r="39" customFormat="false" ht="15" hidden="false" customHeight="false" outlineLevel="0" collapsed="false">
      <c r="A39" s="32" t="n">
        <v>46229</v>
      </c>
      <c r="B39" s="31" t="s">
        <v>158</v>
      </c>
      <c r="C39" s="31" t="s">
        <v>110</v>
      </c>
      <c r="D39" s="34" t="str">
        <f aca="false">IF($C39="","",IFERROR(IF(IFERROR(INDEX(tblMoveTypes[In / Out],MATCH($C39,tblMoveTypes[Movement],0)),"?")="IN","IN   ",IF(IFERROR(INDEX(tblMoveTypes[In / Out],MATCH($C39,tblMoveTypes[Movement],0)),"?")="OUT","OUT   ","--   "))&amp;"fill: "&amp;IF(IFERROR(INDEX(tblMoveTypes[Item?],MATCH($C39,tblMoveTypes[Movement],0)),"?")="Yes","Item  ","")&amp;IF(AND(IFERROR(INDEX(tblMoveTypes[Qty?],MATCH($C39,tblMoveTypes[Movement],0)),"?")="Yes",IFERROR(INDEX(tblMoveTypes[In / Out],MATCH($C39,tblMoveTypes[Movement],0)),"?")="IN"),"In  ","")&amp;IF(AND(IFERROR(INDEX(tblMoveTypes[Qty?],MATCH($C39,tblMoveTypes[Movement],0)),"?")="Yes",IFERROR(INDEX(tblMoveTypes[In / Out],MATCH($C39,tblMoveTypes[Movement],0)),"?")="OUT"),"Out  ","")&amp;IF(IFERROR(INDEX(tblMoveTypes[Orders?],MATCH($C39,tblMoveTypes[Movement],0)),"?")="Yes","Orders  ","")&amp;IF(IFERROR(INDEX(tblMoveTypes[Courier?],MATCH($C39,tblMoveTypes[Movement],0)),"?")="Yes","Courier  ","")&amp;IF(IFERROR(INDEX(tblMoveTypes[Reason?],MATCH($C39,tblMoveTypes[Movement],0)),"?")="Yes","Reason",""),"unknown movement"))</f>
        <v>--   fill: Orders  Courier  </v>
      </c>
      <c r="E39" s="31"/>
      <c r="F39" s="33"/>
      <c r="G39" s="33"/>
      <c r="H39" s="33" t="n">
        <v>5</v>
      </c>
      <c r="I39" s="31" t="s">
        <v>76</v>
      </c>
      <c r="J39" s="31"/>
      <c r="K39" s="31"/>
      <c r="L39" s="31"/>
      <c r="M39" s="34" t="str">
        <f aca="false">IF($E39="","",IFERROR(INDEX(tblItems[Item Code],MATCH($E39,tblItems[Item Name],0)),"?"))</f>
        <v/>
      </c>
      <c r="N39" s="34" t="str">
        <f aca="false">IF($B39="","",IFERROR(INDEX(tblShipment[Market],MATCH($B39,tblShipment[Shipment No],0)),"?"))</f>
        <v>Qatar</v>
      </c>
      <c r="O39" s="35" t="n">
        <f aca="false">N($F39)+N($G39)</f>
        <v>0</v>
      </c>
      <c r="P39" s="34" t="str">
        <f aca="false">IF($A39="","",IF($L39="Yes","VOID",IF(COUNTIFS(tblMoveTypes[Movement],$C39)=0,"Unknown movement",IF(COUNTIF(tblShipment[Shipment No],$B39)=0,"Unknown shipment",IF(AND(IFERROR(INDEX(tblMoveTypes[Item?],MATCH($C39,tblMoveTypes[Movement],0)),"?")="Yes",$E39=""),"Item needed",IF(AND(IFERROR(INDEX(tblMoveTypes[Item?],MATCH($C39,tblMoveTypes[Movement],0)),"?")="No",$E39&lt;&gt;""),"Leave Item blank",IF(AND(IFERROR(INDEX(tblMoveTypes[In / Out],MATCH($C39,tblMoveTypes[Movement],0)),"?")="IN",$G39&lt;&gt;""),"Use the In column, not Out",IF(AND(IFERROR(INDEX(tblMoveTypes[In / Out],MATCH($C39,tblMoveTypes[Movement],0)),"?")="OUT",$F39&lt;&gt;""),"Use the Out column, not In",IF(AND(IFERROR(INDEX(tblMoveTypes[Qty?],MATCH($C39,tblMoveTypes[Movement],0)),"?")="Yes",N($F39)+N($G39)&lt;=0),"Qty needed",IF(AND(IFERROR(INDEX(tblMoveTypes[Qty?],MATCH($C39,tblMoveTypes[Movement],0)),"?")="No",N($F39)+N($G39)&gt;0),"Leave In and Out blank",IF(AND(IFERROR(INDEX(tblMoveTypes[Courier?],MATCH($C39,tblMoveTypes[Movement],0)),"?")="Yes",$I39=""),"Courier needed",IF(AND(IFERROR(INDEX(tblMoveTypes[Courier?],MATCH($C39,tblMoveTypes[Movement],0)),"?")="No",$I39&lt;&gt;""),"Leave Courier blank",IF(AND(IFERROR(INDEX(tblMoveTypes[Orders?],MATCH($C39,tblMoveTypes[Movement],0)),"?")="Yes",$H39=""),"Orders needed",IF(AND(IFERROR(INDEX(tblMoveTypes[Orders?],MATCH($C39,tblMoveTypes[Movement],0)),"?")="No",$H39&lt;&gt;""),"Leave Orders blank",IF(AND(IFERROR(INDEX(tblMoveTypes[Reason?],MATCH($C39,tblMoveTypes[Movement],0)),"?")="Yes",$J39=""),"Reason needed",IF($A39&lt;_xlfn.MINIFS(tblShipment[Arrival Date],tblShipment[Shipment No],$B39),"Date before arrival",IF(AND($E39&lt;&gt;"",COUNTIFS(tblShipment[Shipment No],$B39,tblShipment[Item Name],$E39)=0),"Item not in this shipment","OK")))))))))))))))))</f>
        <v>OK</v>
      </c>
    </row>
    <row r="40" customFormat="false" ht="15" hidden="false" customHeight="false" outlineLevel="0" collapsed="false">
      <c r="A40" s="32" t="n">
        <v>46229</v>
      </c>
      <c r="B40" s="31" t="s">
        <v>158</v>
      </c>
      <c r="C40" s="31" t="s">
        <v>115</v>
      </c>
      <c r="D40" s="34" t="str">
        <f aca="false">IF($C40="","",IFERROR(IF(IFERROR(INDEX(tblMoveTypes[In / Out],MATCH($C40,tblMoveTypes[Movement],0)),"?")="IN","IN   ",IF(IFERROR(INDEX(tblMoveTypes[In / Out],MATCH($C40,tblMoveTypes[Movement],0)),"?")="OUT","OUT   ","--   "))&amp;"fill: "&amp;IF(IFERROR(INDEX(tblMoveTypes[Item?],MATCH($C40,tblMoveTypes[Movement],0)),"?")="Yes","Item  ","")&amp;IF(AND(IFERROR(INDEX(tblMoveTypes[Qty?],MATCH($C40,tblMoveTypes[Movement],0)),"?")="Yes",IFERROR(INDEX(tblMoveTypes[In / Out],MATCH($C40,tblMoveTypes[Movement],0)),"?")="IN"),"In  ","")&amp;IF(AND(IFERROR(INDEX(tblMoveTypes[Qty?],MATCH($C40,tblMoveTypes[Movement],0)),"?")="Yes",IFERROR(INDEX(tblMoveTypes[In / Out],MATCH($C40,tblMoveTypes[Movement],0)),"?")="OUT"),"Out  ","")&amp;IF(IFERROR(INDEX(tblMoveTypes[Orders?],MATCH($C40,tblMoveTypes[Movement],0)),"?")="Yes","Orders  ","")&amp;IF(IFERROR(INDEX(tblMoveTypes[Courier?],MATCH($C40,tblMoveTypes[Movement],0)),"?")="Yes","Courier  ","")&amp;IF(IFERROR(INDEX(tblMoveTypes[Reason?],MATCH($C40,tblMoveTypes[Movement],0)),"?")="Yes","Reason",""),"unknown movement"))</f>
        <v>OUT   fill: Out  Orders  Courier  </v>
      </c>
      <c r="E40" s="31"/>
      <c r="F40" s="33"/>
      <c r="G40" s="33" t="n">
        <v>12</v>
      </c>
      <c r="H40" s="33" t="n">
        <v>5</v>
      </c>
      <c r="I40" s="31" t="s">
        <v>76</v>
      </c>
      <c r="J40" s="31"/>
      <c r="K40" s="31"/>
      <c r="L40" s="31"/>
      <c r="M40" s="34" t="str">
        <f aca="false">IF($E40="","",IFERROR(INDEX(tblItems[Item Code],MATCH($E40,tblItems[Item Name],0)),"?"))</f>
        <v/>
      </c>
      <c r="N40" s="34" t="str">
        <f aca="false">IF($B40="","",IFERROR(INDEX(tblShipment[Market],MATCH($B40,tblShipment[Shipment No],0)),"?"))</f>
        <v>Qatar</v>
      </c>
      <c r="O40" s="35" t="n">
        <f aca="false">N($F40)+N($G40)</f>
        <v>12</v>
      </c>
      <c r="P40" s="34" t="str">
        <f aca="false">IF($A40="","",IF($L40="Yes","VOID",IF(COUNTIFS(tblMoveTypes[Movement],$C40)=0,"Unknown movement",IF(COUNTIF(tblShipment[Shipment No],$B40)=0,"Unknown shipment",IF(AND(IFERROR(INDEX(tblMoveTypes[Item?],MATCH($C40,tblMoveTypes[Movement],0)),"?")="Yes",$E40=""),"Item needed",IF(AND(IFERROR(INDEX(tblMoveTypes[Item?],MATCH($C40,tblMoveTypes[Movement],0)),"?")="No",$E40&lt;&gt;""),"Leave Item blank",IF(AND(IFERROR(INDEX(tblMoveTypes[In / Out],MATCH($C40,tblMoveTypes[Movement],0)),"?")="IN",$G40&lt;&gt;""),"Use the In column, not Out",IF(AND(IFERROR(INDEX(tblMoveTypes[In / Out],MATCH($C40,tblMoveTypes[Movement],0)),"?")="OUT",$F40&lt;&gt;""),"Use the Out column, not In",IF(AND(IFERROR(INDEX(tblMoveTypes[Qty?],MATCH($C40,tblMoveTypes[Movement],0)),"?")="Yes",N($F40)+N($G40)&lt;=0),"Qty needed",IF(AND(IFERROR(INDEX(tblMoveTypes[Qty?],MATCH($C40,tblMoveTypes[Movement],0)),"?")="No",N($F40)+N($G40)&gt;0),"Leave In and Out blank",IF(AND(IFERROR(INDEX(tblMoveTypes[Courier?],MATCH($C40,tblMoveTypes[Movement],0)),"?")="Yes",$I40=""),"Courier needed",IF(AND(IFERROR(INDEX(tblMoveTypes[Courier?],MATCH($C40,tblMoveTypes[Movement],0)),"?")="No",$I40&lt;&gt;""),"Leave Courier blank",IF(AND(IFERROR(INDEX(tblMoveTypes[Orders?],MATCH($C40,tblMoveTypes[Movement],0)),"?")="Yes",$H40=""),"Orders needed",IF(AND(IFERROR(INDEX(tblMoveTypes[Orders?],MATCH($C40,tblMoveTypes[Movement],0)),"?")="No",$H40&lt;&gt;""),"Leave Orders blank",IF(AND(IFERROR(INDEX(tblMoveTypes[Reason?],MATCH($C40,tblMoveTypes[Movement],0)),"?")="Yes",$J40=""),"Reason needed",IF($A40&lt;_xlfn.MINIFS(tblShipment[Arrival Date],tblShipment[Shipment No],$B40),"Date before arrival",IF(AND($E40&lt;&gt;"",COUNTIFS(tblShipment[Shipment No],$B40,tblShipment[Item Name],$E40)=0),"Item not in this shipment","OK")))))))))))))))))</f>
        <v>OK</v>
      </c>
    </row>
    <row r="41" customFormat="false" ht="15" hidden="false" customHeight="false" outlineLevel="0" collapsed="false">
      <c r="A41" s="32" t="n">
        <v>46229</v>
      </c>
      <c r="B41" s="31" t="s">
        <v>159</v>
      </c>
      <c r="C41" s="31" t="s">
        <v>79</v>
      </c>
      <c r="D41" s="34" t="str">
        <f aca="false">IF($C41="","",IFERROR(IF(IFERROR(INDEX(tblMoveTypes[In / Out],MATCH($C41,tblMoveTypes[Movement],0)),"?")="IN","IN   ",IF(IFERROR(INDEX(tblMoveTypes[In / Out],MATCH($C41,tblMoveTypes[Movement],0)),"?")="OUT","OUT   ","--   "))&amp;"fill: "&amp;IF(IFERROR(INDEX(tblMoveTypes[Item?],MATCH($C41,tblMoveTypes[Movement],0)),"?")="Yes","Item  ","")&amp;IF(AND(IFERROR(INDEX(tblMoveTypes[Qty?],MATCH($C41,tblMoveTypes[Movement],0)),"?")="Yes",IFERROR(INDEX(tblMoveTypes[In / Out],MATCH($C41,tblMoveTypes[Movement],0)),"?")="IN"),"In  ","")&amp;IF(AND(IFERROR(INDEX(tblMoveTypes[Qty?],MATCH($C41,tblMoveTypes[Movement],0)),"?")="Yes",IFERROR(INDEX(tblMoveTypes[In / Out],MATCH($C41,tblMoveTypes[Movement],0)),"?")="OUT"),"Out  ","")&amp;IF(IFERROR(INDEX(tblMoveTypes[Orders?],MATCH($C41,tblMoveTypes[Movement],0)),"?")="Yes","Orders  ","")&amp;IF(IFERROR(INDEX(tblMoveTypes[Courier?],MATCH($C41,tblMoveTypes[Movement],0)),"?")="Yes","Courier  ","")&amp;IF(IFERROR(INDEX(tblMoveTypes[Reason?],MATCH($C41,tblMoveTypes[Movement],0)),"?")="Yes","Reason",""),"unknown movement"))</f>
        <v>IN   fill: Item  In  </v>
      </c>
      <c r="E41" s="31" t="s">
        <v>122</v>
      </c>
      <c r="F41" s="33" t="n">
        <v>20</v>
      </c>
      <c r="G41" s="33"/>
      <c r="H41" s="33"/>
      <c r="I41" s="31"/>
      <c r="J41" s="31"/>
      <c r="K41" s="31"/>
      <c r="L41" s="31"/>
      <c r="M41" s="34" t="str">
        <f aca="false">IF($E41="","",IFERROR(INDEX(tblItems[Item Code],MATCH($E41,tblItems[Item Name],0)),"?"))</f>
        <v>EG-FG-GRP-01-02-01-01</v>
      </c>
      <c r="N41" s="34" t="str">
        <f aca="false">IF($B41="","",IFERROR(INDEX(tblShipment[Market],MATCH($B41,tblShipment[Shipment No],0)),"?"))</f>
        <v>Qatar</v>
      </c>
      <c r="O41" s="35" t="n">
        <f aca="false">N($F41)+N($G41)</f>
        <v>20</v>
      </c>
      <c r="P41" s="34" t="str">
        <f aca="false">IF($A41="","",IF($L41="Yes","VOID",IF(COUNTIFS(tblMoveTypes[Movement],$C41)=0,"Unknown movement",IF(COUNTIF(tblShipment[Shipment No],$B41)=0,"Unknown shipment",IF(AND(IFERROR(INDEX(tblMoveTypes[Item?],MATCH($C41,tblMoveTypes[Movement],0)),"?")="Yes",$E41=""),"Item needed",IF(AND(IFERROR(INDEX(tblMoveTypes[Item?],MATCH($C41,tblMoveTypes[Movement],0)),"?")="No",$E41&lt;&gt;""),"Leave Item blank",IF(AND(IFERROR(INDEX(tblMoveTypes[In / Out],MATCH($C41,tblMoveTypes[Movement],0)),"?")="IN",$G41&lt;&gt;""),"Use the In column, not Out",IF(AND(IFERROR(INDEX(tblMoveTypes[In / Out],MATCH($C41,tblMoveTypes[Movement],0)),"?")="OUT",$F41&lt;&gt;""),"Use the Out column, not In",IF(AND(IFERROR(INDEX(tblMoveTypes[Qty?],MATCH($C41,tblMoveTypes[Movement],0)),"?")="Yes",N($F41)+N($G41)&lt;=0),"Qty needed",IF(AND(IFERROR(INDEX(tblMoveTypes[Qty?],MATCH($C41,tblMoveTypes[Movement],0)),"?")="No",N($F41)+N($G41)&gt;0),"Leave In and Out blank",IF(AND(IFERROR(INDEX(tblMoveTypes[Courier?],MATCH($C41,tblMoveTypes[Movement],0)),"?")="Yes",$I41=""),"Courier needed",IF(AND(IFERROR(INDEX(tblMoveTypes[Courier?],MATCH($C41,tblMoveTypes[Movement],0)),"?")="No",$I41&lt;&gt;""),"Leave Courier blank",IF(AND(IFERROR(INDEX(tblMoveTypes[Orders?],MATCH($C41,tblMoveTypes[Movement],0)),"?")="Yes",$H41=""),"Orders needed",IF(AND(IFERROR(INDEX(tblMoveTypes[Orders?],MATCH($C41,tblMoveTypes[Movement],0)),"?")="No",$H41&lt;&gt;""),"Leave Orders blank",IF(AND(IFERROR(INDEX(tblMoveTypes[Reason?],MATCH($C41,tblMoveTypes[Movement],0)),"?")="Yes",$J41=""),"Reason needed",IF($A41&lt;_xlfn.MINIFS(tblShipment[Arrival Date],tblShipment[Shipment No],$B41),"Date before arrival",IF(AND($E41&lt;&gt;"",COUNTIFS(tblShipment[Shipment No],$B41,tblShipment[Item Name],$E41)=0),"Item not in this shipment","OK")))))))))))))))))</f>
        <v>OK</v>
      </c>
    </row>
    <row r="42" customFormat="false" ht="15" hidden="false" customHeight="false" outlineLevel="0" collapsed="false">
      <c r="A42" s="32" t="n">
        <v>46229</v>
      </c>
      <c r="B42" s="31" t="s">
        <v>159</v>
      </c>
      <c r="C42" s="31" t="s">
        <v>79</v>
      </c>
      <c r="D42" s="34" t="str">
        <f aca="false">IF($C42="","",IFERROR(IF(IFERROR(INDEX(tblMoveTypes[In / Out],MATCH($C42,tblMoveTypes[Movement],0)),"?")="IN","IN   ",IF(IFERROR(INDEX(tblMoveTypes[In / Out],MATCH($C42,tblMoveTypes[Movement],0)),"?")="OUT","OUT   ","--   "))&amp;"fill: "&amp;IF(IFERROR(INDEX(tblMoveTypes[Item?],MATCH($C42,tblMoveTypes[Movement],0)),"?")="Yes","Item  ","")&amp;IF(AND(IFERROR(INDEX(tblMoveTypes[Qty?],MATCH($C42,tblMoveTypes[Movement],0)),"?")="Yes",IFERROR(INDEX(tblMoveTypes[In / Out],MATCH($C42,tblMoveTypes[Movement],0)),"?")="IN"),"In  ","")&amp;IF(AND(IFERROR(INDEX(tblMoveTypes[Qty?],MATCH($C42,tblMoveTypes[Movement],0)),"?")="Yes",IFERROR(INDEX(tblMoveTypes[In / Out],MATCH($C42,tblMoveTypes[Movement],0)),"?")="OUT"),"Out  ","")&amp;IF(IFERROR(INDEX(tblMoveTypes[Orders?],MATCH($C42,tblMoveTypes[Movement],0)),"?")="Yes","Orders  ","")&amp;IF(IFERROR(INDEX(tblMoveTypes[Courier?],MATCH($C42,tblMoveTypes[Movement],0)),"?")="Yes","Courier  ","")&amp;IF(IFERROR(INDEX(tblMoveTypes[Reason?],MATCH($C42,tblMoveTypes[Movement],0)),"?")="Yes","Reason",""),"unknown movement"))</f>
        <v>IN   fill: Item  In  </v>
      </c>
      <c r="E42" s="31" t="s">
        <v>72</v>
      </c>
      <c r="F42" s="33" t="n">
        <v>130</v>
      </c>
      <c r="G42" s="33"/>
      <c r="H42" s="33"/>
      <c r="I42" s="31"/>
      <c r="J42" s="31"/>
      <c r="K42" s="31"/>
      <c r="L42" s="31"/>
      <c r="M42" s="34" t="str">
        <f aca="false">IF($E42="","",IFERROR(INDEX(tblItems[Item Code],MATCH($E42,tblItems[Item Name],0)),"?"))</f>
        <v>EG-FG-MNG-05-02-01-01</v>
      </c>
      <c r="N42" s="34" t="str">
        <f aca="false">IF($B42="","",IFERROR(INDEX(tblShipment[Market],MATCH($B42,tblShipment[Shipment No],0)),"?"))</f>
        <v>Qatar</v>
      </c>
      <c r="O42" s="35" t="n">
        <f aca="false">N($F42)+N($G42)</f>
        <v>130</v>
      </c>
      <c r="P42" s="34" t="str">
        <f aca="false">IF($A42="","",IF($L42="Yes","VOID",IF(COUNTIFS(tblMoveTypes[Movement],$C42)=0,"Unknown movement",IF(COUNTIF(tblShipment[Shipment No],$B42)=0,"Unknown shipment",IF(AND(IFERROR(INDEX(tblMoveTypes[Item?],MATCH($C42,tblMoveTypes[Movement],0)),"?")="Yes",$E42=""),"Item needed",IF(AND(IFERROR(INDEX(tblMoveTypes[Item?],MATCH($C42,tblMoveTypes[Movement],0)),"?")="No",$E42&lt;&gt;""),"Leave Item blank",IF(AND(IFERROR(INDEX(tblMoveTypes[In / Out],MATCH($C42,tblMoveTypes[Movement],0)),"?")="IN",$G42&lt;&gt;""),"Use the In column, not Out",IF(AND(IFERROR(INDEX(tblMoveTypes[In / Out],MATCH($C42,tblMoveTypes[Movement],0)),"?")="OUT",$F42&lt;&gt;""),"Use the Out column, not In",IF(AND(IFERROR(INDEX(tblMoveTypes[Qty?],MATCH($C42,tblMoveTypes[Movement],0)),"?")="Yes",N($F42)+N($G42)&lt;=0),"Qty needed",IF(AND(IFERROR(INDEX(tblMoveTypes[Qty?],MATCH($C42,tblMoveTypes[Movement],0)),"?")="No",N($F42)+N($G42)&gt;0),"Leave In and Out blank",IF(AND(IFERROR(INDEX(tblMoveTypes[Courier?],MATCH($C42,tblMoveTypes[Movement],0)),"?")="Yes",$I42=""),"Courier needed",IF(AND(IFERROR(INDEX(tblMoveTypes[Courier?],MATCH($C42,tblMoveTypes[Movement],0)),"?")="No",$I42&lt;&gt;""),"Leave Courier blank",IF(AND(IFERROR(INDEX(tblMoveTypes[Orders?],MATCH($C42,tblMoveTypes[Movement],0)),"?")="Yes",$H42=""),"Orders needed",IF(AND(IFERROR(INDEX(tblMoveTypes[Orders?],MATCH($C42,tblMoveTypes[Movement],0)),"?")="No",$H42&lt;&gt;""),"Leave Orders blank",IF(AND(IFERROR(INDEX(tblMoveTypes[Reason?],MATCH($C42,tblMoveTypes[Movement],0)),"?")="Yes",$J42=""),"Reason needed",IF($A42&lt;_xlfn.MINIFS(tblShipment[Arrival Date],tblShipment[Shipment No],$B42),"Date before arrival",IF(AND($E42&lt;&gt;"",COUNTIFS(tblShipment[Shipment No],$B42,tblShipment[Item Name],$E42)=0),"Item not in this shipment","OK")))))))))))))))))</f>
        <v>OK</v>
      </c>
    </row>
    <row r="43" customFormat="false" ht="15" hidden="false" customHeight="false" outlineLevel="0" collapsed="false">
      <c r="A43" s="32" t="n">
        <v>46229</v>
      </c>
      <c r="B43" s="31" t="s">
        <v>159</v>
      </c>
      <c r="C43" s="31" t="s">
        <v>78</v>
      </c>
      <c r="D43" s="34" t="str">
        <f aca="false">IF($C43="","",IFERROR(IF(IFERROR(INDEX(tblMoveTypes[In / Out],MATCH($C43,tblMoveTypes[Movement],0)),"?")="IN","IN   ",IF(IFERROR(INDEX(tblMoveTypes[In / Out],MATCH($C43,tblMoveTypes[Movement],0)),"?")="OUT","OUT   ","--   "))&amp;"fill: "&amp;IF(IFERROR(INDEX(tblMoveTypes[Item?],MATCH($C43,tblMoveTypes[Movement],0)),"?")="Yes","Item  ","")&amp;IF(AND(IFERROR(INDEX(tblMoveTypes[Qty?],MATCH($C43,tblMoveTypes[Movement],0)),"?")="Yes",IFERROR(INDEX(tblMoveTypes[In / Out],MATCH($C43,tblMoveTypes[Movement],0)),"?")="IN"),"In  ","")&amp;IF(AND(IFERROR(INDEX(tblMoveTypes[Qty?],MATCH($C43,tblMoveTypes[Movement],0)),"?")="Yes",IFERROR(INDEX(tblMoveTypes[In / Out],MATCH($C43,tblMoveTypes[Movement],0)),"?")="OUT"),"Out  ","")&amp;IF(IFERROR(INDEX(tblMoveTypes[Orders?],MATCH($C43,tblMoveTypes[Movement],0)),"?")="Yes","Orders  ","")&amp;IF(IFERROR(INDEX(tblMoveTypes[Courier?],MATCH($C43,tblMoveTypes[Movement],0)),"?")="Yes","Courier  ","")&amp;IF(IFERROR(INDEX(tblMoveTypes[Reason?],MATCH($C43,tblMoveTypes[Movement],0)),"?")="Yes","Reason",""),"unknown movement"))</f>
        <v>OUT   fill: Item  Out  Reason</v>
      </c>
      <c r="E43" s="31" t="s">
        <v>72</v>
      </c>
      <c r="F43" s="33"/>
      <c r="G43" s="33" t="n">
        <v>3</v>
      </c>
      <c r="H43" s="33"/>
      <c r="I43" s="31"/>
      <c r="J43" s="31" t="s">
        <v>77</v>
      </c>
      <c r="K43" s="31"/>
      <c r="L43" s="31"/>
      <c r="M43" s="34" t="str">
        <f aca="false">IF($E43="","",IFERROR(INDEX(tblItems[Item Code],MATCH($E43,tblItems[Item Name],0)),"?"))</f>
        <v>EG-FG-MNG-05-02-01-01</v>
      </c>
      <c r="N43" s="34" t="str">
        <f aca="false">IF($B43="","",IFERROR(INDEX(tblShipment[Market],MATCH($B43,tblShipment[Shipment No],0)),"?"))</f>
        <v>Qatar</v>
      </c>
      <c r="O43" s="35" t="n">
        <f aca="false">N($F43)+N($G43)</f>
        <v>3</v>
      </c>
      <c r="P43" s="34" t="str">
        <f aca="false">IF($A43="","",IF($L43="Yes","VOID",IF(COUNTIFS(tblMoveTypes[Movement],$C43)=0,"Unknown movement",IF(COUNTIF(tblShipment[Shipment No],$B43)=0,"Unknown shipment",IF(AND(IFERROR(INDEX(tblMoveTypes[Item?],MATCH($C43,tblMoveTypes[Movement],0)),"?")="Yes",$E43=""),"Item needed",IF(AND(IFERROR(INDEX(tblMoveTypes[Item?],MATCH($C43,tblMoveTypes[Movement],0)),"?")="No",$E43&lt;&gt;""),"Leave Item blank",IF(AND(IFERROR(INDEX(tblMoveTypes[In / Out],MATCH($C43,tblMoveTypes[Movement],0)),"?")="IN",$G43&lt;&gt;""),"Use the In column, not Out",IF(AND(IFERROR(INDEX(tblMoveTypes[In / Out],MATCH($C43,tblMoveTypes[Movement],0)),"?")="OUT",$F43&lt;&gt;""),"Use the Out column, not In",IF(AND(IFERROR(INDEX(tblMoveTypes[Qty?],MATCH($C43,tblMoveTypes[Movement],0)),"?")="Yes",N($F43)+N($G43)&lt;=0),"Qty needed",IF(AND(IFERROR(INDEX(tblMoveTypes[Qty?],MATCH($C43,tblMoveTypes[Movement],0)),"?")="No",N($F43)+N($G43)&gt;0),"Leave In and Out blank",IF(AND(IFERROR(INDEX(tblMoveTypes[Courier?],MATCH($C43,tblMoveTypes[Movement],0)),"?")="Yes",$I43=""),"Courier needed",IF(AND(IFERROR(INDEX(tblMoveTypes[Courier?],MATCH($C43,tblMoveTypes[Movement],0)),"?")="No",$I43&lt;&gt;""),"Leave Courier blank",IF(AND(IFERROR(INDEX(tblMoveTypes[Orders?],MATCH($C43,tblMoveTypes[Movement],0)),"?")="Yes",$H43=""),"Orders needed",IF(AND(IFERROR(INDEX(tblMoveTypes[Orders?],MATCH($C43,tblMoveTypes[Movement],0)),"?")="No",$H43&lt;&gt;""),"Leave Orders blank",IF(AND(IFERROR(INDEX(tblMoveTypes[Reason?],MATCH($C43,tblMoveTypes[Movement],0)),"?")="Yes",$J43=""),"Reason needed",IF($A43&lt;_xlfn.MINIFS(tblShipment[Arrival Date],tblShipment[Shipment No],$B43),"Date before arrival",IF(AND($E43&lt;&gt;"",COUNTIFS(tblShipment[Shipment No],$B43,tblShipment[Item Name],$E43)=0),"Item not in this shipment","OK")))))))))))))))))</f>
        <v>OK</v>
      </c>
    </row>
    <row r="44" customFormat="false" ht="15" hidden="false" customHeight="false" outlineLevel="0" collapsed="false">
      <c r="A44" s="32" t="n">
        <v>46229</v>
      </c>
      <c r="B44" s="31" t="s">
        <v>159</v>
      </c>
      <c r="C44" s="31" t="s">
        <v>79</v>
      </c>
      <c r="D44" s="34" t="str">
        <f aca="false">IF($C44="","",IFERROR(IF(IFERROR(INDEX(tblMoveTypes[In / Out],MATCH($C44,tblMoveTypes[Movement],0)),"?")="IN","IN   ",IF(IFERROR(INDEX(tblMoveTypes[In / Out],MATCH($C44,tblMoveTypes[Movement],0)),"?")="OUT","OUT   ","--   "))&amp;"fill: "&amp;IF(IFERROR(INDEX(tblMoveTypes[Item?],MATCH($C44,tblMoveTypes[Movement],0)),"?")="Yes","Item  ","")&amp;IF(AND(IFERROR(INDEX(tblMoveTypes[Qty?],MATCH($C44,tblMoveTypes[Movement],0)),"?")="Yes",IFERROR(INDEX(tblMoveTypes[In / Out],MATCH($C44,tblMoveTypes[Movement],0)),"?")="IN"),"In  ","")&amp;IF(AND(IFERROR(INDEX(tblMoveTypes[Qty?],MATCH($C44,tblMoveTypes[Movement],0)),"?")="Yes",IFERROR(INDEX(tblMoveTypes[In / Out],MATCH($C44,tblMoveTypes[Movement],0)),"?")="OUT"),"Out  ","")&amp;IF(IFERROR(INDEX(tblMoveTypes[Orders?],MATCH($C44,tblMoveTypes[Movement],0)),"?")="Yes","Orders  ","")&amp;IF(IFERROR(INDEX(tblMoveTypes[Courier?],MATCH($C44,tblMoveTypes[Movement],0)),"?")="Yes","Courier  ","")&amp;IF(IFERROR(INDEX(tblMoveTypes[Reason?],MATCH($C44,tblMoveTypes[Movement],0)),"?")="Yes","Reason",""),"unknown movement"))</f>
        <v>IN   fill: Item  In  </v>
      </c>
      <c r="E44" s="31" t="s">
        <v>112</v>
      </c>
      <c r="F44" s="33" t="n">
        <v>30</v>
      </c>
      <c r="G44" s="33"/>
      <c r="H44" s="33"/>
      <c r="I44" s="31"/>
      <c r="J44" s="31"/>
      <c r="K44" s="31"/>
      <c r="L44" s="31"/>
      <c r="M44" s="34" t="str">
        <f aca="false">IF($E44="","",IFERROR(INDEX(tblItems[Item Code],MATCH($E44,tblItems[Item Name],0)),"?"))</f>
        <v>BOX-TRIO-01</v>
      </c>
      <c r="N44" s="34" t="str">
        <f aca="false">IF($B44="","",IFERROR(INDEX(tblShipment[Market],MATCH($B44,tblShipment[Shipment No],0)),"?"))</f>
        <v>Qatar</v>
      </c>
      <c r="O44" s="35" t="n">
        <f aca="false">N($F44)+N($G44)</f>
        <v>30</v>
      </c>
      <c r="P44" s="34" t="str">
        <f aca="false">IF($A44="","",IF($L44="Yes","VOID",IF(COUNTIFS(tblMoveTypes[Movement],$C44)=0,"Unknown movement",IF(COUNTIF(tblShipment[Shipment No],$B44)=0,"Unknown shipment",IF(AND(IFERROR(INDEX(tblMoveTypes[Item?],MATCH($C44,tblMoveTypes[Movement],0)),"?")="Yes",$E44=""),"Item needed",IF(AND(IFERROR(INDEX(tblMoveTypes[Item?],MATCH($C44,tblMoveTypes[Movement],0)),"?")="No",$E44&lt;&gt;""),"Leave Item blank",IF(AND(IFERROR(INDEX(tblMoveTypes[In / Out],MATCH($C44,tblMoveTypes[Movement],0)),"?")="IN",$G44&lt;&gt;""),"Use the In column, not Out",IF(AND(IFERROR(INDEX(tblMoveTypes[In / Out],MATCH($C44,tblMoveTypes[Movement],0)),"?")="OUT",$F44&lt;&gt;""),"Use the Out column, not In",IF(AND(IFERROR(INDEX(tblMoveTypes[Qty?],MATCH($C44,tblMoveTypes[Movement],0)),"?")="Yes",N($F44)+N($G44)&lt;=0),"Qty needed",IF(AND(IFERROR(INDEX(tblMoveTypes[Qty?],MATCH($C44,tblMoveTypes[Movement],0)),"?")="No",N($F44)+N($G44)&gt;0),"Leave In and Out blank",IF(AND(IFERROR(INDEX(tblMoveTypes[Courier?],MATCH($C44,tblMoveTypes[Movement],0)),"?")="Yes",$I44=""),"Courier needed",IF(AND(IFERROR(INDEX(tblMoveTypes[Courier?],MATCH($C44,tblMoveTypes[Movement],0)),"?")="No",$I44&lt;&gt;""),"Leave Courier blank",IF(AND(IFERROR(INDEX(tblMoveTypes[Orders?],MATCH($C44,tblMoveTypes[Movement],0)),"?")="Yes",$H44=""),"Orders needed",IF(AND(IFERROR(INDEX(tblMoveTypes[Orders?],MATCH($C44,tblMoveTypes[Movement],0)),"?")="No",$H44&lt;&gt;""),"Leave Orders blank",IF(AND(IFERROR(INDEX(tblMoveTypes[Reason?],MATCH($C44,tblMoveTypes[Movement],0)),"?")="Yes",$J44=""),"Reason needed",IF($A44&lt;_xlfn.MINIFS(tblShipment[Arrival Date],tblShipment[Shipment No],$B44),"Date before arrival",IF(AND($E44&lt;&gt;"",COUNTIFS(tblShipment[Shipment No],$B44,tblShipment[Item Name],$E44)=0),"Item not in this shipment","OK")))))))))))))))))</f>
        <v>OK</v>
      </c>
    </row>
    <row r="45" customFormat="false" ht="15" hidden="false" customHeight="false" outlineLevel="0" collapsed="false">
      <c r="A45" s="32" t="n">
        <v>46229</v>
      </c>
      <c r="B45" s="31" t="s">
        <v>159</v>
      </c>
      <c r="C45" s="31" t="s">
        <v>79</v>
      </c>
      <c r="D45" s="34" t="str">
        <f aca="false">IF($C45="","",IFERROR(IF(IFERROR(INDEX(tblMoveTypes[In / Out],MATCH($C45,tblMoveTypes[Movement],0)),"?")="IN","IN   ",IF(IFERROR(INDEX(tblMoveTypes[In / Out],MATCH($C45,tblMoveTypes[Movement],0)),"?")="OUT","OUT   ","--   "))&amp;"fill: "&amp;IF(IFERROR(INDEX(tblMoveTypes[Item?],MATCH($C45,tblMoveTypes[Movement],0)),"?")="Yes","Item  ","")&amp;IF(AND(IFERROR(INDEX(tblMoveTypes[Qty?],MATCH($C45,tblMoveTypes[Movement],0)),"?")="Yes",IFERROR(INDEX(tblMoveTypes[In / Out],MATCH($C45,tblMoveTypes[Movement],0)),"?")="IN"),"In  ","")&amp;IF(AND(IFERROR(INDEX(tblMoveTypes[Qty?],MATCH($C45,tblMoveTypes[Movement],0)),"?")="Yes",IFERROR(INDEX(tblMoveTypes[In / Out],MATCH($C45,tblMoveTypes[Movement],0)),"?")="OUT"),"Out  ","")&amp;IF(IFERROR(INDEX(tblMoveTypes[Orders?],MATCH($C45,tblMoveTypes[Movement],0)),"?")="Yes","Orders  ","")&amp;IF(IFERROR(INDEX(tblMoveTypes[Courier?],MATCH($C45,tblMoveTypes[Movement],0)),"?")="Yes","Courier  ","")&amp;IF(IFERROR(INDEX(tblMoveTypes[Reason?],MATCH($C45,tblMoveTypes[Movement],0)),"?")="Yes","Reason",""),"unknown movement"))</f>
        <v>IN   fill: Item  In  </v>
      </c>
      <c r="E45" s="31" t="s">
        <v>146</v>
      </c>
      <c r="F45" s="33" t="n">
        <v>20</v>
      </c>
      <c r="G45" s="33"/>
      <c r="H45" s="33"/>
      <c r="I45" s="31"/>
      <c r="J45" s="31"/>
      <c r="K45" s="31"/>
      <c r="L45" s="31"/>
      <c r="M45" s="34" t="str">
        <f aca="false">IF($E45="","",IFERROR(INDEX(tblItems[Item Code],MATCH($E45,tblItems[Item Name],0)),"?"))</f>
        <v>EG-FG-MNG-19-02-01-01</v>
      </c>
      <c r="N45" s="34" t="str">
        <f aca="false">IF($B45="","",IFERROR(INDEX(tblShipment[Market],MATCH($B45,tblShipment[Shipment No],0)),"?"))</f>
        <v>Qatar</v>
      </c>
      <c r="O45" s="35" t="n">
        <f aca="false">N($F45)+N($G45)</f>
        <v>20</v>
      </c>
      <c r="P45" s="34" t="str">
        <f aca="false">IF($A45="","",IF($L45="Yes","VOID",IF(COUNTIFS(tblMoveTypes[Movement],$C45)=0,"Unknown movement",IF(COUNTIF(tblShipment[Shipment No],$B45)=0,"Unknown shipment",IF(AND(IFERROR(INDEX(tblMoveTypes[Item?],MATCH($C45,tblMoveTypes[Movement],0)),"?")="Yes",$E45=""),"Item needed",IF(AND(IFERROR(INDEX(tblMoveTypes[Item?],MATCH($C45,tblMoveTypes[Movement],0)),"?")="No",$E45&lt;&gt;""),"Leave Item blank",IF(AND(IFERROR(INDEX(tblMoveTypes[In / Out],MATCH($C45,tblMoveTypes[Movement],0)),"?")="IN",$G45&lt;&gt;""),"Use the In column, not Out",IF(AND(IFERROR(INDEX(tblMoveTypes[In / Out],MATCH($C45,tblMoveTypes[Movement],0)),"?")="OUT",$F45&lt;&gt;""),"Use the Out column, not In",IF(AND(IFERROR(INDEX(tblMoveTypes[Qty?],MATCH($C45,tblMoveTypes[Movement],0)),"?")="Yes",N($F45)+N($G45)&lt;=0),"Qty needed",IF(AND(IFERROR(INDEX(tblMoveTypes[Qty?],MATCH($C45,tblMoveTypes[Movement],0)),"?")="No",N($F45)+N($G45)&gt;0),"Leave In and Out blank",IF(AND(IFERROR(INDEX(tblMoveTypes[Courier?],MATCH($C45,tblMoveTypes[Movement],0)),"?")="Yes",$I45=""),"Courier needed",IF(AND(IFERROR(INDEX(tblMoveTypes[Courier?],MATCH($C45,tblMoveTypes[Movement],0)),"?")="No",$I45&lt;&gt;""),"Leave Courier blank",IF(AND(IFERROR(INDEX(tblMoveTypes[Orders?],MATCH($C45,tblMoveTypes[Movement],0)),"?")="Yes",$H45=""),"Orders needed",IF(AND(IFERROR(INDEX(tblMoveTypes[Orders?],MATCH($C45,tblMoveTypes[Movement],0)),"?")="No",$H45&lt;&gt;""),"Leave Orders blank",IF(AND(IFERROR(INDEX(tblMoveTypes[Reason?],MATCH($C45,tblMoveTypes[Movement],0)),"?")="Yes",$J45=""),"Reason needed",IF($A45&lt;_xlfn.MINIFS(tblShipment[Arrival Date],tblShipment[Shipment No],$B45),"Date before arrival",IF(AND($E45&lt;&gt;"",COUNTIFS(tblShipment[Shipment No],$B45,tblShipment[Item Name],$E45)=0),"Item not in this shipment","OK")))))))))))))))))</f>
        <v>OK</v>
      </c>
    </row>
    <row r="46" customFormat="false" ht="15" hidden="false" customHeight="false" outlineLevel="0" collapsed="false">
      <c r="A46" s="32" t="n">
        <v>46229</v>
      </c>
      <c r="B46" s="31" t="s">
        <v>159</v>
      </c>
      <c r="C46" s="31" t="s">
        <v>79</v>
      </c>
      <c r="D46" s="34" t="str">
        <f aca="false">IF($C46="","",IFERROR(IF(IFERROR(INDEX(tblMoveTypes[In / Out],MATCH($C46,tblMoveTypes[Movement],0)),"?")="IN","IN   ",IF(IFERROR(INDEX(tblMoveTypes[In / Out],MATCH($C46,tblMoveTypes[Movement],0)),"?")="OUT","OUT   ","--   "))&amp;"fill: "&amp;IF(IFERROR(INDEX(tblMoveTypes[Item?],MATCH($C46,tblMoveTypes[Movement],0)),"?")="Yes","Item  ","")&amp;IF(AND(IFERROR(INDEX(tblMoveTypes[Qty?],MATCH($C46,tblMoveTypes[Movement],0)),"?")="Yes",IFERROR(INDEX(tblMoveTypes[In / Out],MATCH($C46,tblMoveTypes[Movement],0)),"?")="IN"),"In  ","")&amp;IF(AND(IFERROR(INDEX(tblMoveTypes[Qty?],MATCH($C46,tblMoveTypes[Movement],0)),"?")="Yes",IFERROR(INDEX(tblMoveTypes[In / Out],MATCH($C46,tblMoveTypes[Movement],0)),"?")="OUT"),"Out  ","")&amp;IF(IFERROR(INDEX(tblMoveTypes[Orders?],MATCH($C46,tblMoveTypes[Movement],0)),"?")="Yes","Orders  ","")&amp;IF(IFERROR(INDEX(tblMoveTypes[Courier?],MATCH($C46,tblMoveTypes[Movement],0)),"?")="Yes","Courier  ","")&amp;IF(IFERROR(INDEX(tblMoveTypes[Reason?],MATCH($C46,tblMoveTypes[Movement],0)),"?")="Yes","Reason",""),"unknown movement"))</f>
        <v>IN   fill: Item  In  </v>
      </c>
      <c r="E46" s="31" t="s">
        <v>95</v>
      </c>
      <c r="F46" s="33" t="n">
        <v>45</v>
      </c>
      <c r="G46" s="33"/>
      <c r="H46" s="33"/>
      <c r="I46" s="31"/>
      <c r="J46" s="31"/>
      <c r="K46" s="31"/>
      <c r="L46" s="31"/>
      <c r="M46" s="34" t="str">
        <f aca="false">IF($E46="","",IFERROR(INDEX(tblItems[Item Code],MATCH($E46,tblItems[Item Name],0)),"?"))</f>
        <v>EG-FG-GUV-01-02-01-01</v>
      </c>
      <c r="N46" s="34" t="str">
        <f aca="false">IF($B46="","",IFERROR(INDEX(tblShipment[Market],MATCH($B46,tblShipment[Shipment No],0)),"?"))</f>
        <v>Qatar</v>
      </c>
      <c r="O46" s="35" t="n">
        <f aca="false">N($F46)+N($G46)</f>
        <v>45</v>
      </c>
      <c r="P46" s="34" t="str">
        <f aca="false">IF($A46="","",IF($L46="Yes","VOID",IF(COUNTIFS(tblMoveTypes[Movement],$C46)=0,"Unknown movement",IF(COUNTIF(tblShipment[Shipment No],$B46)=0,"Unknown shipment",IF(AND(IFERROR(INDEX(tblMoveTypes[Item?],MATCH($C46,tblMoveTypes[Movement],0)),"?")="Yes",$E46=""),"Item needed",IF(AND(IFERROR(INDEX(tblMoveTypes[Item?],MATCH($C46,tblMoveTypes[Movement],0)),"?")="No",$E46&lt;&gt;""),"Leave Item blank",IF(AND(IFERROR(INDEX(tblMoveTypes[In / Out],MATCH($C46,tblMoveTypes[Movement],0)),"?")="IN",$G46&lt;&gt;""),"Use the In column, not Out",IF(AND(IFERROR(INDEX(tblMoveTypes[In / Out],MATCH($C46,tblMoveTypes[Movement],0)),"?")="OUT",$F46&lt;&gt;""),"Use the Out column, not In",IF(AND(IFERROR(INDEX(tblMoveTypes[Qty?],MATCH($C46,tblMoveTypes[Movement],0)),"?")="Yes",N($F46)+N($G46)&lt;=0),"Qty needed",IF(AND(IFERROR(INDEX(tblMoveTypes[Qty?],MATCH($C46,tblMoveTypes[Movement],0)),"?")="No",N($F46)+N($G46)&gt;0),"Leave In and Out blank",IF(AND(IFERROR(INDEX(tblMoveTypes[Courier?],MATCH($C46,tblMoveTypes[Movement],0)),"?")="Yes",$I46=""),"Courier needed",IF(AND(IFERROR(INDEX(tblMoveTypes[Courier?],MATCH($C46,tblMoveTypes[Movement],0)),"?")="No",$I46&lt;&gt;""),"Leave Courier blank",IF(AND(IFERROR(INDEX(tblMoveTypes[Orders?],MATCH($C46,tblMoveTypes[Movement],0)),"?")="Yes",$H46=""),"Orders needed",IF(AND(IFERROR(INDEX(tblMoveTypes[Orders?],MATCH($C46,tblMoveTypes[Movement],0)),"?")="No",$H46&lt;&gt;""),"Leave Orders blank",IF(AND(IFERROR(INDEX(tblMoveTypes[Reason?],MATCH($C46,tblMoveTypes[Movement],0)),"?")="Yes",$J46=""),"Reason needed",IF($A46&lt;_xlfn.MINIFS(tblShipment[Arrival Date],tblShipment[Shipment No],$B46),"Date before arrival",IF(AND($E46&lt;&gt;"",COUNTIFS(tblShipment[Shipment No],$B46,tblShipment[Item Name],$E46)=0),"Item not in this shipment","OK")))))))))))))))))</f>
        <v>OK</v>
      </c>
    </row>
    <row r="47" customFormat="false" ht="15" hidden="false" customHeight="false" outlineLevel="0" collapsed="false">
      <c r="A47" s="32" t="n">
        <v>46229</v>
      </c>
      <c r="B47" s="31" t="s">
        <v>159</v>
      </c>
      <c r="C47" s="31" t="s">
        <v>78</v>
      </c>
      <c r="D47" s="34" t="str">
        <f aca="false">IF($C47="","",IFERROR(IF(IFERROR(INDEX(tblMoveTypes[In / Out],MATCH($C47,tblMoveTypes[Movement],0)),"?")="IN","IN   ",IF(IFERROR(INDEX(tblMoveTypes[In / Out],MATCH($C47,tblMoveTypes[Movement],0)),"?")="OUT","OUT   ","--   "))&amp;"fill: "&amp;IF(IFERROR(INDEX(tblMoveTypes[Item?],MATCH($C47,tblMoveTypes[Movement],0)),"?")="Yes","Item  ","")&amp;IF(AND(IFERROR(INDEX(tblMoveTypes[Qty?],MATCH($C47,tblMoveTypes[Movement],0)),"?")="Yes",IFERROR(INDEX(tblMoveTypes[In / Out],MATCH($C47,tblMoveTypes[Movement],0)),"?")="IN"),"In  ","")&amp;IF(AND(IFERROR(INDEX(tblMoveTypes[Qty?],MATCH($C47,tblMoveTypes[Movement],0)),"?")="Yes",IFERROR(INDEX(tblMoveTypes[In / Out],MATCH($C47,tblMoveTypes[Movement],0)),"?")="OUT"),"Out  ","")&amp;IF(IFERROR(INDEX(tblMoveTypes[Orders?],MATCH($C47,tblMoveTypes[Movement],0)),"?")="Yes","Orders  ","")&amp;IF(IFERROR(INDEX(tblMoveTypes[Courier?],MATCH($C47,tblMoveTypes[Movement],0)),"?")="Yes","Courier  ","")&amp;IF(IFERROR(INDEX(tblMoveTypes[Reason?],MATCH($C47,tblMoveTypes[Movement],0)),"?")="Yes","Reason",""),"unknown movement"))</f>
        <v>OUT   fill: Item  Out  Reason</v>
      </c>
      <c r="E47" s="31" t="s">
        <v>95</v>
      </c>
      <c r="F47" s="33"/>
      <c r="G47" s="33" t="n">
        <v>1</v>
      </c>
      <c r="H47" s="33"/>
      <c r="I47" s="31"/>
      <c r="J47" s="31" t="s">
        <v>86</v>
      </c>
      <c r="K47" s="31"/>
      <c r="L47" s="31"/>
      <c r="M47" s="34" t="str">
        <f aca="false">IF($E47="","",IFERROR(INDEX(tblItems[Item Code],MATCH($E47,tblItems[Item Name],0)),"?"))</f>
        <v>EG-FG-GUV-01-02-01-01</v>
      </c>
      <c r="N47" s="34" t="str">
        <f aca="false">IF($B47="","",IFERROR(INDEX(tblShipment[Market],MATCH($B47,tblShipment[Shipment No],0)),"?"))</f>
        <v>Qatar</v>
      </c>
      <c r="O47" s="35" t="n">
        <f aca="false">N($F47)+N($G47)</f>
        <v>1</v>
      </c>
      <c r="P47" s="34" t="str">
        <f aca="false">IF($A47="","",IF($L47="Yes","VOID",IF(COUNTIFS(tblMoveTypes[Movement],$C47)=0,"Unknown movement",IF(COUNTIF(tblShipment[Shipment No],$B47)=0,"Unknown shipment",IF(AND(IFERROR(INDEX(tblMoveTypes[Item?],MATCH($C47,tblMoveTypes[Movement],0)),"?")="Yes",$E47=""),"Item needed",IF(AND(IFERROR(INDEX(tblMoveTypes[Item?],MATCH($C47,tblMoveTypes[Movement],0)),"?")="No",$E47&lt;&gt;""),"Leave Item blank",IF(AND(IFERROR(INDEX(tblMoveTypes[In / Out],MATCH($C47,tblMoveTypes[Movement],0)),"?")="IN",$G47&lt;&gt;""),"Use the In column, not Out",IF(AND(IFERROR(INDEX(tblMoveTypes[In / Out],MATCH($C47,tblMoveTypes[Movement],0)),"?")="OUT",$F47&lt;&gt;""),"Use the Out column, not In",IF(AND(IFERROR(INDEX(tblMoveTypes[Qty?],MATCH($C47,tblMoveTypes[Movement],0)),"?")="Yes",N($F47)+N($G47)&lt;=0),"Qty needed",IF(AND(IFERROR(INDEX(tblMoveTypes[Qty?],MATCH($C47,tblMoveTypes[Movement],0)),"?")="No",N($F47)+N($G47)&gt;0),"Leave In and Out blank",IF(AND(IFERROR(INDEX(tblMoveTypes[Courier?],MATCH($C47,tblMoveTypes[Movement],0)),"?")="Yes",$I47=""),"Courier needed",IF(AND(IFERROR(INDEX(tblMoveTypes[Courier?],MATCH($C47,tblMoveTypes[Movement],0)),"?")="No",$I47&lt;&gt;""),"Leave Courier blank",IF(AND(IFERROR(INDEX(tblMoveTypes[Orders?],MATCH($C47,tblMoveTypes[Movement],0)),"?")="Yes",$H47=""),"Orders needed",IF(AND(IFERROR(INDEX(tblMoveTypes[Orders?],MATCH($C47,tblMoveTypes[Movement],0)),"?")="No",$H47&lt;&gt;""),"Leave Orders blank",IF(AND(IFERROR(INDEX(tblMoveTypes[Reason?],MATCH($C47,tblMoveTypes[Movement],0)),"?")="Yes",$J47=""),"Reason needed",IF($A47&lt;_xlfn.MINIFS(tblShipment[Arrival Date],tblShipment[Shipment No],$B47),"Date before arrival",IF(AND($E47&lt;&gt;"",COUNTIFS(tblShipment[Shipment No],$B47,tblShipment[Item Name],$E47)=0),"Item not in this shipment","OK")))))))))))))))))</f>
        <v>OK</v>
      </c>
    </row>
    <row r="48" customFormat="false" ht="15" hidden="false" customHeight="false" outlineLevel="0" collapsed="false">
      <c r="A48" s="32" t="n">
        <v>46229</v>
      </c>
      <c r="B48" s="31" t="s">
        <v>159</v>
      </c>
      <c r="C48" s="31" t="s">
        <v>79</v>
      </c>
      <c r="D48" s="34" t="str">
        <f aca="false">IF($C48="","",IFERROR(IF(IFERROR(INDEX(tblMoveTypes[In / Out],MATCH($C48,tblMoveTypes[Movement],0)),"?")="IN","IN   ",IF(IFERROR(INDEX(tblMoveTypes[In / Out],MATCH($C48,tblMoveTypes[Movement],0)),"?")="OUT","OUT   ","--   "))&amp;"fill: "&amp;IF(IFERROR(INDEX(tblMoveTypes[Item?],MATCH($C48,tblMoveTypes[Movement],0)),"?")="Yes","Item  ","")&amp;IF(AND(IFERROR(INDEX(tblMoveTypes[Qty?],MATCH($C48,tblMoveTypes[Movement],0)),"?")="Yes",IFERROR(INDEX(tblMoveTypes[In / Out],MATCH($C48,tblMoveTypes[Movement],0)),"?")="IN"),"In  ","")&amp;IF(AND(IFERROR(INDEX(tblMoveTypes[Qty?],MATCH($C48,tblMoveTypes[Movement],0)),"?")="Yes",IFERROR(INDEX(tblMoveTypes[In / Out],MATCH($C48,tblMoveTypes[Movement],0)),"?")="OUT"),"Out  ","")&amp;IF(IFERROR(INDEX(tblMoveTypes[Orders?],MATCH($C48,tblMoveTypes[Movement],0)),"?")="Yes","Orders  ","")&amp;IF(IFERROR(INDEX(tblMoveTypes[Courier?],MATCH($C48,tblMoveTypes[Movement],0)),"?")="Yes","Courier  ","")&amp;IF(IFERROR(INDEX(tblMoveTypes[Reason?],MATCH($C48,tblMoveTypes[Movement],0)),"?")="Yes","Reason",""),"unknown movement"))</f>
        <v>IN   fill: Item  In  </v>
      </c>
      <c r="E48" s="31" t="s">
        <v>91</v>
      </c>
      <c r="F48" s="33" t="n">
        <v>65</v>
      </c>
      <c r="G48" s="33"/>
      <c r="H48" s="33"/>
      <c r="I48" s="31"/>
      <c r="J48" s="31"/>
      <c r="K48" s="31"/>
      <c r="L48" s="31"/>
      <c r="M48" s="34" t="str">
        <f aca="false">IF($E48="","",IFERROR(INDEX(tblItems[Item Code],MATCH($E48,tblItems[Item Name],0)),"?"))</f>
        <v>EG-FG-FIG-01-02-01-01</v>
      </c>
      <c r="N48" s="34" t="str">
        <f aca="false">IF($B48="","",IFERROR(INDEX(tblShipment[Market],MATCH($B48,tblShipment[Shipment No],0)),"?"))</f>
        <v>Qatar</v>
      </c>
      <c r="O48" s="35" t="n">
        <f aca="false">N($F48)+N($G48)</f>
        <v>65</v>
      </c>
      <c r="P48" s="34" t="str">
        <f aca="false">IF($A48="","",IF($L48="Yes","VOID",IF(COUNTIFS(tblMoveTypes[Movement],$C48)=0,"Unknown movement",IF(COUNTIF(tblShipment[Shipment No],$B48)=0,"Unknown shipment",IF(AND(IFERROR(INDEX(tblMoveTypes[Item?],MATCH($C48,tblMoveTypes[Movement],0)),"?")="Yes",$E48=""),"Item needed",IF(AND(IFERROR(INDEX(tblMoveTypes[Item?],MATCH($C48,tblMoveTypes[Movement],0)),"?")="No",$E48&lt;&gt;""),"Leave Item blank",IF(AND(IFERROR(INDEX(tblMoveTypes[In / Out],MATCH($C48,tblMoveTypes[Movement],0)),"?")="IN",$G48&lt;&gt;""),"Use the In column, not Out",IF(AND(IFERROR(INDEX(tblMoveTypes[In / Out],MATCH($C48,tblMoveTypes[Movement],0)),"?")="OUT",$F48&lt;&gt;""),"Use the Out column, not In",IF(AND(IFERROR(INDEX(tblMoveTypes[Qty?],MATCH($C48,tblMoveTypes[Movement],0)),"?")="Yes",N($F48)+N($G48)&lt;=0),"Qty needed",IF(AND(IFERROR(INDEX(tblMoveTypes[Qty?],MATCH($C48,tblMoveTypes[Movement],0)),"?")="No",N($F48)+N($G48)&gt;0),"Leave In and Out blank",IF(AND(IFERROR(INDEX(tblMoveTypes[Courier?],MATCH($C48,tblMoveTypes[Movement],0)),"?")="Yes",$I48=""),"Courier needed",IF(AND(IFERROR(INDEX(tblMoveTypes[Courier?],MATCH($C48,tblMoveTypes[Movement],0)),"?")="No",$I48&lt;&gt;""),"Leave Courier blank",IF(AND(IFERROR(INDEX(tblMoveTypes[Orders?],MATCH($C48,tblMoveTypes[Movement],0)),"?")="Yes",$H48=""),"Orders needed",IF(AND(IFERROR(INDEX(tblMoveTypes[Orders?],MATCH($C48,tblMoveTypes[Movement],0)),"?")="No",$H48&lt;&gt;""),"Leave Orders blank",IF(AND(IFERROR(INDEX(tblMoveTypes[Reason?],MATCH($C48,tblMoveTypes[Movement],0)),"?")="Yes",$J48=""),"Reason needed",IF($A48&lt;_xlfn.MINIFS(tblShipment[Arrival Date],tblShipment[Shipment No],$B48),"Date before arrival",IF(AND($E48&lt;&gt;"",COUNTIFS(tblShipment[Shipment No],$B48,tblShipment[Item Name],$E48)=0),"Item not in this shipment","OK")))))))))))))))))</f>
        <v>OK</v>
      </c>
    </row>
    <row r="49" customFormat="false" ht="15" hidden="false" customHeight="false" outlineLevel="0" collapsed="false">
      <c r="A49" s="32" t="n">
        <v>46229</v>
      </c>
      <c r="B49" s="31" t="s">
        <v>159</v>
      </c>
      <c r="C49" s="31" t="s">
        <v>78</v>
      </c>
      <c r="D49" s="34" t="str">
        <f aca="false">IF($C49="","",IFERROR(IF(IFERROR(INDEX(tblMoveTypes[In / Out],MATCH($C49,tblMoveTypes[Movement],0)),"?")="IN","IN   ",IF(IFERROR(INDEX(tblMoveTypes[In / Out],MATCH($C49,tblMoveTypes[Movement],0)),"?")="OUT","OUT   ","--   "))&amp;"fill: "&amp;IF(IFERROR(INDEX(tblMoveTypes[Item?],MATCH($C49,tblMoveTypes[Movement],0)),"?")="Yes","Item  ","")&amp;IF(AND(IFERROR(INDEX(tblMoveTypes[Qty?],MATCH($C49,tblMoveTypes[Movement],0)),"?")="Yes",IFERROR(INDEX(tblMoveTypes[In / Out],MATCH($C49,tblMoveTypes[Movement],0)),"?")="IN"),"In  ","")&amp;IF(AND(IFERROR(INDEX(tblMoveTypes[Qty?],MATCH($C49,tblMoveTypes[Movement],0)),"?")="Yes",IFERROR(INDEX(tblMoveTypes[In / Out],MATCH($C49,tblMoveTypes[Movement],0)),"?")="OUT"),"Out  ","")&amp;IF(IFERROR(INDEX(tblMoveTypes[Orders?],MATCH($C49,tblMoveTypes[Movement],0)),"?")="Yes","Orders  ","")&amp;IF(IFERROR(INDEX(tblMoveTypes[Courier?],MATCH($C49,tblMoveTypes[Movement],0)),"?")="Yes","Courier  ","")&amp;IF(IFERROR(INDEX(tblMoveTypes[Reason?],MATCH($C49,tblMoveTypes[Movement],0)),"?")="Yes","Reason",""),"unknown movement"))</f>
        <v>OUT   fill: Item  Out  Reason</v>
      </c>
      <c r="E49" s="31" t="s">
        <v>91</v>
      </c>
      <c r="F49" s="33"/>
      <c r="G49" s="33" t="n">
        <v>1</v>
      </c>
      <c r="H49" s="33"/>
      <c r="I49" s="31"/>
      <c r="J49" s="31" t="s">
        <v>77</v>
      </c>
      <c r="K49" s="31"/>
      <c r="L49" s="31"/>
      <c r="M49" s="34" t="str">
        <f aca="false">IF($E49="","",IFERROR(INDEX(tblItems[Item Code],MATCH($E49,tblItems[Item Name],0)),"?"))</f>
        <v>EG-FG-FIG-01-02-01-01</v>
      </c>
      <c r="N49" s="34" t="str">
        <f aca="false">IF($B49="","",IFERROR(INDEX(tblShipment[Market],MATCH($B49,tblShipment[Shipment No],0)),"?"))</f>
        <v>Qatar</v>
      </c>
      <c r="O49" s="35" t="n">
        <f aca="false">N($F49)+N($G49)</f>
        <v>1</v>
      </c>
      <c r="P49" s="34" t="str">
        <f aca="false">IF($A49="","",IF($L49="Yes","VOID",IF(COUNTIFS(tblMoveTypes[Movement],$C49)=0,"Unknown movement",IF(COUNTIF(tblShipment[Shipment No],$B49)=0,"Unknown shipment",IF(AND(IFERROR(INDEX(tblMoveTypes[Item?],MATCH($C49,tblMoveTypes[Movement],0)),"?")="Yes",$E49=""),"Item needed",IF(AND(IFERROR(INDEX(tblMoveTypes[Item?],MATCH($C49,tblMoveTypes[Movement],0)),"?")="No",$E49&lt;&gt;""),"Leave Item blank",IF(AND(IFERROR(INDEX(tblMoveTypes[In / Out],MATCH($C49,tblMoveTypes[Movement],0)),"?")="IN",$G49&lt;&gt;""),"Use the In column, not Out",IF(AND(IFERROR(INDEX(tblMoveTypes[In / Out],MATCH($C49,tblMoveTypes[Movement],0)),"?")="OUT",$F49&lt;&gt;""),"Use the Out column, not In",IF(AND(IFERROR(INDEX(tblMoveTypes[Qty?],MATCH($C49,tblMoveTypes[Movement],0)),"?")="Yes",N($F49)+N($G49)&lt;=0),"Qty needed",IF(AND(IFERROR(INDEX(tblMoveTypes[Qty?],MATCH($C49,tblMoveTypes[Movement],0)),"?")="No",N($F49)+N($G49)&gt;0),"Leave In and Out blank",IF(AND(IFERROR(INDEX(tblMoveTypes[Courier?],MATCH($C49,tblMoveTypes[Movement],0)),"?")="Yes",$I49=""),"Courier needed",IF(AND(IFERROR(INDEX(tblMoveTypes[Courier?],MATCH($C49,tblMoveTypes[Movement],0)),"?")="No",$I49&lt;&gt;""),"Leave Courier blank",IF(AND(IFERROR(INDEX(tblMoveTypes[Orders?],MATCH($C49,tblMoveTypes[Movement],0)),"?")="Yes",$H49=""),"Orders needed",IF(AND(IFERROR(INDEX(tblMoveTypes[Orders?],MATCH($C49,tblMoveTypes[Movement],0)),"?")="No",$H49&lt;&gt;""),"Leave Orders blank",IF(AND(IFERROR(INDEX(tblMoveTypes[Reason?],MATCH($C49,tblMoveTypes[Movement],0)),"?")="Yes",$J49=""),"Reason needed",IF($A49&lt;_xlfn.MINIFS(tblShipment[Arrival Date],tblShipment[Shipment No],$B49),"Date before arrival",IF(AND($E49&lt;&gt;"",COUNTIFS(tblShipment[Shipment No],$B49,tblShipment[Item Name],$E49)=0),"Item not in this shipment","OK")))))))))))))))))</f>
        <v>OK</v>
      </c>
    </row>
    <row r="50" customFormat="false" ht="15" hidden="false" customHeight="false" outlineLevel="0" collapsed="false">
      <c r="A50" s="32" t="n">
        <v>46229</v>
      </c>
      <c r="B50" s="31" t="s">
        <v>159</v>
      </c>
      <c r="C50" s="31" t="s">
        <v>79</v>
      </c>
      <c r="D50" s="34" t="str">
        <f aca="false">IF($C50="","",IFERROR(IF(IFERROR(INDEX(tblMoveTypes[In / Out],MATCH($C50,tblMoveTypes[Movement],0)),"?")="IN","IN   ",IF(IFERROR(INDEX(tblMoveTypes[In / Out],MATCH($C50,tblMoveTypes[Movement],0)),"?")="OUT","OUT   ","--   "))&amp;"fill: "&amp;IF(IFERROR(INDEX(tblMoveTypes[Item?],MATCH($C50,tblMoveTypes[Movement],0)),"?")="Yes","Item  ","")&amp;IF(AND(IFERROR(INDEX(tblMoveTypes[Qty?],MATCH($C50,tblMoveTypes[Movement],0)),"?")="Yes",IFERROR(INDEX(tblMoveTypes[In / Out],MATCH($C50,tblMoveTypes[Movement],0)),"?")="IN"),"In  ","")&amp;IF(AND(IFERROR(INDEX(tblMoveTypes[Qty?],MATCH($C50,tblMoveTypes[Movement],0)),"?")="Yes",IFERROR(INDEX(tblMoveTypes[In / Out],MATCH($C50,tblMoveTypes[Movement],0)),"?")="OUT"),"Out  ","")&amp;IF(IFERROR(INDEX(tblMoveTypes[Orders?],MATCH($C50,tblMoveTypes[Movement],0)),"?")="Yes","Orders  ","")&amp;IF(IFERROR(INDEX(tblMoveTypes[Courier?],MATCH($C50,tblMoveTypes[Movement],0)),"?")="Yes","Courier  ","")&amp;IF(IFERROR(INDEX(tblMoveTypes[Reason?],MATCH($C50,tblMoveTypes[Movement],0)),"?")="Yes","Reason",""),"unknown movement"))</f>
        <v>IN   fill: Item  In  </v>
      </c>
      <c r="E50" s="31" t="s">
        <v>84</v>
      </c>
      <c r="F50" s="33" t="n">
        <v>125</v>
      </c>
      <c r="G50" s="33"/>
      <c r="H50" s="33"/>
      <c r="I50" s="31"/>
      <c r="J50" s="31"/>
      <c r="K50" s="31"/>
      <c r="L50" s="31"/>
      <c r="M50" s="34" t="str">
        <f aca="false">IF($E50="","",IFERROR(INDEX(tblItems[Item Code],MATCH($E50,tblItems[Item Name],0)),"?"))</f>
        <v>EG-FG-MNG-12-02-01-01</v>
      </c>
      <c r="N50" s="34" t="str">
        <f aca="false">IF($B50="","",IFERROR(INDEX(tblShipment[Market],MATCH($B50,tblShipment[Shipment No],0)),"?"))</f>
        <v>Qatar</v>
      </c>
      <c r="O50" s="35" t="n">
        <f aca="false">N($F50)+N($G50)</f>
        <v>125</v>
      </c>
      <c r="P50" s="34" t="str">
        <f aca="false">IF($A50="","",IF($L50="Yes","VOID",IF(COUNTIFS(tblMoveTypes[Movement],$C50)=0,"Unknown movement",IF(COUNTIF(tblShipment[Shipment No],$B50)=0,"Unknown shipment",IF(AND(IFERROR(INDEX(tblMoveTypes[Item?],MATCH($C50,tblMoveTypes[Movement],0)),"?")="Yes",$E50=""),"Item needed",IF(AND(IFERROR(INDEX(tblMoveTypes[Item?],MATCH($C50,tblMoveTypes[Movement],0)),"?")="No",$E50&lt;&gt;""),"Leave Item blank",IF(AND(IFERROR(INDEX(tblMoveTypes[In / Out],MATCH($C50,tblMoveTypes[Movement],0)),"?")="IN",$G50&lt;&gt;""),"Use the In column, not Out",IF(AND(IFERROR(INDEX(tblMoveTypes[In / Out],MATCH($C50,tblMoveTypes[Movement],0)),"?")="OUT",$F50&lt;&gt;""),"Use the Out column, not In",IF(AND(IFERROR(INDEX(tblMoveTypes[Qty?],MATCH($C50,tblMoveTypes[Movement],0)),"?")="Yes",N($F50)+N($G50)&lt;=0),"Qty needed",IF(AND(IFERROR(INDEX(tblMoveTypes[Qty?],MATCH($C50,tblMoveTypes[Movement],0)),"?")="No",N($F50)+N($G50)&gt;0),"Leave In and Out blank",IF(AND(IFERROR(INDEX(tblMoveTypes[Courier?],MATCH($C50,tblMoveTypes[Movement],0)),"?")="Yes",$I50=""),"Courier needed",IF(AND(IFERROR(INDEX(tblMoveTypes[Courier?],MATCH($C50,tblMoveTypes[Movement],0)),"?")="No",$I50&lt;&gt;""),"Leave Courier blank",IF(AND(IFERROR(INDEX(tblMoveTypes[Orders?],MATCH($C50,tblMoveTypes[Movement],0)),"?")="Yes",$H50=""),"Orders needed",IF(AND(IFERROR(INDEX(tblMoveTypes[Orders?],MATCH($C50,tblMoveTypes[Movement],0)),"?")="No",$H50&lt;&gt;""),"Leave Orders blank",IF(AND(IFERROR(INDEX(tblMoveTypes[Reason?],MATCH($C50,tblMoveTypes[Movement],0)),"?")="Yes",$J50=""),"Reason needed",IF($A50&lt;_xlfn.MINIFS(tblShipment[Arrival Date],tblShipment[Shipment No],$B50),"Date before arrival",IF(AND($E50&lt;&gt;"",COUNTIFS(tblShipment[Shipment No],$B50,tblShipment[Item Name],$E50)=0),"Item not in this shipment","OK")))))))))))))))))</f>
        <v>OK</v>
      </c>
    </row>
    <row r="51" customFormat="false" ht="15" hidden="false" customHeight="false" outlineLevel="0" collapsed="false">
      <c r="A51" s="32" t="n">
        <v>46229</v>
      </c>
      <c r="B51" s="31" t="s">
        <v>159</v>
      </c>
      <c r="C51" s="31" t="s">
        <v>78</v>
      </c>
      <c r="D51" s="34" t="str">
        <f aca="false">IF($C51="","",IFERROR(IF(IFERROR(INDEX(tblMoveTypes[In / Out],MATCH($C51,tblMoveTypes[Movement],0)),"?")="IN","IN   ",IF(IFERROR(INDEX(tblMoveTypes[In / Out],MATCH($C51,tblMoveTypes[Movement],0)),"?")="OUT","OUT   ","--   "))&amp;"fill: "&amp;IF(IFERROR(INDEX(tblMoveTypes[Item?],MATCH($C51,tblMoveTypes[Movement],0)),"?")="Yes","Item  ","")&amp;IF(AND(IFERROR(INDEX(tblMoveTypes[Qty?],MATCH($C51,tblMoveTypes[Movement],0)),"?")="Yes",IFERROR(INDEX(tblMoveTypes[In / Out],MATCH($C51,tblMoveTypes[Movement],0)),"?")="IN"),"In  ","")&amp;IF(AND(IFERROR(INDEX(tblMoveTypes[Qty?],MATCH($C51,tblMoveTypes[Movement],0)),"?")="Yes",IFERROR(INDEX(tblMoveTypes[In / Out],MATCH($C51,tblMoveTypes[Movement],0)),"?")="OUT"),"Out  ","")&amp;IF(IFERROR(INDEX(tblMoveTypes[Orders?],MATCH($C51,tblMoveTypes[Movement],0)),"?")="Yes","Orders  ","")&amp;IF(IFERROR(INDEX(tblMoveTypes[Courier?],MATCH($C51,tblMoveTypes[Movement],0)),"?")="Yes","Courier  ","")&amp;IF(IFERROR(INDEX(tblMoveTypes[Reason?],MATCH($C51,tblMoveTypes[Movement],0)),"?")="Yes","Reason",""),"unknown movement"))</f>
        <v>OUT   fill: Item  Out  Reason</v>
      </c>
      <c r="E51" s="31" t="s">
        <v>84</v>
      </c>
      <c r="F51" s="33"/>
      <c r="G51" s="33" t="n">
        <v>1</v>
      </c>
      <c r="H51" s="33"/>
      <c r="I51" s="31"/>
      <c r="J51" s="31" t="s">
        <v>86</v>
      </c>
      <c r="K51" s="31"/>
      <c r="L51" s="31"/>
      <c r="M51" s="34" t="str">
        <f aca="false">IF($E51="","",IFERROR(INDEX(tblItems[Item Code],MATCH($E51,tblItems[Item Name],0)),"?"))</f>
        <v>EG-FG-MNG-12-02-01-01</v>
      </c>
      <c r="N51" s="34" t="str">
        <f aca="false">IF($B51="","",IFERROR(INDEX(tblShipment[Market],MATCH($B51,tblShipment[Shipment No],0)),"?"))</f>
        <v>Qatar</v>
      </c>
      <c r="O51" s="35" t="n">
        <f aca="false">N($F51)+N($G51)</f>
        <v>1</v>
      </c>
      <c r="P51" s="34" t="str">
        <f aca="false">IF($A51="","",IF($L51="Yes","VOID",IF(COUNTIFS(tblMoveTypes[Movement],$C51)=0,"Unknown movement",IF(COUNTIF(tblShipment[Shipment No],$B51)=0,"Unknown shipment",IF(AND(IFERROR(INDEX(tblMoveTypes[Item?],MATCH($C51,tblMoveTypes[Movement],0)),"?")="Yes",$E51=""),"Item needed",IF(AND(IFERROR(INDEX(tblMoveTypes[Item?],MATCH($C51,tblMoveTypes[Movement],0)),"?")="No",$E51&lt;&gt;""),"Leave Item blank",IF(AND(IFERROR(INDEX(tblMoveTypes[In / Out],MATCH($C51,tblMoveTypes[Movement],0)),"?")="IN",$G51&lt;&gt;""),"Use the In column, not Out",IF(AND(IFERROR(INDEX(tblMoveTypes[In / Out],MATCH($C51,tblMoveTypes[Movement],0)),"?")="OUT",$F51&lt;&gt;""),"Use the Out column, not In",IF(AND(IFERROR(INDEX(tblMoveTypes[Qty?],MATCH($C51,tblMoveTypes[Movement],0)),"?")="Yes",N($F51)+N($G51)&lt;=0),"Qty needed",IF(AND(IFERROR(INDEX(tblMoveTypes[Qty?],MATCH($C51,tblMoveTypes[Movement],0)),"?")="No",N($F51)+N($G51)&gt;0),"Leave In and Out blank",IF(AND(IFERROR(INDEX(tblMoveTypes[Courier?],MATCH($C51,tblMoveTypes[Movement],0)),"?")="Yes",$I51=""),"Courier needed",IF(AND(IFERROR(INDEX(tblMoveTypes[Courier?],MATCH($C51,tblMoveTypes[Movement],0)),"?")="No",$I51&lt;&gt;""),"Leave Courier blank",IF(AND(IFERROR(INDEX(tblMoveTypes[Orders?],MATCH($C51,tblMoveTypes[Movement],0)),"?")="Yes",$H51=""),"Orders needed",IF(AND(IFERROR(INDEX(tblMoveTypes[Orders?],MATCH($C51,tblMoveTypes[Movement],0)),"?")="No",$H51&lt;&gt;""),"Leave Orders blank",IF(AND(IFERROR(INDEX(tblMoveTypes[Reason?],MATCH($C51,tblMoveTypes[Movement],0)),"?")="Yes",$J51=""),"Reason needed",IF($A51&lt;_xlfn.MINIFS(tblShipment[Arrival Date],tblShipment[Shipment No],$B51),"Date before arrival",IF(AND($E51&lt;&gt;"",COUNTIFS(tblShipment[Shipment No],$B51,tblShipment[Item Name],$E51)=0),"Item not in this shipment","OK")))))))))))))))))</f>
        <v>OK</v>
      </c>
    </row>
    <row r="52" customFormat="false" ht="15" hidden="false" customHeight="false" outlineLevel="0" collapsed="false">
      <c r="A52" s="32" t="n">
        <v>46229</v>
      </c>
      <c r="B52" s="31" t="s">
        <v>159</v>
      </c>
      <c r="C52" s="31" t="s">
        <v>79</v>
      </c>
      <c r="D52" s="34" t="str">
        <f aca="false">IF($C52="","",IFERROR(IF(IFERROR(INDEX(tblMoveTypes[In / Out],MATCH($C52,tblMoveTypes[Movement],0)),"?")="IN","IN   ",IF(IFERROR(INDEX(tblMoveTypes[In / Out],MATCH($C52,tblMoveTypes[Movement],0)),"?")="OUT","OUT   ","--   "))&amp;"fill: "&amp;IF(IFERROR(INDEX(tblMoveTypes[Item?],MATCH($C52,tblMoveTypes[Movement],0)),"?")="Yes","Item  ","")&amp;IF(AND(IFERROR(INDEX(tblMoveTypes[Qty?],MATCH($C52,tblMoveTypes[Movement],0)),"?")="Yes",IFERROR(INDEX(tblMoveTypes[In / Out],MATCH($C52,tblMoveTypes[Movement],0)),"?")="IN"),"In  ","")&amp;IF(AND(IFERROR(INDEX(tblMoveTypes[Qty?],MATCH($C52,tblMoveTypes[Movement],0)),"?")="Yes",IFERROR(INDEX(tblMoveTypes[In / Out],MATCH($C52,tblMoveTypes[Movement],0)),"?")="OUT"),"Out  ","")&amp;IF(IFERROR(INDEX(tblMoveTypes[Orders?],MATCH($C52,tblMoveTypes[Movement],0)),"?")="Yes","Orders  ","")&amp;IF(IFERROR(INDEX(tblMoveTypes[Courier?],MATCH($C52,tblMoveTypes[Movement],0)),"?")="Yes","Courier  ","")&amp;IF(IFERROR(INDEX(tblMoveTypes[Reason?],MATCH($C52,tblMoveTypes[Movement],0)),"?")="Yes","Reason",""),"unknown movement"))</f>
        <v>IN   fill: Item  In  </v>
      </c>
      <c r="E52" s="31" t="s">
        <v>106</v>
      </c>
      <c r="F52" s="33" t="n">
        <v>35</v>
      </c>
      <c r="G52" s="33"/>
      <c r="H52" s="33"/>
      <c r="I52" s="31"/>
      <c r="J52" s="31"/>
      <c r="K52" s="31"/>
      <c r="L52" s="31"/>
      <c r="M52" s="34" t="str">
        <f aca="false">IF($E52="","",IFERROR(INDEX(tblItems[Item Code],MATCH($E52,tblItems[Item Name],0)),"?"))</f>
        <v>EG-FG-DAT-01-02-01-01</v>
      </c>
      <c r="N52" s="34" t="str">
        <f aca="false">IF($B52="","",IFERROR(INDEX(tblShipment[Market],MATCH($B52,tblShipment[Shipment No],0)),"?"))</f>
        <v>Qatar</v>
      </c>
      <c r="O52" s="35" t="n">
        <f aca="false">N($F52)+N($G52)</f>
        <v>35</v>
      </c>
      <c r="P52" s="34" t="str">
        <f aca="false">IF($A52="","",IF($L52="Yes","VOID",IF(COUNTIFS(tblMoveTypes[Movement],$C52)=0,"Unknown movement",IF(COUNTIF(tblShipment[Shipment No],$B52)=0,"Unknown shipment",IF(AND(IFERROR(INDEX(tblMoveTypes[Item?],MATCH($C52,tblMoveTypes[Movement],0)),"?")="Yes",$E52=""),"Item needed",IF(AND(IFERROR(INDEX(tblMoveTypes[Item?],MATCH($C52,tblMoveTypes[Movement],0)),"?")="No",$E52&lt;&gt;""),"Leave Item blank",IF(AND(IFERROR(INDEX(tblMoveTypes[In / Out],MATCH($C52,tblMoveTypes[Movement],0)),"?")="IN",$G52&lt;&gt;""),"Use the In column, not Out",IF(AND(IFERROR(INDEX(tblMoveTypes[In / Out],MATCH($C52,tblMoveTypes[Movement],0)),"?")="OUT",$F52&lt;&gt;""),"Use the Out column, not In",IF(AND(IFERROR(INDEX(tblMoveTypes[Qty?],MATCH($C52,tblMoveTypes[Movement],0)),"?")="Yes",N($F52)+N($G52)&lt;=0),"Qty needed",IF(AND(IFERROR(INDEX(tblMoveTypes[Qty?],MATCH($C52,tblMoveTypes[Movement],0)),"?")="No",N($F52)+N($G52)&gt;0),"Leave In and Out blank",IF(AND(IFERROR(INDEX(tblMoveTypes[Courier?],MATCH($C52,tblMoveTypes[Movement],0)),"?")="Yes",$I52=""),"Courier needed",IF(AND(IFERROR(INDEX(tblMoveTypes[Courier?],MATCH($C52,tblMoveTypes[Movement],0)),"?")="No",$I52&lt;&gt;""),"Leave Courier blank",IF(AND(IFERROR(INDEX(tblMoveTypes[Orders?],MATCH($C52,tblMoveTypes[Movement],0)),"?")="Yes",$H52=""),"Orders needed",IF(AND(IFERROR(INDEX(tblMoveTypes[Orders?],MATCH($C52,tblMoveTypes[Movement],0)),"?")="No",$H52&lt;&gt;""),"Leave Orders blank",IF(AND(IFERROR(INDEX(tblMoveTypes[Reason?],MATCH($C52,tblMoveTypes[Movement],0)),"?")="Yes",$J52=""),"Reason needed",IF($A52&lt;_xlfn.MINIFS(tblShipment[Arrival Date],tblShipment[Shipment No],$B52),"Date before arrival",IF(AND($E52&lt;&gt;"",COUNTIFS(tblShipment[Shipment No],$B52,tblShipment[Item Name],$E52)=0),"Item not in this shipment","OK")))))))))))))))))</f>
        <v>OK</v>
      </c>
    </row>
    <row r="53" customFormat="false" ht="15" hidden="false" customHeight="false" outlineLevel="0" collapsed="false">
      <c r="A53" s="32" t="n">
        <v>46229</v>
      </c>
      <c r="B53" s="31" t="s">
        <v>159</v>
      </c>
      <c r="C53" s="31" t="s">
        <v>78</v>
      </c>
      <c r="D53" s="34" t="str">
        <f aca="false">IF($C53="","",IFERROR(IF(IFERROR(INDEX(tblMoveTypes[In / Out],MATCH($C53,tblMoveTypes[Movement],0)),"?")="IN","IN   ",IF(IFERROR(INDEX(tblMoveTypes[In / Out],MATCH($C53,tblMoveTypes[Movement],0)),"?")="OUT","OUT   ","--   "))&amp;"fill: "&amp;IF(IFERROR(INDEX(tblMoveTypes[Item?],MATCH($C53,tblMoveTypes[Movement],0)),"?")="Yes","Item  ","")&amp;IF(AND(IFERROR(INDEX(tblMoveTypes[Qty?],MATCH($C53,tblMoveTypes[Movement],0)),"?")="Yes",IFERROR(INDEX(tblMoveTypes[In / Out],MATCH($C53,tblMoveTypes[Movement],0)),"?")="IN"),"In  ","")&amp;IF(AND(IFERROR(INDEX(tblMoveTypes[Qty?],MATCH($C53,tblMoveTypes[Movement],0)),"?")="Yes",IFERROR(INDEX(tblMoveTypes[In / Out],MATCH($C53,tblMoveTypes[Movement],0)),"?")="OUT"),"Out  ","")&amp;IF(IFERROR(INDEX(tblMoveTypes[Orders?],MATCH($C53,tblMoveTypes[Movement],0)),"?")="Yes","Orders  ","")&amp;IF(IFERROR(INDEX(tblMoveTypes[Courier?],MATCH($C53,tblMoveTypes[Movement],0)),"?")="Yes","Courier  ","")&amp;IF(IFERROR(INDEX(tblMoveTypes[Reason?],MATCH($C53,tblMoveTypes[Movement],0)),"?")="Yes","Reason",""),"unknown movement"))</f>
        <v>OUT   fill: Item  Out  Reason</v>
      </c>
      <c r="E53" s="31" t="s">
        <v>106</v>
      </c>
      <c r="F53" s="33"/>
      <c r="G53" s="33" t="n">
        <v>1</v>
      </c>
      <c r="H53" s="33"/>
      <c r="I53" s="31"/>
      <c r="J53" s="31" t="s">
        <v>77</v>
      </c>
      <c r="K53" s="31"/>
      <c r="L53" s="31"/>
      <c r="M53" s="34" t="str">
        <f aca="false">IF($E53="","",IFERROR(INDEX(tblItems[Item Code],MATCH($E53,tblItems[Item Name],0)),"?"))</f>
        <v>EG-FG-DAT-01-02-01-01</v>
      </c>
      <c r="N53" s="34" t="str">
        <f aca="false">IF($B53="","",IFERROR(INDEX(tblShipment[Market],MATCH($B53,tblShipment[Shipment No],0)),"?"))</f>
        <v>Qatar</v>
      </c>
      <c r="O53" s="35" t="n">
        <f aca="false">N($F53)+N($G53)</f>
        <v>1</v>
      </c>
      <c r="P53" s="34" t="str">
        <f aca="false">IF($A53="","",IF($L53="Yes","VOID",IF(COUNTIFS(tblMoveTypes[Movement],$C53)=0,"Unknown movement",IF(COUNTIF(tblShipment[Shipment No],$B53)=0,"Unknown shipment",IF(AND(IFERROR(INDEX(tblMoveTypes[Item?],MATCH($C53,tblMoveTypes[Movement],0)),"?")="Yes",$E53=""),"Item needed",IF(AND(IFERROR(INDEX(tblMoveTypes[Item?],MATCH($C53,tblMoveTypes[Movement],0)),"?")="No",$E53&lt;&gt;""),"Leave Item blank",IF(AND(IFERROR(INDEX(tblMoveTypes[In / Out],MATCH($C53,tblMoveTypes[Movement],0)),"?")="IN",$G53&lt;&gt;""),"Use the In column, not Out",IF(AND(IFERROR(INDEX(tblMoveTypes[In / Out],MATCH($C53,tblMoveTypes[Movement],0)),"?")="OUT",$F53&lt;&gt;""),"Use the Out column, not In",IF(AND(IFERROR(INDEX(tblMoveTypes[Qty?],MATCH($C53,tblMoveTypes[Movement],0)),"?")="Yes",N($F53)+N($G53)&lt;=0),"Qty needed",IF(AND(IFERROR(INDEX(tblMoveTypes[Qty?],MATCH($C53,tblMoveTypes[Movement],0)),"?")="No",N($F53)+N($G53)&gt;0),"Leave In and Out blank",IF(AND(IFERROR(INDEX(tblMoveTypes[Courier?],MATCH($C53,tblMoveTypes[Movement],0)),"?")="Yes",$I53=""),"Courier needed",IF(AND(IFERROR(INDEX(tblMoveTypes[Courier?],MATCH($C53,tblMoveTypes[Movement],0)),"?")="No",$I53&lt;&gt;""),"Leave Courier blank",IF(AND(IFERROR(INDEX(tblMoveTypes[Orders?],MATCH($C53,tblMoveTypes[Movement],0)),"?")="Yes",$H53=""),"Orders needed",IF(AND(IFERROR(INDEX(tblMoveTypes[Orders?],MATCH($C53,tblMoveTypes[Movement],0)),"?")="No",$H53&lt;&gt;""),"Leave Orders blank",IF(AND(IFERROR(INDEX(tblMoveTypes[Reason?],MATCH($C53,tblMoveTypes[Movement],0)),"?")="Yes",$J53=""),"Reason needed",IF($A53&lt;_xlfn.MINIFS(tblShipment[Arrival Date],tblShipment[Shipment No],$B53),"Date before arrival",IF(AND($E53&lt;&gt;"",COUNTIFS(tblShipment[Shipment No],$B53,tblShipment[Item Name],$E53)=0),"Item not in this shipment","OK")))))))))))))))))</f>
        <v>OK</v>
      </c>
    </row>
    <row r="54" customFormat="false" ht="15" hidden="false" customHeight="false" outlineLevel="0" collapsed="false">
      <c r="A54" s="32" t="n">
        <v>46229</v>
      </c>
      <c r="B54" s="31" t="s">
        <v>159</v>
      </c>
      <c r="C54" s="31" t="s">
        <v>87</v>
      </c>
      <c r="D54" s="34" t="str">
        <f aca="false">IF($C54="","",IFERROR(IF(IFERROR(INDEX(tblMoveTypes[In / Out],MATCH($C54,tblMoveTypes[Movement],0)),"?")="IN","IN   ",IF(IFERROR(INDEX(tblMoveTypes[In / Out],MATCH($C54,tblMoveTypes[Movement],0)),"?")="OUT","OUT   ","--   "))&amp;"fill: "&amp;IF(IFERROR(INDEX(tblMoveTypes[Item?],MATCH($C54,tblMoveTypes[Movement],0)),"?")="Yes","Item  ","")&amp;IF(AND(IFERROR(INDEX(tblMoveTypes[Qty?],MATCH($C54,tblMoveTypes[Movement],0)),"?")="Yes",IFERROR(INDEX(tblMoveTypes[In / Out],MATCH($C54,tblMoveTypes[Movement],0)),"?")="IN"),"In  ","")&amp;IF(AND(IFERROR(INDEX(tblMoveTypes[Qty?],MATCH($C54,tblMoveTypes[Movement],0)),"?")="Yes",IFERROR(INDEX(tblMoveTypes[In / Out],MATCH($C54,tblMoveTypes[Movement],0)),"?")="OUT"),"Out  ","")&amp;IF(IFERROR(INDEX(tblMoveTypes[Orders?],MATCH($C54,tblMoveTypes[Movement],0)),"?")="Yes","Orders  ","")&amp;IF(IFERROR(INDEX(tblMoveTypes[Courier?],MATCH($C54,tblMoveTypes[Movement],0)),"?")="Yes","Courier  ","")&amp;IF(IFERROR(INDEX(tblMoveTypes[Reason?],MATCH($C54,tblMoveTypes[Movement],0)),"?")="Yes","Reason",""),"unknown movement"))</f>
        <v>OUT   fill: Item  Out  </v>
      </c>
      <c r="E54" s="31" t="s">
        <v>100</v>
      </c>
      <c r="F54" s="33"/>
      <c r="G54" s="33" t="n">
        <v>3</v>
      </c>
      <c r="H54" s="33"/>
      <c r="I54" s="31"/>
      <c r="J54" s="31"/>
      <c r="K54" s="31" t="s">
        <v>179</v>
      </c>
      <c r="L54" s="31"/>
      <c r="M54" s="34" t="str">
        <f aca="false">IF($E54="","",IFERROR(INDEX(tblItems[Item Code],MATCH($E54,tblItems[Item Name],0)),"?"))</f>
        <v>EG-FG-MNG-18-02-01-01</v>
      </c>
      <c r="N54" s="34" t="str">
        <f aca="false">IF($B54="","",IFERROR(INDEX(tblShipment[Market],MATCH($B54,tblShipment[Shipment No],0)),"?"))</f>
        <v>Qatar</v>
      </c>
      <c r="O54" s="35" t="n">
        <f aca="false">N($F54)+N($G54)</f>
        <v>3</v>
      </c>
      <c r="P54" s="34" t="str">
        <f aca="false">IF($A54="","",IF($L54="Yes","VOID",IF(COUNTIFS(tblMoveTypes[Movement],$C54)=0,"Unknown movement",IF(COUNTIF(tblShipment[Shipment No],$B54)=0,"Unknown shipment",IF(AND(IFERROR(INDEX(tblMoveTypes[Item?],MATCH($C54,tblMoveTypes[Movement],0)),"?")="Yes",$E54=""),"Item needed",IF(AND(IFERROR(INDEX(tblMoveTypes[Item?],MATCH($C54,tblMoveTypes[Movement],0)),"?")="No",$E54&lt;&gt;""),"Leave Item blank",IF(AND(IFERROR(INDEX(tblMoveTypes[In / Out],MATCH($C54,tblMoveTypes[Movement],0)),"?")="IN",$G54&lt;&gt;""),"Use the In column, not Out",IF(AND(IFERROR(INDEX(tblMoveTypes[In / Out],MATCH($C54,tblMoveTypes[Movement],0)),"?")="OUT",$F54&lt;&gt;""),"Use the Out column, not In",IF(AND(IFERROR(INDEX(tblMoveTypes[Qty?],MATCH($C54,tblMoveTypes[Movement],0)),"?")="Yes",N($F54)+N($G54)&lt;=0),"Qty needed",IF(AND(IFERROR(INDEX(tblMoveTypes[Qty?],MATCH($C54,tblMoveTypes[Movement],0)),"?")="No",N($F54)+N($G54)&gt;0),"Leave In and Out blank",IF(AND(IFERROR(INDEX(tblMoveTypes[Courier?],MATCH($C54,tblMoveTypes[Movement],0)),"?")="Yes",$I54=""),"Courier needed",IF(AND(IFERROR(INDEX(tblMoveTypes[Courier?],MATCH($C54,tblMoveTypes[Movement],0)),"?")="No",$I54&lt;&gt;""),"Leave Courier blank",IF(AND(IFERROR(INDEX(tblMoveTypes[Orders?],MATCH($C54,tblMoveTypes[Movement],0)),"?")="Yes",$H54=""),"Orders needed",IF(AND(IFERROR(INDEX(tblMoveTypes[Orders?],MATCH($C54,tblMoveTypes[Movement],0)),"?")="No",$H54&lt;&gt;""),"Leave Orders blank",IF(AND(IFERROR(INDEX(tblMoveTypes[Reason?],MATCH($C54,tblMoveTypes[Movement],0)),"?")="Yes",$J54=""),"Reason needed",IF($A54&lt;_xlfn.MINIFS(tblShipment[Arrival Date],tblShipment[Shipment No],$B54),"Date before arrival",IF(AND($E54&lt;&gt;"",COUNTIFS(tblShipment[Shipment No],$B54,tblShipment[Item Name],$E54)=0),"Item not in this shipment","OK")))))))))))))))))</f>
        <v>OK</v>
      </c>
    </row>
    <row r="55" customFormat="false" ht="15" hidden="false" customHeight="false" outlineLevel="0" collapsed="false">
      <c r="A55" s="32" t="n">
        <v>46229</v>
      </c>
      <c r="B55" s="31" t="s">
        <v>159</v>
      </c>
      <c r="C55" s="31" t="s">
        <v>79</v>
      </c>
      <c r="D55" s="34" t="str">
        <f aca="false">IF($C55="","",IFERROR(IF(IFERROR(INDEX(tblMoveTypes[In / Out],MATCH($C55,tblMoveTypes[Movement],0)),"?")="IN","IN   ",IF(IFERROR(INDEX(tblMoveTypes[In / Out],MATCH($C55,tblMoveTypes[Movement],0)),"?")="OUT","OUT   ","--   "))&amp;"fill: "&amp;IF(IFERROR(INDEX(tblMoveTypes[Item?],MATCH($C55,tblMoveTypes[Movement],0)),"?")="Yes","Item  ","")&amp;IF(AND(IFERROR(INDEX(tblMoveTypes[Qty?],MATCH($C55,tblMoveTypes[Movement],0)),"?")="Yes",IFERROR(INDEX(tblMoveTypes[In / Out],MATCH($C55,tblMoveTypes[Movement],0)),"?")="IN"),"In  ","")&amp;IF(AND(IFERROR(INDEX(tblMoveTypes[Qty?],MATCH($C55,tblMoveTypes[Movement],0)),"?")="Yes",IFERROR(INDEX(tblMoveTypes[In / Out],MATCH($C55,tblMoveTypes[Movement],0)),"?")="OUT"),"Out  ","")&amp;IF(IFERROR(INDEX(tblMoveTypes[Orders?],MATCH($C55,tblMoveTypes[Movement],0)),"?")="Yes","Orders  ","")&amp;IF(IFERROR(INDEX(tblMoveTypes[Courier?],MATCH($C55,tblMoveTypes[Movement],0)),"?")="Yes","Courier  ","")&amp;IF(IFERROR(INDEX(tblMoveTypes[Reason?],MATCH($C55,tblMoveTypes[Movement],0)),"?")="Yes","Reason",""),"unknown movement"))</f>
        <v>IN   fill: Item  In  </v>
      </c>
      <c r="E55" s="31" t="s">
        <v>100</v>
      </c>
      <c r="F55" s="33" t="n">
        <v>27</v>
      </c>
      <c r="G55" s="33"/>
      <c r="H55" s="33"/>
      <c r="I55" s="31"/>
      <c r="J55" s="31"/>
      <c r="K55" s="31"/>
      <c r="L55" s="31"/>
      <c r="M55" s="34" t="str">
        <f aca="false">IF($E55="","",IFERROR(INDEX(tblItems[Item Code],MATCH($E55,tblItems[Item Name],0)),"?"))</f>
        <v>EG-FG-MNG-18-02-01-01</v>
      </c>
      <c r="N55" s="34" t="str">
        <f aca="false">IF($B55="","",IFERROR(INDEX(tblShipment[Market],MATCH($B55,tblShipment[Shipment No],0)),"?"))</f>
        <v>Qatar</v>
      </c>
      <c r="O55" s="35" t="n">
        <f aca="false">N($F55)+N($G55)</f>
        <v>27</v>
      </c>
      <c r="P55" s="34" t="str">
        <f aca="false">IF($A55="","",IF($L55="Yes","VOID",IF(COUNTIFS(tblMoveTypes[Movement],$C55)=0,"Unknown movement",IF(COUNTIF(tblShipment[Shipment No],$B55)=0,"Unknown shipment",IF(AND(IFERROR(INDEX(tblMoveTypes[Item?],MATCH($C55,tblMoveTypes[Movement],0)),"?")="Yes",$E55=""),"Item needed",IF(AND(IFERROR(INDEX(tblMoveTypes[Item?],MATCH($C55,tblMoveTypes[Movement],0)),"?")="No",$E55&lt;&gt;""),"Leave Item blank",IF(AND(IFERROR(INDEX(tblMoveTypes[In / Out],MATCH($C55,tblMoveTypes[Movement],0)),"?")="IN",$G55&lt;&gt;""),"Use the In column, not Out",IF(AND(IFERROR(INDEX(tblMoveTypes[In / Out],MATCH($C55,tblMoveTypes[Movement],0)),"?")="OUT",$F55&lt;&gt;""),"Use the Out column, not In",IF(AND(IFERROR(INDEX(tblMoveTypes[Qty?],MATCH($C55,tblMoveTypes[Movement],0)),"?")="Yes",N($F55)+N($G55)&lt;=0),"Qty needed",IF(AND(IFERROR(INDEX(tblMoveTypes[Qty?],MATCH($C55,tblMoveTypes[Movement],0)),"?")="No",N($F55)+N($G55)&gt;0),"Leave In and Out blank",IF(AND(IFERROR(INDEX(tblMoveTypes[Courier?],MATCH($C55,tblMoveTypes[Movement],0)),"?")="Yes",$I55=""),"Courier needed",IF(AND(IFERROR(INDEX(tblMoveTypes[Courier?],MATCH($C55,tblMoveTypes[Movement],0)),"?")="No",$I55&lt;&gt;""),"Leave Courier blank",IF(AND(IFERROR(INDEX(tblMoveTypes[Orders?],MATCH($C55,tblMoveTypes[Movement],0)),"?")="Yes",$H55=""),"Orders needed",IF(AND(IFERROR(INDEX(tblMoveTypes[Orders?],MATCH($C55,tblMoveTypes[Movement],0)),"?")="No",$H55&lt;&gt;""),"Leave Orders blank",IF(AND(IFERROR(INDEX(tblMoveTypes[Reason?],MATCH($C55,tblMoveTypes[Movement],0)),"?")="Yes",$J55=""),"Reason needed",IF($A55&lt;_xlfn.MINIFS(tblShipment[Arrival Date],tblShipment[Shipment No],$B55),"Date before arrival",IF(AND($E55&lt;&gt;"",COUNTIFS(tblShipment[Shipment No],$B55,tblShipment[Item Name],$E55)=0),"Item not in this shipment","OK")))))))))))))))))</f>
        <v>OK</v>
      </c>
    </row>
    <row r="56" customFormat="false" ht="15" hidden="false" customHeight="false" outlineLevel="0" collapsed="false">
      <c r="A56" s="32" t="n">
        <v>46229</v>
      </c>
      <c r="B56" s="31" t="s">
        <v>159</v>
      </c>
      <c r="C56" s="31" t="s">
        <v>78</v>
      </c>
      <c r="D56" s="34" t="str">
        <f aca="false">IF($C56="","",IFERROR(IF(IFERROR(INDEX(tblMoveTypes[In / Out],MATCH($C56,tblMoveTypes[Movement],0)),"?")="IN","IN   ",IF(IFERROR(INDEX(tblMoveTypes[In / Out],MATCH($C56,tblMoveTypes[Movement],0)),"?")="OUT","OUT   ","--   "))&amp;"fill: "&amp;IF(IFERROR(INDEX(tblMoveTypes[Item?],MATCH($C56,tblMoveTypes[Movement],0)),"?")="Yes","Item  ","")&amp;IF(AND(IFERROR(INDEX(tblMoveTypes[Qty?],MATCH($C56,tblMoveTypes[Movement],0)),"?")="Yes",IFERROR(INDEX(tblMoveTypes[In / Out],MATCH($C56,tblMoveTypes[Movement],0)),"?")="IN"),"In  ","")&amp;IF(AND(IFERROR(INDEX(tblMoveTypes[Qty?],MATCH($C56,tblMoveTypes[Movement],0)),"?")="Yes",IFERROR(INDEX(tblMoveTypes[In / Out],MATCH($C56,tblMoveTypes[Movement],0)),"?")="OUT"),"Out  ","")&amp;IF(IFERROR(INDEX(tblMoveTypes[Orders?],MATCH($C56,tblMoveTypes[Movement],0)),"?")="Yes","Orders  ","")&amp;IF(IFERROR(INDEX(tblMoveTypes[Courier?],MATCH($C56,tblMoveTypes[Movement],0)),"?")="Yes","Courier  ","")&amp;IF(IFERROR(INDEX(tblMoveTypes[Reason?],MATCH($C56,tblMoveTypes[Movement],0)),"?")="Yes","Reason",""),"unknown movement"))</f>
        <v>OUT   fill: Item  Out  Reason</v>
      </c>
      <c r="E56" s="31" t="s">
        <v>100</v>
      </c>
      <c r="F56" s="33"/>
      <c r="G56" s="33" t="n">
        <v>1</v>
      </c>
      <c r="H56" s="33"/>
      <c r="I56" s="31"/>
      <c r="J56" s="31" t="s">
        <v>77</v>
      </c>
      <c r="K56" s="31"/>
      <c r="L56" s="31"/>
      <c r="M56" s="34" t="str">
        <f aca="false">IF($E56="","",IFERROR(INDEX(tblItems[Item Code],MATCH($E56,tblItems[Item Name],0)),"?"))</f>
        <v>EG-FG-MNG-18-02-01-01</v>
      </c>
      <c r="N56" s="34" t="str">
        <f aca="false">IF($B56="","",IFERROR(INDEX(tblShipment[Market],MATCH($B56,tblShipment[Shipment No],0)),"?"))</f>
        <v>Qatar</v>
      </c>
      <c r="O56" s="35" t="n">
        <f aca="false">N($F56)+N($G56)</f>
        <v>1</v>
      </c>
      <c r="P56" s="34" t="str">
        <f aca="false">IF($A56="","",IF($L56="Yes","VOID",IF(COUNTIFS(tblMoveTypes[Movement],$C56)=0,"Unknown movement",IF(COUNTIF(tblShipment[Shipment No],$B56)=0,"Unknown shipment",IF(AND(IFERROR(INDEX(tblMoveTypes[Item?],MATCH($C56,tblMoveTypes[Movement],0)),"?")="Yes",$E56=""),"Item needed",IF(AND(IFERROR(INDEX(tblMoveTypes[Item?],MATCH($C56,tblMoveTypes[Movement],0)),"?")="No",$E56&lt;&gt;""),"Leave Item blank",IF(AND(IFERROR(INDEX(tblMoveTypes[In / Out],MATCH($C56,tblMoveTypes[Movement],0)),"?")="IN",$G56&lt;&gt;""),"Use the In column, not Out",IF(AND(IFERROR(INDEX(tblMoveTypes[In / Out],MATCH($C56,tblMoveTypes[Movement],0)),"?")="OUT",$F56&lt;&gt;""),"Use the Out column, not In",IF(AND(IFERROR(INDEX(tblMoveTypes[Qty?],MATCH($C56,tblMoveTypes[Movement],0)),"?")="Yes",N($F56)+N($G56)&lt;=0),"Qty needed",IF(AND(IFERROR(INDEX(tblMoveTypes[Qty?],MATCH($C56,tblMoveTypes[Movement],0)),"?")="No",N($F56)+N($G56)&gt;0),"Leave In and Out blank",IF(AND(IFERROR(INDEX(tblMoveTypes[Courier?],MATCH($C56,tblMoveTypes[Movement],0)),"?")="Yes",$I56=""),"Courier needed",IF(AND(IFERROR(INDEX(tblMoveTypes[Courier?],MATCH($C56,tblMoveTypes[Movement],0)),"?")="No",$I56&lt;&gt;""),"Leave Courier blank",IF(AND(IFERROR(INDEX(tblMoveTypes[Orders?],MATCH($C56,tblMoveTypes[Movement],0)),"?")="Yes",$H56=""),"Orders needed",IF(AND(IFERROR(INDEX(tblMoveTypes[Orders?],MATCH($C56,tblMoveTypes[Movement],0)),"?")="No",$H56&lt;&gt;""),"Leave Orders blank",IF(AND(IFERROR(INDEX(tblMoveTypes[Reason?],MATCH($C56,tblMoveTypes[Movement],0)),"?")="Yes",$J56=""),"Reason needed",IF($A56&lt;_xlfn.MINIFS(tblShipment[Arrival Date],tblShipment[Shipment No],$B56),"Date before arrival",IF(AND($E56&lt;&gt;"",COUNTIFS(tblShipment[Shipment No],$B56,tblShipment[Item Name],$E56)=0),"Item not in this shipment","OK")))))))))))))))))</f>
        <v>OK</v>
      </c>
    </row>
    <row r="57" customFormat="false" ht="15" hidden="false" customHeight="false" outlineLevel="0" collapsed="false">
      <c r="A57" s="32" t="n">
        <v>46229</v>
      </c>
      <c r="B57" s="31" t="s">
        <v>159</v>
      </c>
      <c r="C57" s="31" t="s">
        <v>79</v>
      </c>
      <c r="D57" s="34" t="str">
        <f aca="false">IF($C57="","",IFERROR(IF(IFERROR(INDEX(tblMoveTypes[In / Out],MATCH($C57,tblMoveTypes[Movement],0)),"?")="IN","IN   ",IF(IFERROR(INDEX(tblMoveTypes[In / Out],MATCH($C57,tblMoveTypes[Movement],0)),"?")="OUT","OUT   ","--   "))&amp;"fill: "&amp;IF(IFERROR(INDEX(tblMoveTypes[Item?],MATCH($C57,tblMoveTypes[Movement],0)),"?")="Yes","Item  ","")&amp;IF(AND(IFERROR(INDEX(tblMoveTypes[Qty?],MATCH($C57,tblMoveTypes[Movement],0)),"?")="Yes",IFERROR(INDEX(tblMoveTypes[In / Out],MATCH($C57,tblMoveTypes[Movement],0)),"?")="IN"),"In  ","")&amp;IF(AND(IFERROR(INDEX(tblMoveTypes[Qty?],MATCH($C57,tblMoveTypes[Movement],0)),"?")="Yes",IFERROR(INDEX(tblMoveTypes[In / Out],MATCH($C57,tblMoveTypes[Movement],0)),"?")="OUT"),"Out  ","")&amp;IF(IFERROR(INDEX(tblMoveTypes[Orders?],MATCH($C57,tblMoveTypes[Movement],0)),"?")="Yes","Orders  ","")&amp;IF(IFERROR(INDEX(tblMoveTypes[Courier?],MATCH($C57,tblMoveTypes[Movement],0)),"?")="Yes","Courier  ","")&amp;IF(IFERROR(INDEX(tblMoveTypes[Reason?],MATCH($C57,tblMoveTypes[Movement],0)),"?")="Yes","Reason",""),"unknown movement"))</f>
        <v>IN   fill: Item  In  </v>
      </c>
      <c r="E57" s="31" t="s">
        <v>137</v>
      </c>
      <c r="F57" s="33" t="n">
        <v>20</v>
      </c>
      <c r="G57" s="33"/>
      <c r="H57" s="33"/>
      <c r="I57" s="31"/>
      <c r="J57" s="31"/>
      <c r="K57" s="31"/>
      <c r="L57" s="31"/>
      <c r="M57" s="34" t="str">
        <f aca="false">IF($E57="","",IFERROR(INDEX(tblItems[Item Code],MATCH($E57,tblItems[Item Name],0)),"?"))</f>
        <v>EG-FG-PER-01-02-01-01</v>
      </c>
      <c r="N57" s="34" t="str">
        <f aca="false">IF($B57="","",IFERROR(INDEX(tblShipment[Market],MATCH($B57,tblShipment[Shipment No],0)),"?"))</f>
        <v>Qatar</v>
      </c>
      <c r="O57" s="35" t="n">
        <f aca="false">N($F57)+N($G57)</f>
        <v>20</v>
      </c>
      <c r="P57" s="34" t="str">
        <f aca="false">IF($A57="","",IF($L57="Yes","VOID",IF(COUNTIFS(tblMoveTypes[Movement],$C57)=0,"Unknown movement",IF(COUNTIF(tblShipment[Shipment No],$B57)=0,"Unknown shipment",IF(AND(IFERROR(INDEX(tblMoveTypes[Item?],MATCH($C57,tblMoveTypes[Movement],0)),"?")="Yes",$E57=""),"Item needed",IF(AND(IFERROR(INDEX(tblMoveTypes[Item?],MATCH($C57,tblMoveTypes[Movement],0)),"?")="No",$E57&lt;&gt;""),"Leave Item blank",IF(AND(IFERROR(INDEX(tblMoveTypes[In / Out],MATCH($C57,tblMoveTypes[Movement],0)),"?")="IN",$G57&lt;&gt;""),"Use the In column, not Out",IF(AND(IFERROR(INDEX(tblMoveTypes[In / Out],MATCH($C57,tblMoveTypes[Movement],0)),"?")="OUT",$F57&lt;&gt;""),"Use the Out column, not In",IF(AND(IFERROR(INDEX(tblMoveTypes[Qty?],MATCH($C57,tblMoveTypes[Movement],0)),"?")="Yes",N($F57)+N($G57)&lt;=0),"Qty needed",IF(AND(IFERROR(INDEX(tblMoveTypes[Qty?],MATCH($C57,tblMoveTypes[Movement],0)),"?")="No",N($F57)+N($G57)&gt;0),"Leave In and Out blank",IF(AND(IFERROR(INDEX(tblMoveTypes[Courier?],MATCH($C57,tblMoveTypes[Movement],0)),"?")="Yes",$I57=""),"Courier needed",IF(AND(IFERROR(INDEX(tblMoveTypes[Courier?],MATCH($C57,tblMoveTypes[Movement],0)),"?")="No",$I57&lt;&gt;""),"Leave Courier blank",IF(AND(IFERROR(INDEX(tblMoveTypes[Orders?],MATCH($C57,tblMoveTypes[Movement],0)),"?")="Yes",$H57=""),"Orders needed",IF(AND(IFERROR(INDEX(tblMoveTypes[Orders?],MATCH($C57,tblMoveTypes[Movement],0)),"?")="No",$H57&lt;&gt;""),"Leave Orders blank",IF(AND(IFERROR(INDEX(tblMoveTypes[Reason?],MATCH($C57,tblMoveTypes[Movement],0)),"?")="Yes",$J57=""),"Reason needed",IF($A57&lt;_xlfn.MINIFS(tblShipment[Arrival Date],tblShipment[Shipment No],$B57),"Date before arrival",IF(AND($E57&lt;&gt;"",COUNTIFS(tblShipment[Shipment No],$B57,tblShipment[Item Name],$E57)=0),"Item not in this shipment","OK")))))))))))))))))</f>
        <v>OK</v>
      </c>
    </row>
    <row r="58" customFormat="false" ht="15" hidden="false" customHeight="false" outlineLevel="0" collapsed="false">
      <c r="A58" s="32" t="n">
        <v>46229</v>
      </c>
      <c r="B58" s="31" t="s">
        <v>159</v>
      </c>
      <c r="C58" s="31" t="s">
        <v>78</v>
      </c>
      <c r="D58" s="34" t="str">
        <f aca="false">IF($C58="","",IFERROR(IF(IFERROR(INDEX(tblMoveTypes[In / Out],MATCH($C58,tblMoveTypes[Movement],0)),"?")="IN","IN   ",IF(IFERROR(INDEX(tblMoveTypes[In / Out],MATCH($C58,tblMoveTypes[Movement],0)),"?")="OUT","OUT   ","--   "))&amp;"fill: "&amp;IF(IFERROR(INDEX(tblMoveTypes[Item?],MATCH($C58,tblMoveTypes[Movement],0)),"?")="Yes","Item  ","")&amp;IF(AND(IFERROR(INDEX(tblMoveTypes[Qty?],MATCH($C58,tblMoveTypes[Movement],0)),"?")="Yes",IFERROR(INDEX(tblMoveTypes[In / Out],MATCH($C58,tblMoveTypes[Movement],0)),"?")="IN"),"In  ","")&amp;IF(AND(IFERROR(INDEX(tblMoveTypes[Qty?],MATCH($C58,tblMoveTypes[Movement],0)),"?")="Yes",IFERROR(INDEX(tblMoveTypes[In / Out],MATCH($C58,tblMoveTypes[Movement],0)),"?")="OUT"),"Out  ","")&amp;IF(IFERROR(INDEX(tblMoveTypes[Orders?],MATCH($C58,tblMoveTypes[Movement],0)),"?")="Yes","Orders  ","")&amp;IF(IFERROR(INDEX(tblMoveTypes[Courier?],MATCH($C58,tblMoveTypes[Movement],0)),"?")="Yes","Courier  ","")&amp;IF(IFERROR(INDEX(tblMoveTypes[Reason?],MATCH($C58,tblMoveTypes[Movement],0)),"?")="Yes","Reason",""),"unknown movement"))</f>
        <v>OUT   fill: Item  Out  Reason</v>
      </c>
      <c r="E58" s="31" t="s">
        <v>137</v>
      </c>
      <c r="F58" s="33"/>
      <c r="G58" s="33" t="n">
        <v>1</v>
      </c>
      <c r="H58" s="33"/>
      <c r="I58" s="31"/>
      <c r="J58" s="31" t="s">
        <v>77</v>
      </c>
      <c r="K58" s="31"/>
      <c r="L58" s="31"/>
      <c r="M58" s="34" t="str">
        <f aca="false">IF($E58="","",IFERROR(INDEX(tblItems[Item Code],MATCH($E58,tblItems[Item Name],0)),"?"))</f>
        <v>EG-FG-PER-01-02-01-01</v>
      </c>
      <c r="N58" s="34" t="str">
        <f aca="false">IF($B58="","",IFERROR(INDEX(tblShipment[Market],MATCH($B58,tblShipment[Shipment No],0)),"?"))</f>
        <v>Qatar</v>
      </c>
      <c r="O58" s="35" t="n">
        <f aca="false">N($F58)+N($G58)</f>
        <v>1</v>
      </c>
      <c r="P58" s="34" t="str">
        <f aca="false">IF($A58="","",IF($L58="Yes","VOID",IF(COUNTIFS(tblMoveTypes[Movement],$C58)=0,"Unknown movement",IF(COUNTIF(tblShipment[Shipment No],$B58)=0,"Unknown shipment",IF(AND(IFERROR(INDEX(tblMoveTypes[Item?],MATCH($C58,tblMoveTypes[Movement],0)),"?")="Yes",$E58=""),"Item needed",IF(AND(IFERROR(INDEX(tblMoveTypes[Item?],MATCH($C58,tblMoveTypes[Movement],0)),"?")="No",$E58&lt;&gt;""),"Leave Item blank",IF(AND(IFERROR(INDEX(tblMoveTypes[In / Out],MATCH($C58,tblMoveTypes[Movement],0)),"?")="IN",$G58&lt;&gt;""),"Use the In column, not Out",IF(AND(IFERROR(INDEX(tblMoveTypes[In / Out],MATCH($C58,tblMoveTypes[Movement],0)),"?")="OUT",$F58&lt;&gt;""),"Use the Out column, not In",IF(AND(IFERROR(INDEX(tblMoveTypes[Qty?],MATCH($C58,tblMoveTypes[Movement],0)),"?")="Yes",N($F58)+N($G58)&lt;=0),"Qty needed",IF(AND(IFERROR(INDEX(tblMoveTypes[Qty?],MATCH($C58,tblMoveTypes[Movement],0)),"?")="No",N($F58)+N($G58)&gt;0),"Leave In and Out blank",IF(AND(IFERROR(INDEX(tblMoveTypes[Courier?],MATCH($C58,tblMoveTypes[Movement],0)),"?")="Yes",$I58=""),"Courier needed",IF(AND(IFERROR(INDEX(tblMoveTypes[Courier?],MATCH($C58,tblMoveTypes[Movement],0)),"?")="No",$I58&lt;&gt;""),"Leave Courier blank",IF(AND(IFERROR(INDEX(tblMoveTypes[Orders?],MATCH($C58,tblMoveTypes[Movement],0)),"?")="Yes",$H58=""),"Orders needed",IF(AND(IFERROR(INDEX(tblMoveTypes[Orders?],MATCH($C58,tblMoveTypes[Movement],0)),"?")="No",$H58&lt;&gt;""),"Leave Orders blank",IF(AND(IFERROR(INDEX(tblMoveTypes[Reason?],MATCH($C58,tblMoveTypes[Movement],0)),"?")="Yes",$J58=""),"Reason needed",IF($A58&lt;_xlfn.MINIFS(tblShipment[Arrival Date],tblShipment[Shipment No],$B58),"Date before arrival",IF(AND($E58&lt;&gt;"",COUNTIFS(tblShipment[Shipment No],$B58,tblShipment[Item Name],$E58)=0),"Item not in this shipment","OK")))))))))))))))))</f>
        <v>OK</v>
      </c>
    </row>
    <row r="59" customFormat="false" ht="15" hidden="false" customHeight="false" outlineLevel="0" collapsed="false">
      <c r="A59" s="32" t="n">
        <v>46229</v>
      </c>
      <c r="B59" s="31" t="s">
        <v>159</v>
      </c>
      <c r="C59" s="31" t="s">
        <v>103</v>
      </c>
      <c r="D59" s="34" t="str">
        <f aca="false">IF($C59="","",IFERROR(IF(IFERROR(INDEX(tblMoveTypes[In / Out],MATCH($C59,tblMoveTypes[Movement],0)),"?")="IN","IN   ",IF(IFERROR(INDEX(tblMoveTypes[In / Out],MATCH($C59,tblMoveTypes[Movement],0)),"?")="OUT","OUT   ","--   "))&amp;"fill: "&amp;IF(IFERROR(INDEX(tblMoveTypes[Item?],MATCH($C59,tblMoveTypes[Movement],0)),"?")="Yes","Item  ","")&amp;IF(AND(IFERROR(INDEX(tblMoveTypes[Qty?],MATCH($C59,tblMoveTypes[Movement],0)),"?")="Yes",IFERROR(INDEX(tblMoveTypes[In / Out],MATCH($C59,tblMoveTypes[Movement],0)),"?")="IN"),"In  ","")&amp;IF(AND(IFERROR(INDEX(tblMoveTypes[Qty?],MATCH($C59,tblMoveTypes[Movement],0)),"?")="Yes",IFERROR(INDEX(tblMoveTypes[In / Out],MATCH($C59,tblMoveTypes[Movement],0)),"?")="OUT"),"Out  ","")&amp;IF(IFERROR(INDEX(tblMoveTypes[Orders?],MATCH($C59,tblMoveTypes[Movement],0)),"?")="Yes","Orders  ","")&amp;IF(IFERROR(INDEX(tblMoveTypes[Courier?],MATCH($C59,tblMoveTypes[Movement],0)),"?")="Yes","Courier  ","")&amp;IF(IFERROR(INDEX(tblMoveTypes[Reason?],MATCH($C59,tblMoveTypes[Movement],0)),"?")="Yes","Reason",""),"unknown movement"))</f>
        <v>--   fill: Orders  </v>
      </c>
      <c r="E59" s="31"/>
      <c r="F59" s="33"/>
      <c r="G59" s="33"/>
      <c r="H59" s="33" t="n">
        <v>215</v>
      </c>
      <c r="I59" s="31"/>
      <c r="J59" s="31"/>
      <c r="K59" s="31"/>
      <c r="L59" s="31"/>
      <c r="M59" s="34" t="str">
        <f aca="false">IF($E59="","",IFERROR(INDEX(tblItems[Item Code],MATCH($E59,tblItems[Item Name],0)),"?"))</f>
        <v/>
      </c>
      <c r="N59" s="34" t="str">
        <f aca="false">IF($B59="","",IFERROR(INDEX(tblShipment[Market],MATCH($B59,tblShipment[Shipment No],0)),"?"))</f>
        <v>Qatar</v>
      </c>
      <c r="O59" s="35" t="n">
        <f aca="false">N($F59)+N($G59)</f>
        <v>0</v>
      </c>
      <c r="P59" s="34" t="str">
        <f aca="false">IF($A59="","",IF($L59="Yes","VOID",IF(COUNTIFS(tblMoveTypes[Movement],$C59)=0,"Unknown movement",IF(COUNTIF(tblShipment[Shipment No],$B59)=0,"Unknown shipment",IF(AND(IFERROR(INDEX(tblMoveTypes[Item?],MATCH($C59,tblMoveTypes[Movement],0)),"?")="Yes",$E59=""),"Item needed",IF(AND(IFERROR(INDEX(tblMoveTypes[Item?],MATCH($C59,tblMoveTypes[Movement],0)),"?")="No",$E59&lt;&gt;""),"Leave Item blank",IF(AND(IFERROR(INDEX(tblMoveTypes[In / Out],MATCH($C59,tblMoveTypes[Movement],0)),"?")="IN",$G59&lt;&gt;""),"Use the In column, not Out",IF(AND(IFERROR(INDEX(tblMoveTypes[In / Out],MATCH($C59,tblMoveTypes[Movement],0)),"?")="OUT",$F59&lt;&gt;""),"Use the Out column, not In",IF(AND(IFERROR(INDEX(tblMoveTypes[Qty?],MATCH($C59,tblMoveTypes[Movement],0)),"?")="Yes",N($F59)+N($G59)&lt;=0),"Qty needed",IF(AND(IFERROR(INDEX(tblMoveTypes[Qty?],MATCH($C59,tblMoveTypes[Movement],0)),"?")="No",N($F59)+N($G59)&gt;0),"Leave In and Out blank",IF(AND(IFERROR(INDEX(tblMoveTypes[Courier?],MATCH($C59,tblMoveTypes[Movement],0)),"?")="Yes",$I59=""),"Courier needed",IF(AND(IFERROR(INDEX(tblMoveTypes[Courier?],MATCH($C59,tblMoveTypes[Movement],0)),"?")="No",$I59&lt;&gt;""),"Leave Courier blank",IF(AND(IFERROR(INDEX(tblMoveTypes[Orders?],MATCH($C59,tblMoveTypes[Movement],0)),"?")="Yes",$H59=""),"Orders needed",IF(AND(IFERROR(INDEX(tblMoveTypes[Orders?],MATCH($C59,tblMoveTypes[Movement],0)),"?")="No",$H59&lt;&gt;""),"Leave Orders blank",IF(AND(IFERROR(INDEX(tblMoveTypes[Reason?],MATCH($C59,tblMoveTypes[Movement],0)),"?")="Yes",$J59=""),"Reason needed",IF($A59&lt;_xlfn.MINIFS(tblShipment[Arrival Date],tblShipment[Shipment No],$B59),"Date before arrival",IF(AND($E59&lt;&gt;"",COUNTIFS(tblShipment[Shipment No],$B59,tblShipment[Item Name],$E59)=0),"Item not in this shipment","OK")))))))))))))))))</f>
        <v>OK</v>
      </c>
    </row>
    <row r="60" customFormat="false" ht="15" hidden="false" customHeight="false" outlineLevel="0" collapsed="false">
      <c r="A60" s="32" t="n">
        <v>46229</v>
      </c>
      <c r="B60" s="31" t="s">
        <v>159</v>
      </c>
      <c r="C60" s="31" t="s">
        <v>98</v>
      </c>
      <c r="D60" s="34" t="str">
        <f aca="false">IF($C60="","",IFERROR(IF(IFERROR(INDEX(tblMoveTypes[In / Out],MATCH($C60,tblMoveTypes[Movement],0)),"?")="IN","IN   ",IF(IFERROR(INDEX(tblMoveTypes[In / Out],MATCH($C60,tblMoveTypes[Movement],0)),"?")="OUT","OUT   ","--   "))&amp;"fill: "&amp;IF(IFERROR(INDEX(tblMoveTypes[Item?],MATCH($C60,tblMoveTypes[Movement],0)),"?")="Yes","Item  ","")&amp;IF(AND(IFERROR(INDEX(tblMoveTypes[Qty?],MATCH($C60,tblMoveTypes[Movement],0)),"?")="Yes",IFERROR(INDEX(tblMoveTypes[In / Out],MATCH($C60,tblMoveTypes[Movement],0)),"?")="IN"),"In  ","")&amp;IF(AND(IFERROR(INDEX(tblMoveTypes[Qty?],MATCH($C60,tblMoveTypes[Movement],0)),"?")="Yes",IFERROR(INDEX(tblMoveTypes[In / Out],MATCH($C60,tblMoveTypes[Movement],0)),"?")="OUT"),"Out  ","")&amp;IF(IFERROR(INDEX(tblMoveTypes[Orders?],MATCH($C60,tblMoveTypes[Movement],0)),"?")="Yes","Orders  ","")&amp;IF(IFERROR(INDEX(tblMoveTypes[Courier?],MATCH($C60,tblMoveTypes[Movement],0)),"?")="Yes","Courier  ","")&amp;IF(IFERROR(INDEX(tblMoveTypes[Reason?],MATCH($C60,tblMoveTypes[Movement],0)),"?")="Yes","Reason",""),"unknown movement"))</f>
        <v>OUT   fill: Item  Out  Courier  </v>
      </c>
      <c r="E60" s="31" t="s">
        <v>122</v>
      </c>
      <c r="F60" s="33"/>
      <c r="G60" s="33" t="n">
        <v>20</v>
      </c>
      <c r="H60" s="33"/>
      <c r="I60" s="31" t="s">
        <v>76</v>
      </c>
      <c r="J60" s="31"/>
      <c r="K60" s="31"/>
      <c r="L60" s="31"/>
      <c r="M60" s="34" t="str">
        <f aca="false">IF($E60="","",IFERROR(INDEX(tblItems[Item Code],MATCH($E60,tblItems[Item Name],0)),"?"))</f>
        <v>EG-FG-GRP-01-02-01-01</v>
      </c>
      <c r="N60" s="34" t="str">
        <f aca="false">IF($B60="","",IFERROR(INDEX(tblShipment[Market],MATCH($B60,tblShipment[Shipment No],0)),"?"))</f>
        <v>Qatar</v>
      </c>
      <c r="O60" s="35" t="n">
        <f aca="false">N($F60)+N($G60)</f>
        <v>20</v>
      </c>
      <c r="P60" s="34" t="str">
        <f aca="false">IF($A60="","",IF($L60="Yes","VOID",IF(COUNTIFS(tblMoveTypes[Movement],$C60)=0,"Unknown movement",IF(COUNTIF(tblShipment[Shipment No],$B60)=0,"Unknown shipment",IF(AND(IFERROR(INDEX(tblMoveTypes[Item?],MATCH($C60,tblMoveTypes[Movement],0)),"?")="Yes",$E60=""),"Item needed",IF(AND(IFERROR(INDEX(tblMoveTypes[Item?],MATCH($C60,tblMoveTypes[Movement],0)),"?")="No",$E60&lt;&gt;""),"Leave Item blank",IF(AND(IFERROR(INDEX(tblMoveTypes[In / Out],MATCH($C60,tblMoveTypes[Movement],0)),"?")="IN",$G60&lt;&gt;""),"Use the In column, not Out",IF(AND(IFERROR(INDEX(tblMoveTypes[In / Out],MATCH($C60,tblMoveTypes[Movement],0)),"?")="OUT",$F60&lt;&gt;""),"Use the Out column, not In",IF(AND(IFERROR(INDEX(tblMoveTypes[Qty?],MATCH($C60,tblMoveTypes[Movement],0)),"?")="Yes",N($F60)+N($G60)&lt;=0),"Qty needed",IF(AND(IFERROR(INDEX(tblMoveTypes[Qty?],MATCH($C60,tblMoveTypes[Movement],0)),"?")="No",N($F60)+N($G60)&gt;0),"Leave In and Out blank",IF(AND(IFERROR(INDEX(tblMoveTypes[Courier?],MATCH($C60,tblMoveTypes[Movement],0)),"?")="Yes",$I60=""),"Courier needed",IF(AND(IFERROR(INDEX(tblMoveTypes[Courier?],MATCH($C60,tblMoveTypes[Movement],0)),"?")="No",$I60&lt;&gt;""),"Leave Courier blank",IF(AND(IFERROR(INDEX(tblMoveTypes[Orders?],MATCH($C60,tblMoveTypes[Movement],0)),"?")="Yes",$H60=""),"Orders needed",IF(AND(IFERROR(INDEX(tblMoveTypes[Orders?],MATCH($C60,tblMoveTypes[Movement],0)),"?")="No",$H60&lt;&gt;""),"Leave Orders blank",IF(AND(IFERROR(INDEX(tblMoveTypes[Reason?],MATCH($C60,tblMoveTypes[Movement],0)),"?")="Yes",$J60=""),"Reason needed",IF($A60&lt;_xlfn.MINIFS(tblShipment[Arrival Date],tblShipment[Shipment No],$B60),"Date before arrival",IF(AND($E60&lt;&gt;"",COUNTIFS(tblShipment[Shipment No],$B60,tblShipment[Item Name],$E60)=0),"Item not in this shipment","OK")))))))))))))))))</f>
        <v>OK</v>
      </c>
    </row>
    <row r="61" customFormat="false" ht="15" hidden="false" customHeight="false" outlineLevel="0" collapsed="false">
      <c r="A61" s="32" t="n">
        <v>46229</v>
      </c>
      <c r="B61" s="31" t="s">
        <v>159</v>
      </c>
      <c r="C61" s="31" t="s">
        <v>98</v>
      </c>
      <c r="D61" s="34" t="str">
        <f aca="false">IF($C61="","",IFERROR(IF(IFERROR(INDEX(tblMoveTypes[In / Out],MATCH($C61,tblMoveTypes[Movement],0)),"?")="IN","IN   ",IF(IFERROR(INDEX(tblMoveTypes[In / Out],MATCH($C61,tblMoveTypes[Movement],0)),"?")="OUT","OUT   ","--   "))&amp;"fill: "&amp;IF(IFERROR(INDEX(tblMoveTypes[Item?],MATCH($C61,tblMoveTypes[Movement],0)),"?")="Yes","Item  ","")&amp;IF(AND(IFERROR(INDEX(tblMoveTypes[Qty?],MATCH($C61,tblMoveTypes[Movement],0)),"?")="Yes",IFERROR(INDEX(tblMoveTypes[In / Out],MATCH($C61,tblMoveTypes[Movement],0)),"?")="IN"),"In  ","")&amp;IF(AND(IFERROR(INDEX(tblMoveTypes[Qty?],MATCH($C61,tblMoveTypes[Movement],0)),"?")="Yes",IFERROR(INDEX(tblMoveTypes[In / Out],MATCH($C61,tblMoveTypes[Movement],0)),"?")="OUT"),"Out  ","")&amp;IF(IFERROR(INDEX(tblMoveTypes[Orders?],MATCH($C61,tblMoveTypes[Movement],0)),"?")="Yes","Orders  ","")&amp;IF(IFERROR(INDEX(tblMoveTypes[Courier?],MATCH($C61,tblMoveTypes[Movement],0)),"?")="Yes","Courier  ","")&amp;IF(IFERROR(INDEX(tblMoveTypes[Reason?],MATCH($C61,tblMoveTypes[Movement],0)),"?")="Yes","Reason",""),"unknown movement"))</f>
        <v>OUT   fill: Item  Out  Courier  </v>
      </c>
      <c r="E61" s="31" t="s">
        <v>72</v>
      </c>
      <c r="F61" s="33"/>
      <c r="G61" s="33" t="n">
        <v>127</v>
      </c>
      <c r="H61" s="33"/>
      <c r="I61" s="31" t="s">
        <v>76</v>
      </c>
      <c r="J61" s="31"/>
      <c r="K61" s="31"/>
      <c r="L61" s="31"/>
      <c r="M61" s="34" t="str">
        <f aca="false">IF($E61="","",IFERROR(INDEX(tblItems[Item Code],MATCH($E61,tblItems[Item Name],0)),"?"))</f>
        <v>EG-FG-MNG-05-02-01-01</v>
      </c>
      <c r="N61" s="34" t="str">
        <f aca="false">IF($B61="","",IFERROR(INDEX(tblShipment[Market],MATCH($B61,tblShipment[Shipment No],0)),"?"))</f>
        <v>Qatar</v>
      </c>
      <c r="O61" s="35" t="n">
        <f aca="false">N($F61)+N($G61)</f>
        <v>127</v>
      </c>
      <c r="P61" s="34" t="str">
        <f aca="false">IF($A61="","",IF($L61="Yes","VOID",IF(COUNTIFS(tblMoveTypes[Movement],$C61)=0,"Unknown movement",IF(COUNTIF(tblShipment[Shipment No],$B61)=0,"Unknown shipment",IF(AND(IFERROR(INDEX(tblMoveTypes[Item?],MATCH($C61,tblMoveTypes[Movement],0)),"?")="Yes",$E61=""),"Item needed",IF(AND(IFERROR(INDEX(tblMoveTypes[Item?],MATCH($C61,tblMoveTypes[Movement],0)),"?")="No",$E61&lt;&gt;""),"Leave Item blank",IF(AND(IFERROR(INDEX(tblMoveTypes[In / Out],MATCH($C61,tblMoveTypes[Movement],0)),"?")="IN",$G61&lt;&gt;""),"Use the In column, not Out",IF(AND(IFERROR(INDEX(tblMoveTypes[In / Out],MATCH($C61,tblMoveTypes[Movement],0)),"?")="OUT",$F61&lt;&gt;""),"Use the Out column, not In",IF(AND(IFERROR(INDEX(tblMoveTypes[Qty?],MATCH($C61,tblMoveTypes[Movement],0)),"?")="Yes",N($F61)+N($G61)&lt;=0),"Qty needed",IF(AND(IFERROR(INDEX(tblMoveTypes[Qty?],MATCH($C61,tblMoveTypes[Movement],0)),"?")="No",N($F61)+N($G61)&gt;0),"Leave In and Out blank",IF(AND(IFERROR(INDEX(tblMoveTypes[Courier?],MATCH($C61,tblMoveTypes[Movement],0)),"?")="Yes",$I61=""),"Courier needed",IF(AND(IFERROR(INDEX(tblMoveTypes[Courier?],MATCH($C61,tblMoveTypes[Movement],0)),"?")="No",$I61&lt;&gt;""),"Leave Courier blank",IF(AND(IFERROR(INDEX(tblMoveTypes[Orders?],MATCH($C61,tblMoveTypes[Movement],0)),"?")="Yes",$H61=""),"Orders needed",IF(AND(IFERROR(INDEX(tblMoveTypes[Orders?],MATCH($C61,tblMoveTypes[Movement],0)),"?")="No",$H61&lt;&gt;""),"Leave Orders blank",IF(AND(IFERROR(INDEX(tblMoveTypes[Reason?],MATCH($C61,tblMoveTypes[Movement],0)),"?")="Yes",$J61=""),"Reason needed",IF($A61&lt;_xlfn.MINIFS(tblShipment[Arrival Date],tblShipment[Shipment No],$B61),"Date before arrival",IF(AND($E61&lt;&gt;"",COUNTIFS(tblShipment[Shipment No],$B61,tblShipment[Item Name],$E61)=0),"Item not in this shipment","OK")))))))))))))))))</f>
        <v>OK</v>
      </c>
    </row>
    <row r="62" customFormat="false" ht="15" hidden="false" customHeight="false" outlineLevel="0" collapsed="false">
      <c r="A62" s="32" t="n">
        <v>46229</v>
      </c>
      <c r="B62" s="31" t="s">
        <v>159</v>
      </c>
      <c r="C62" s="31" t="s">
        <v>98</v>
      </c>
      <c r="D62" s="34" t="str">
        <f aca="false">IF($C62="","",IFERROR(IF(IFERROR(INDEX(tblMoveTypes[In / Out],MATCH($C62,tblMoveTypes[Movement],0)),"?")="IN","IN   ",IF(IFERROR(INDEX(tblMoveTypes[In / Out],MATCH($C62,tblMoveTypes[Movement],0)),"?")="OUT","OUT   ","--   "))&amp;"fill: "&amp;IF(IFERROR(INDEX(tblMoveTypes[Item?],MATCH($C62,tblMoveTypes[Movement],0)),"?")="Yes","Item  ","")&amp;IF(AND(IFERROR(INDEX(tblMoveTypes[Qty?],MATCH($C62,tblMoveTypes[Movement],0)),"?")="Yes",IFERROR(INDEX(tblMoveTypes[In / Out],MATCH($C62,tblMoveTypes[Movement],0)),"?")="IN"),"In  ","")&amp;IF(AND(IFERROR(INDEX(tblMoveTypes[Qty?],MATCH($C62,tblMoveTypes[Movement],0)),"?")="Yes",IFERROR(INDEX(tblMoveTypes[In / Out],MATCH($C62,tblMoveTypes[Movement],0)),"?")="OUT"),"Out  ","")&amp;IF(IFERROR(INDEX(tblMoveTypes[Orders?],MATCH($C62,tblMoveTypes[Movement],0)),"?")="Yes","Orders  ","")&amp;IF(IFERROR(INDEX(tblMoveTypes[Courier?],MATCH($C62,tblMoveTypes[Movement],0)),"?")="Yes","Courier  ","")&amp;IF(IFERROR(INDEX(tblMoveTypes[Reason?],MATCH($C62,tblMoveTypes[Movement],0)),"?")="Yes","Reason",""),"unknown movement"))</f>
        <v>OUT   fill: Item  Out  Courier  </v>
      </c>
      <c r="E62" s="31" t="s">
        <v>112</v>
      </c>
      <c r="F62" s="33"/>
      <c r="G62" s="33" t="n">
        <v>30</v>
      </c>
      <c r="H62" s="33"/>
      <c r="I62" s="31" t="s">
        <v>76</v>
      </c>
      <c r="J62" s="31"/>
      <c r="K62" s="31"/>
      <c r="L62" s="31"/>
      <c r="M62" s="34" t="str">
        <f aca="false">IF($E62="","",IFERROR(INDEX(tblItems[Item Code],MATCH($E62,tblItems[Item Name],0)),"?"))</f>
        <v>BOX-TRIO-01</v>
      </c>
      <c r="N62" s="34" t="str">
        <f aca="false">IF($B62="","",IFERROR(INDEX(tblShipment[Market],MATCH($B62,tblShipment[Shipment No],0)),"?"))</f>
        <v>Qatar</v>
      </c>
      <c r="O62" s="35" t="n">
        <f aca="false">N($F62)+N($G62)</f>
        <v>30</v>
      </c>
      <c r="P62" s="34" t="str">
        <f aca="false">IF($A62="","",IF($L62="Yes","VOID",IF(COUNTIFS(tblMoveTypes[Movement],$C62)=0,"Unknown movement",IF(COUNTIF(tblShipment[Shipment No],$B62)=0,"Unknown shipment",IF(AND(IFERROR(INDEX(tblMoveTypes[Item?],MATCH($C62,tblMoveTypes[Movement],0)),"?")="Yes",$E62=""),"Item needed",IF(AND(IFERROR(INDEX(tblMoveTypes[Item?],MATCH($C62,tblMoveTypes[Movement],0)),"?")="No",$E62&lt;&gt;""),"Leave Item blank",IF(AND(IFERROR(INDEX(tblMoveTypes[In / Out],MATCH($C62,tblMoveTypes[Movement],0)),"?")="IN",$G62&lt;&gt;""),"Use the In column, not Out",IF(AND(IFERROR(INDEX(tblMoveTypes[In / Out],MATCH($C62,tblMoveTypes[Movement],0)),"?")="OUT",$F62&lt;&gt;""),"Use the Out column, not In",IF(AND(IFERROR(INDEX(tblMoveTypes[Qty?],MATCH($C62,tblMoveTypes[Movement],0)),"?")="Yes",N($F62)+N($G62)&lt;=0),"Qty needed",IF(AND(IFERROR(INDEX(tblMoveTypes[Qty?],MATCH($C62,tblMoveTypes[Movement],0)),"?")="No",N($F62)+N($G62)&gt;0),"Leave In and Out blank",IF(AND(IFERROR(INDEX(tblMoveTypes[Courier?],MATCH($C62,tblMoveTypes[Movement],0)),"?")="Yes",$I62=""),"Courier needed",IF(AND(IFERROR(INDEX(tblMoveTypes[Courier?],MATCH($C62,tblMoveTypes[Movement],0)),"?")="No",$I62&lt;&gt;""),"Leave Courier blank",IF(AND(IFERROR(INDEX(tblMoveTypes[Orders?],MATCH($C62,tblMoveTypes[Movement],0)),"?")="Yes",$H62=""),"Orders needed",IF(AND(IFERROR(INDEX(tblMoveTypes[Orders?],MATCH($C62,tblMoveTypes[Movement],0)),"?")="No",$H62&lt;&gt;""),"Leave Orders blank",IF(AND(IFERROR(INDEX(tblMoveTypes[Reason?],MATCH($C62,tblMoveTypes[Movement],0)),"?")="Yes",$J62=""),"Reason needed",IF($A62&lt;_xlfn.MINIFS(tblShipment[Arrival Date],tblShipment[Shipment No],$B62),"Date before arrival",IF(AND($E62&lt;&gt;"",COUNTIFS(tblShipment[Shipment No],$B62,tblShipment[Item Name],$E62)=0),"Item not in this shipment","OK")))))))))))))))))</f>
        <v>OK</v>
      </c>
    </row>
    <row r="63" customFormat="false" ht="15" hidden="false" customHeight="false" outlineLevel="0" collapsed="false">
      <c r="A63" s="32" t="n">
        <v>46229</v>
      </c>
      <c r="B63" s="31" t="s">
        <v>159</v>
      </c>
      <c r="C63" s="31" t="s">
        <v>98</v>
      </c>
      <c r="D63" s="34" t="str">
        <f aca="false">IF($C63="","",IFERROR(IF(IFERROR(INDEX(tblMoveTypes[In / Out],MATCH($C63,tblMoveTypes[Movement],0)),"?")="IN","IN   ",IF(IFERROR(INDEX(tblMoveTypes[In / Out],MATCH($C63,tblMoveTypes[Movement],0)),"?")="OUT","OUT   ","--   "))&amp;"fill: "&amp;IF(IFERROR(INDEX(tblMoveTypes[Item?],MATCH($C63,tblMoveTypes[Movement],0)),"?")="Yes","Item  ","")&amp;IF(AND(IFERROR(INDEX(tblMoveTypes[Qty?],MATCH($C63,tblMoveTypes[Movement],0)),"?")="Yes",IFERROR(INDEX(tblMoveTypes[In / Out],MATCH($C63,tblMoveTypes[Movement],0)),"?")="IN"),"In  ","")&amp;IF(AND(IFERROR(INDEX(tblMoveTypes[Qty?],MATCH($C63,tblMoveTypes[Movement],0)),"?")="Yes",IFERROR(INDEX(tblMoveTypes[In / Out],MATCH($C63,tblMoveTypes[Movement],0)),"?")="OUT"),"Out  ","")&amp;IF(IFERROR(INDEX(tblMoveTypes[Orders?],MATCH($C63,tblMoveTypes[Movement],0)),"?")="Yes","Orders  ","")&amp;IF(IFERROR(INDEX(tblMoveTypes[Courier?],MATCH($C63,tblMoveTypes[Movement],0)),"?")="Yes","Courier  ","")&amp;IF(IFERROR(INDEX(tblMoveTypes[Reason?],MATCH($C63,tblMoveTypes[Movement],0)),"?")="Yes","Reason",""),"unknown movement"))</f>
        <v>OUT   fill: Item  Out  Courier  </v>
      </c>
      <c r="E63" s="31" t="s">
        <v>146</v>
      </c>
      <c r="F63" s="33"/>
      <c r="G63" s="33" t="n">
        <v>20</v>
      </c>
      <c r="H63" s="33"/>
      <c r="I63" s="31" t="s">
        <v>76</v>
      </c>
      <c r="J63" s="31"/>
      <c r="K63" s="31"/>
      <c r="L63" s="31"/>
      <c r="M63" s="34" t="str">
        <f aca="false">IF($E63="","",IFERROR(INDEX(tblItems[Item Code],MATCH($E63,tblItems[Item Name],0)),"?"))</f>
        <v>EG-FG-MNG-19-02-01-01</v>
      </c>
      <c r="N63" s="34" t="str">
        <f aca="false">IF($B63="","",IFERROR(INDEX(tblShipment[Market],MATCH($B63,tblShipment[Shipment No],0)),"?"))</f>
        <v>Qatar</v>
      </c>
      <c r="O63" s="35" t="n">
        <f aca="false">N($F63)+N($G63)</f>
        <v>20</v>
      </c>
      <c r="P63" s="34" t="str">
        <f aca="false">IF($A63="","",IF($L63="Yes","VOID",IF(COUNTIFS(tblMoveTypes[Movement],$C63)=0,"Unknown movement",IF(COUNTIF(tblShipment[Shipment No],$B63)=0,"Unknown shipment",IF(AND(IFERROR(INDEX(tblMoveTypes[Item?],MATCH($C63,tblMoveTypes[Movement],0)),"?")="Yes",$E63=""),"Item needed",IF(AND(IFERROR(INDEX(tblMoveTypes[Item?],MATCH($C63,tblMoveTypes[Movement],0)),"?")="No",$E63&lt;&gt;""),"Leave Item blank",IF(AND(IFERROR(INDEX(tblMoveTypes[In / Out],MATCH($C63,tblMoveTypes[Movement],0)),"?")="IN",$G63&lt;&gt;""),"Use the In column, not Out",IF(AND(IFERROR(INDEX(tblMoveTypes[In / Out],MATCH($C63,tblMoveTypes[Movement],0)),"?")="OUT",$F63&lt;&gt;""),"Use the Out column, not In",IF(AND(IFERROR(INDEX(tblMoveTypes[Qty?],MATCH($C63,tblMoveTypes[Movement],0)),"?")="Yes",N($F63)+N($G63)&lt;=0),"Qty needed",IF(AND(IFERROR(INDEX(tblMoveTypes[Qty?],MATCH($C63,tblMoveTypes[Movement],0)),"?")="No",N($F63)+N($G63)&gt;0),"Leave In and Out blank",IF(AND(IFERROR(INDEX(tblMoveTypes[Courier?],MATCH($C63,tblMoveTypes[Movement],0)),"?")="Yes",$I63=""),"Courier needed",IF(AND(IFERROR(INDEX(tblMoveTypes[Courier?],MATCH($C63,tblMoveTypes[Movement],0)),"?")="No",$I63&lt;&gt;""),"Leave Courier blank",IF(AND(IFERROR(INDEX(tblMoveTypes[Orders?],MATCH($C63,tblMoveTypes[Movement],0)),"?")="Yes",$H63=""),"Orders needed",IF(AND(IFERROR(INDEX(tblMoveTypes[Orders?],MATCH($C63,tblMoveTypes[Movement],0)),"?")="No",$H63&lt;&gt;""),"Leave Orders blank",IF(AND(IFERROR(INDEX(tblMoveTypes[Reason?],MATCH($C63,tblMoveTypes[Movement],0)),"?")="Yes",$J63=""),"Reason needed",IF($A63&lt;_xlfn.MINIFS(tblShipment[Arrival Date],tblShipment[Shipment No],$B63),"Date before arrival",IF(AND($E63&lt;&gt;"",COUNTIFS(tblShipment[Shipment No],$B63,tblShipment[Item Name],$E63)=0),"Item not in this shipment","OK")))))))))))))))))</f>
        <v>OK</v>
      </c>
    </row>
    <row r="64" customFormat="false" ht="15" hidden="false" customHeight="false" outlineLevel="0" collapsed="false">
      <c r="A64" s="32" t="n">
        <v>46229</v>
      </c>
      <c r="B64" s="31" t="s">
        <v>159</v>
      </c>
      <c r="C64" s="31" t="s">
        <v>98</v>
      </c>
      <c r="D64" s="34" t="str">
        <f aca="false">IF($C64="","",IFERROR(IF(IFERROR(INDEX(tblMoveTypes[In / Out],MATCH($C64,tblMoveTypes[Movement],0)),"?")="IN","IN   ",IF(IFERROR(INDEX(tblMoveTypes[In / Out],MATCH($C64,tblMoveTypes[Movement],0)),"?")="OUT","OUT   ","--   "))&amp;"fill: "&amp;IF(IFERROR(INDEX(tblMoveTypes[Item?],MATCH($C64,tblMoveTypes[Movement],0)),"?")="Yes","Item  ","")&amp;IF(AND(IFERROR(INDEX(tblMoveTypes[Qty?],MATCH($C64,tblMoveTypes[Movement],0)),"?")="Yes",IFERROR(INDEX(tblMoveTypes[In / Out],MATCH($C64,tblMoveTypes[Movement],0)),"?")="IN"),"In  ","")&amp;IF(AND(IFERROR(INDEX(tblMoveTypes[Qty?],MATCH($C64,tblMoveTypes[Movement],0)),"?")="Yes",IFERROR(INDEX(tblMoveTypes[In / Out],MATCH($C64,tblMoveTypes[Movement],0)),"?")="OUT"),"Out  ","")&amp;IF(IFERROR(INDEX(tblMoveTypes[Orders?],MATCH($C64,tblMoveTypes[Movement],0)),"?")="Yes","Orders  ","")&amp;IF(IFERROR(INDEX(tblMoveTypes[Courier?],MATCH($C64,tblMoveTypes[Movement],0)),"?")="Yes","Courier  ","")&amp;IF(IFERROR(INDEX(tblMoveTypes[Reason?],MATCH($C64,tblMoveTypes[Movement],0)),"?")="Yes","Reason",""),"unknown movement"))</f>
        <v>OUT   fill: Item  Out  Courier  </v>
      </c>
      <c r="E64" s="31" t="s">
        <v>95</v>
      </c>
      <c r="F64" s="33"/>
      <c r="G64" s="33" t="n">
        <v>44</v>
      </c>
      <c r="H64" s="33"/>
      <c r="I64" s="31" t="s">
        <v>76</v>
      </c>
      <c r="J64" s="31"/>
      <c r="K64" s="31"/>
      <c r="L64" s="31"/>
      <c r="M64" s="34" t="str">
        <f aca="false">IF($E64="","",IFERROR(INDEX(tblItems[Item Code],MATCH($E64,tblItems[Item Name],0)),"?"))</f>
        <v>EG-FG-GUV-01-02-01-01</v>
      </c>
      <c r="N64" s="34" t="str">
        <f aca="false">IF($B64="","",IFERROR(INDEX(tblShipment[Market],MATCH($B64,tblShipment[Shipment No],0)),"?"))</f>
        <v>Qatar</v>
      </c>
      <c r="O64" s="35" t="n">
        <f aca="false">N($F64)+N($G64)</f>
        <v>44</v>
      </c>
      <c r="P64" s="34" t="str">
        <f aca="false">IF($A64="","",IF($L64="Yes","VOID",IF(COUNTIFS(tblMoveTypes[Movement],$C64)=0,"Unknown movement",IF(COUNTIF(tblShipment[Shipment No],$B64)=0,"Unknown shipment",IF(AND(IFERROR(INDEX(tblMoveTypes[Item?],MATCH($C64,tblMoveTypes[Movement],0)),"?")="Yes",$E64=""),"Item needed",IF(AND(IFERROR(INDEX(tblMoveTypes[Item?],MATCH($C64,tblMoveTypes[Movement],0)),"?")="No",$E64&lt;&gt;""),"Leave Item blank",IF(AND(IFERROR(INDEX(tblMoveTypes[In / Out],MATCH($C64,tblMoveTypes[Movement],0)),"?")="IN",$G64&lt;&gt;""),"Use the In column, not Out",IF(AND(IFERROR(INDEX(tblMoveTypes[In / Out],MATCH($C64,tblMoveTypes[Movement],0)),"?")="OUT",$F64&lt;&gt;""),"Use the Out column, not In",IF(AND(IFERROR(INDEX(tblMoveTypes[Qty?],MATCH($C64,tblMoveTypes[Movement],0)),"?")="Yes",N($F64)+N($G64)&lt;=0),"Qty needed",IF(AND(IFERROR(INDEX(tblMoveTypes[Qty?],MATCH($C64,tblMoveTypes[Movement],0)),"?")="No",N($F64)+N($G64)&gt;0),"Leave In and Out blank",IF(AND(IFERROR(INDEX(tblMoveTypes[Courier?],MATCH($C64,tblMoveTypes[Movement],0)),"?")="Yes",$I64=""),"Courier needed",IF(AND(IFERROR(INDEX(tblMoveTypes[Courier?],MATCH($C64,tblMoveTypes[Movement],0)),"?")="No",$I64&lt;&gt;""),"Leave Courier blank",IF(AND(IFERROR(INDEX(tblMoveTypes[Orders?],MATCH($C64,tblMoveTypes[Movement],0)),"?")="Yes",$H64=""),"Orders needed",IF(AND(IFERROR(INDEX(tblMoveTypes[Orders?],MATCH($C64,tblMoveTypes[Movement],0)),"?")="No",$H64&lt;&gt;""),"Leave Orders blank",IF(AND(IFERROR(INDEX(tblMoveTypes[Reason?],MATCH($C64,tblMoveTypes[Movement],0)),"?")="Yes",$J64=""),"Reason needed",IF($A64&lt;_xlfn.MINIFS(tblShipment[Arrival Date],tblShipment[Shipment No],$B64),"Date before arrival",IF(AND($E64&lt;&gt;"",COUNTIFS(tblShipment[Shipment No],$B64,tblShipment[Item Name],$E64)=0),"Item not in this shipment","OK")))))))))))))))))</f>
        <v>OK</v>
      </c>
    </row>
    <row r="65" customFormat="false" ht="15" hidden="false" customHeight="false" outlineLevel="0" collapsed="false">
      <c r="A65" s="32" t="n">
        <v>46229</v>
      </c>
      <c r="B65" s="31" t="s">
        <v>159</v>
      </c>
      <c r="C65" s="31" t="s">
        <v>98</v>
      </c>
      <c r="D65" s="34" t="str">
        <f aca="false">IF($C65="","",IFERROR(IF(IFERROR(INDEX(tblMoveTypes[In / Out],MATCH($C65,tblMoveTypes[Movement],0)),"?")="IN","IN   ",IF(IFERROR(INDEX(tblMoveTypes[In / Out],MATCH($C65,tblMoveTypes[Movement],0)),"?")="OUT","OUT   ","--   "))&amp;"fill: "&amp;IF(IFERROR(INDEX(tblMoveTypes[Item?],MATCH($C65,tblMoveTypes[Movement],0)),"?")="Yes","Item  ","")&amp;IF(AND(IFERROR(INDEX(tblMoveTypes[Qty?],MATCH($C65,tblMoveTypes[Movement],0)),"?")="Yes",IFERROR(INDEX(tblMoveTypes[In / Out],MATCH($C65,tblMoveTypes[Movement],0)),"?")="IN"),"In  ","")&amp;IF(AND(IFERROR(INDEX(tblMoveTypes[Qty?],MATCH($C65,tblMoveTypes[Movement],0)),"?")="Yes",IFERROR(INDEX(tblMoveTypes[In / Out],MATCH($C65,tblMoveTypes[Movement],0)),"?")="OUT"),"Out  ","")&amp;IF(IFERROR(INDEX(tblMoveTypes[Orders?],MATCH($C65,tblMoveTypes[Movement],0)),"?")="Yes","Orders  ","")&amp;IF(IFERROR(INDEX(tblMoveTypes[Courier?],MATCH($C65,tblMoveTypes[Movement],0)),"?")="Yes","Courier  ","")&amp;IF(IFERROR(INDEX(tblMoveTypes[Reason?],MATCH($C65,tblMoveTypes[Movement],0)),"?")="Yes","Reason",""),"unknown movement"))</f>
        <v>OUT   fill: Item  Out  Courier  </v>
      </c>
      <c r="E65" s="31" t="s">
        <v>91</v>
      </c>
      <c r="F65" s="33"/>
      <c r="G65" s="33" t="n">
        <v>64</v>
      </c>
      <c r="H65" s="33"/>
      <c r="I65" s="31" t="s">
        <v>76</v>
      </c>
      <c r="J65" s="31"/>
      <c r="K65" s="31"/>
      <c r="L65" s="31"/>
      <c r="M65" s="34" t="str">
        <f aca="false">IF($E65="","",IFERROR(INDEX(tblItems[Item Code],MATCH($E65,tblItems[Item Name],0)),"?"))</f>
        <v>EG-FG-FIG-01-02-01-01</v>
      </c>
      <c r="N65" s="34" t="str">
        <f aca="false">IF($B65="","",IFERROR(INDEX(tblShipment[Market],MATCH($B65,tblShipment[Shipment No],0)),"?"))</f>
        <v>Qatar</v>
      </c>
      <c r="O65" s="35" t="n">
        <f aca="false">N($F65)+N($G65)</f>
        <v>64</v>
      </c>
      <c r="P65" s="34" t="str">
        <f aca="false">IF($A65="","",IF($L65="Yes","VOID",IF(COUNTIFS(tblMoveTypes[Movement],$C65)=0,"Unknown movement",IF(COUNTIF(tblShipment[Shipment No],$B65)=0,"Unknown shipment",IF(AND(IFERROR(INDEX(tblMoveTypes[Item?],MATCH($C65,tblMoveTypes[Movement],0)),"?")="Yes",$E65=""),"Item needed",IF(AND(IFERROR(INDEX(tblMoveTypes[Item?],MATCH($C65,tblMoveTypes[Movement],0)),"?")="No",$E65&lt;&gt;""),"Leave Item blank",IF(AND(IFERROR(INDEX(tblMoveTypes[In / Out],MATCH($C65,tblMoveTypes[Movement],0)),"?")="IN",$G65&lt;&gt;""),"Use the In column, not Out",IF(AND(IFERROR(INDEX(tblMoveTypes[In / Out],MATCH($C65,tblMoveTypes[Movement],0)),"?")="OUT",$F65&lt;&gt;""),"Use the Out column, not In",IF(AND(IFERROR(INDEX(tblMoveTypes[Qty?],MATCH($C65,tblMoveTypes[Movement],0)),"?")="Yes",N($F65)+N($G65)&lt;=0),"Qty needed",IF(AND(IFERROR(INDEX(tblMoveTypes[Qty?],MATCH($C65,tblMoveTypes[Movement],0)),"?")="No",N($F65)+N($G65)&gt;0),"Leave In and Out blank",IF(AND(IFERROR(INDEX(tblMoveTypes[Courier?],MATCH($C65,tblMoveTypes[Movement],0)),"?")="Yes",$I65=""),"Courier needed",IF(AND(IFERROR(INDEX(tblMoveTypes[Courier?],MATCH($C65,tblMoveTypes[Movement],0)),"?")="No",$I65&lt;&gt;""),"Leave Courier blank",IF(AND(IFERROR(INDEX(tblMoveTypes[Orders?],MATCH($C65,tblMoveTypes[Movement],0)),"?")="Yes",$H65=""),"Orders needed",IF(AND(IFERROR(INDEX(tblMoveTypes[Orders?],MATCH($C65,tblMoveTypes[Movement],0)),"?")="No",$H65&lt;&gt;""),"Leave Orders blank",IF(AND(IFERROR(INDEX(tblMoveTypes[Reason?],MATCH($C65,tblMoveTypes[Movement],0)),"?")="Yes",$J65=""),"Reason needed",IF($A65&lt;_xlfn.MINIFS(tblShipment[Arrival Date],tblShipment[Shipment No],$B65),"Date before arrival",IF(AND($E65&lt;&gt;"",COUNTIFS(tblShipment[Shipment No],$B65,tblShipment[Item Name],$E65)=0),"Item not in this shipment","OK")))))))))))))))))</f>
        <v>OK</v>
      </c>
    </row>
    <row r="66" customFormat="false" ht="15" hidden="false" customHeight="false" outlineLevel="0" collapsed="false">
      <c r="A66" s="32" t="n">
        <v>46229</v>
      </c>
      <c r="B66" s="31" t="s">
        <v>159</v>
      </c>
      <c r="C66" s="31" t="s">
        <v>98</v>
      </c>
      <c r="D66" s="34" t="str">
        <f aca="false">IF($C66="","",IFERROR(IF(IFERROR(INDEX(tblMoveTypes[In / Out],MATCH($C66,tblMoveTypes[Movement],0)),"?")="IN","IN   ",IF(IFERROR(INDEX(tblMoveTypes[In / Out],MATCH($C66,tblMoveTypes[Movement],0)),"?")="OUT","OUT   ","--   "))&amp;"fill: "&amp;IF(IFERROR(INDEX(tblMoveTypes[Item?],MATCH($C66,tblMoveTypes[Movement],0)),"?")="Yes","Item  ","")&amp;IF(AND(IFERROR(INDEX(tblMoveTypes[Qty?],MATCH($C66,tblMoveTypes[Movement],0)),"?")="Yes",IFERROR(INDEX(tblMoveTypes[In / Out],MATCH($C66,tblMoveTypes[Movement],0)),"?")="IN"),"In  ","")&amp;IF(AND(IFERROR(INDEX(tblMoveTypes[Qty?],MATCH($C66,tblMoveTypes[Movement],0)),"?")="Yes",IFERROR(INDEX(tblMoveTypes[In / Out],MATCH($C66,tblMoveTypes[Movement],0)),"?")="OUT"),"Out  ","")&amp;IF(IFERROR(INDEX(tblMoveTypes[Orders?],MATCH($C66,tblMoveTypes[Movement],0)),"?")="Yes","Orders  ","")&amp;IF(IFERROR(INDEX(tblMoveTypes[Courier?],MATCH($C66,tblMoveTypes[Movement],0)),"?")="Yes","Courier  ","")&amp;IF(IFERROR(INDEX(tblMoveTypes[Reason?],MATCH($C66,tblMoveTypes[Movement],0)),"?")="Yes","Reason",""),"unknown movement"))</f>
        <v>OUT   fill: Item  Out  Courier  </v>
      </c>
      <c r="E66" s="31" t="s">
        <v>84</v>
      </c>
      <c r="F66" s="33"/>
      <c r="G66" s="33" t="n">
        <v>124</v>
      </c>
      <c r="H66" s="33"/>
      <c r="I66" s="31" t="s">
        <v>76</v>
      </c>
      <c r="J66" s="31"/>
      <c r="K66" s="31"/>
      <c r="L66" s="31"/>
      <c r="M66" s="34" t="str">
        <f aca="false">IF($E66="","",IFERROR(INDEX(tblItems[Item Code],MATCH($E66,tblItems[Item Name],0)),"?"))</f>
        <v>EG-FG-MNG-12-02-01-01</v>
      </c>
      <c r="N66" s="34" t="str">
        <f aca="false">IF($B66="","",IFERROR(INDEX(tblShipment[Market],MATCH($B66,tblShipment[Shipment No],0)),"?"))</f>
        <v>Qatar</v>
      </c>
      <c r="O66" s="35" t="n">
        <f aca="false">N($F66)+N($G66)</f>
        <v>124</v>
      </c>
      <c r="P66" s="34" t="str">
        <f aca="false">IF($A66="","",IF($L66="Yes","VOID",IF(COUNTIFS(tblMoveTypes[Movement],$C66)=0,"Unknown movement",IF(COUNTIF(tblShipment[Shipment No],$B66)=0,"Unknown shipment",IF(AND(IFERROR(INDEX(tblMoveTypes[Item?],MATCH($C66,tblMoveTypes[Movement],0)),"?")="Yes",$E66=""),"Item needed",IF(AND(IFERROR(INDEX(tblMoveTypes[Item?],MATCH($C66,tblMoveTypes[Movement],0)),"?")="No",$E66&lt;&gt;""),"Leave Item blank",IF(AND(IFERROR(INDEX(tblMoveTypes[In / Out],MATCH($C66,tblMoveTypes[Movement],0)),"?")="IN",$G66&lt;&gt;""),"Use the In column, not Out",IF(AND(IFERROR(INDEX(tblMoveTypes[In / Out],MATCH($C66,tblMoveTypes[Movement],0)),"?")="OUT",$F66&lt;&gt;""),"Use the Out column, not In",IF(AND(IFERROR(INDEX(tblMoveTypes[Qty?],MATCH($C66,tblMoveTypes[Movement],0)),"?")="Yes",N($F66)+N($G66)&lt;=0),"Qty needed",IF(AND(IFERROR(INDEX(tblMoveTypes[Qty?],MATCH($C66,tblMoveTypes[Movement],0)),"?")="No",N($F66)+N($G66)&gt;0),"Leave In and Out blank",IF(AND(IFERROR(INDEX(tblMoveTypes[Courier?],MATCH($C66,tblMoveTypes[Movement],0)),"?")="Yes",$I66=""),"Courier needed",IF(AND(IFERROR(INDEX(tblMoveTypes[Courier?],MATCH($C66,tblMoveTypes[Movement],0)),"?")="No",$I66&lt;&gt;""),"Leave Courier blank",IF(AND(IFERROR(INDEX(tblMoveTypes[Orders?],MATCH($C66,tblMoveTypes[Movement],0)),"?")="Yes",$H66=""),"Orders needed",IF(AND(IFERROR(INDEX(tblMoveTypes[Orders?],MATCH($C66,tblMoveTypes[Movement],0)),"?")="No",$H66&lt;&gt;""),"Leave Orders blank",IF(AND(IFERROR(INDEX(tblMoveTypes[Reason?],MATCH($C66,tblMoveTypes[Movement],0)),"?")="Yes",$J66=""),"Reason needed",IF($A66&lt;_xlfn.MINIFS(tblShipment[Arrival Date],tblShipment[Shipment No],$B66),"Date before arrival",IF(AND($E66&lt;&gt;"",COUNTIFS(tblShipment[Shipment No],$B66,tblShipment[Item Name],$E66)=0),"Item not in this shipment","OK")))))))))))))))))</f>
        <v>OK</v>
      </c>
    </row>
    <row r="67" customFormat="false" ht="15" hidden="false" customHeight="false" outlineLevel="0" collapsed="false">
      <c r="A67" s="32" t="n">
        <v>46229</v>
      </c>
      <c r="B67" s="31" t="s">
        <v>159</v>
      </c>
      <c r="C67" s="31" t="s">
        <v>98</v>
      </c>
      <c r="D67" s="34" t="str">
        <f aca="false">IF($C67="","",IFERROR(IF(IFERROR(INDEX(tblMoveTypes[In / Out],MATCH($C67,tblMoveTypes[Movement],0)),"?")="IN","IN   ",IF(IFERROR(INDEX(tblMoveTypes[In / Out],MATCH($C67,tblMoveTypes[Movement],0)),"?")="OUT","OUT   ","--   "))&amp;"fill: "&amp;IF(IFERROR(INDEX(tblMoveTypes[Item?],MATCH($C67,tblMoveTypes[Movement],0)),"?")="Yes","Item  ","")&amp;IF(AND(IFERROR(INDEX(tblMoveTypes[Qty?],MATCH($C67,tblMoveTypes[Movement],0)),"?")="Yes",IFERROR(INDEX(tblMoveTypes[In / Out],MATCH($C67,tblMoveTypes[Movement],0)),"?")="IN"),"In  ","")&amp;IF(AND(IFERROR(INDEX(tblMoveTypes[Qty?],MATCH($C67,tblMoveTypes[Movement],0)),"?")="Yes",IFERROR(INDEX(tblMoveTypes[In / Out],MATCH($C67,tblMoveTypes[Movement],0)),"?")="OUT"),"Out  ","")&amp;IF(IFERROR(INDEX(tblMoveTypes[Orders?],MATCH($C67,tblMoveTypes[Movement],0)),"?")="Yes","Orders  ","")&amp;IF(IFERROR(INDEX(tblMoveTypes[Courier?],MATCH($C67,tblMoveTypes[Movement],0)),"?")="Yes","Courier  ","")&amp;IF(IFERROR(INDEX(tblMoveTypes[Reason?],MATCH($C67,tblMoveTypes[Movement],0)),"?")="Yes","Reason",""),"unknown movement"))</f>
        <v>OUT   fill: Item  Out  Courier  </v>
      </c>
      <c r="E67" s="31" t="s">
        <v>106</v>
      </c>
      <c r="F67" s="33"/>
      <c r="G67" s="33" t="n">
        <v>34</v>
      </c>
      <c r="H67" s="33"/>
      <c r="I67" s="31" t="s">
        <v>76</v>
      </c>
      <c r="J67" s="31"/>
      <c r="K67" s="31"/>
      <c r="L67" s="31"/>
      <c r="M67" s="34" t="str">
        <f aca="false">IF($E67="","",IFERROR(INDEX(tblItems[Item Code],MATCH($E67,tblItems[Item Name],0)),"?"))</f>
        <v>EG-FG-DAT-01-02-01-01</v>
      </c>
      <c r="N67" s="34" t="str">
        <f aca="false">IF($B67="","",IFERROR(INDEX(tblShipment[Market],MATCH($B67,tblShipment[Shipment No],0)),"?"))</f>
        <v>Qatar</v>
      </c>
      <c r="O67" s="35" t="n">
        <f aca="false">N($F67)+N($G67)</f>
        <v>34</v>
      </c>
      <c r="P67" s="34" t="str">
        <f aca="false">IF($A67="","",IF($L67="Yes","VOID",IF(COUNTIFS(tblMoveTypes[Movement],$C67)=0,"Unknown movement",IF(COUNTIF(tblShipment[Shipment No],$B67)=0,"Unknown shipment",IF(AND(IFERROR(INDEX(tblMoveTypes[Item?],MATCH($C67,tblMoveTypes[Movement],0)),"?")="Yes",$E67=""),"Item needed",IF(AND(IFERROR(INDEX(tblMoveTypes[Item?],MATCH($C67,tblMoveTypes[Movement],0)),"?")="No",$E67&lt;&gt;""),"Leave Item blank",IF(AND(IFERROR(INDEX(tblMoveTypes[In / Out],MATCH($C67,tblMoveTypes[Movement],0)),"?")="IN",$G67&lt;&gt;""),"Use the In column, not Out",IF(AND(IFERROR(INDEX(tblMoveTypes[In / Out],MATCH($C67,tblMoveTypes[Movement],0)),"?")="OUT",$F67&lt;&gt;""),"Use the Out column, not In",IF(AND(IFERROR(INDEX(tblMoveTypes[Qty?],MATCH($C67,tblMoveTypes[Movement],0)),"?")="Yes",N($F67)+N($G67)&lt;=0),"Qty needed",IF(AND(IFERROR(INDEX(tblMoveTypes[Qty?],MATCH($C67,tblMoveTypes[Movement],0)),"?")="No",N($F67)+N($G67)&gt;0),"Leave In and Out blank",IF(AND(IFERROR(INDEX(tblMoveTypes[Courier?],MATCH($C67,tblMoveTypes[Movement],0)),"?")="Yes",$I67=""),"Courier needed",IF(AND(IFERROR(INDEX(tblMoveTypes[Courier?],MATCH($C67,tblMoveTypes[Movement],0)),"?")="No",$I67&lt;&gt;""),"Leave Courier blank",IF(AND(IFERROR(INDEX(tblMoveTypes[Orders?],MATCH($C67,tblMoveTypes[Movement],0)),"?")="Yes",$H67=""),"Orders needed",IF(AND(IFERROR(INDEX(tblMoveTypes[Orders?],MATCH($C67,tblMoveTypes[Movement],0)),"?")="No",$H67&lt;&gt;""),"Leave Orders blank",IF(AND(IFERROR(INDEX(tblMoveTypes[Reason?],MATCH($C67,tblMoveTypes[Movement],0)),"?")="Yes",$J67=""),"Reason needed",IF($A67&lt;_xlfn.MINIFS(tblShipment[Arrival Date],tblShipment[Shipment No],$B67),"Date before arrival",IF(AND($E67&lt;&gt;"",COUNTIFS(tblShipment[Shipment No],$B67,tblShipment[Item Name],$E67)=0),"Item not in this shipment","OK")))))))))))))))))</f>
        <v>OK</v>
      </c>
    </row>
    <row r="68" customFormat="false" ht="15" hidden="false" customHeight="false" outlineLevel="0" collapsed="false">
      <c r="A68" s="32" t="n">
        <v>46229</v>
      </c>
      <c r="B68" s="31" t="s">
        <v>159</v>
      </c>
      <c r="C68" s="31" t="s">
        <v>98</v>
      </c>
      <c r="D68" s="34" t="str">
        <f aca="false">IF($C68="","",IFERROR(IF(IFERROR(INDEX(tblMoveTypes[In / Out],MATCH($C68,tblMoveTypes[Movement],0)),"?")="IN","IN   ",IF(IFERROR(INDEX(tblMoveTypes[In / Out],MATCH($C68,tblMoveTypes[Movement],0)),"?")="OUT","OUT   ","--   "))&amp;"fill: "&amp;IF(IFERROR(INDEX(tblMoveTypes[Item?],MATCH($C68,tblMoveTypes[Movement],0)),"?")="Yes","Item  ","")&amp;IF(AND(IFERROR(INDEX(tblMoveTypes[Qty?],MATCH($C68,tblMoveTypes[Movement],0)),"?")="Yes",IFERROR(INDEX(tblMoveTypes[In / Out],MATCH($C68,tblMoveTypes[Movement],0)),"?")="IN"),"In  ","")&amp;IF(AND(IFERROR(INDEX(tblMoveTypes[Qty?],MATCH($C68,tblMoveTypes[Movement],0)),"?")="Yes",IFERROR(INDEX(tblMoveTypes[In / Out],MATCH($C68,tblMoveTypes[Movement],0)),"?")="OUT"),"Out  ","")&amp;IF(IFERROR(INDEX(tblMoveTypes[Orders?],MATCH($C68,tblMoveTypes[Movement],0)),"?")="Yes","Orders  ","")&amp;IF(IFERROR(INDEX(tblMoveTypes[Courier?],MATCH($C68,tblMoveTypes[Movement],0)),"?")="Yes","Courier  ","")&amp;IF(IFERROR(INDEX(tblMoveTypes[Reason?],MATCH($C68,tblMoveTypes[Movement],0)),"?")="Yes","Reason",""),"unknown movement"))</f>
        <v>OUT   fill: Item  Out  Courier  </v>
      </c>
      <c r="E68" s="31" t="s">
        <v>100</v>
      </c>
      <c r="F68" s="33"/>
      <c r="G68" s="33" t="n">
        <v>26</v>
      </c>
      <c r="H68" s="33"/>
      <c r="I68" s="31" t="s">
        <v>76</v>
      </c>
      <c r="J68" s="31"/>
      <c r="K68" s="31"/>
      <c r="L68" s="31"/>
      <c r="M68" s="34" t="str">
        <f aca="false">IF($E68="","",IFERROR(INDEX(tblItems[Item Code],MATCH($E68,tblItems[Item Name],0)),"?"))</f>
        <v>EG-FG-MNG-18-02-01-01</v>
      </c>
      <c r="N68" s="34" t="str">
        <f aca="false">IF($B68="","",IFERROR(INDEX(tblShipment[Market],MATCH($B68,tblShipment[Shipment No],0)),"?"))</f>
        <v>Qatar</v>
      </c>
      <c r="O68" s="35" t="n">
        <f aca="false">N($F68)+N($G68)</f>
        <v>26</v>
      </c>
      <c r="P68" s="34" t="str">
        <f aca="false">IF($A68="","",IF($L68="Yes","VOID",IF(COUNTIFS(tblMoveTypes[Movement],$C68)=0,"Unknown movement",IF(COUNTIF(tblShipment[Shipment No],$B68)=0,"Unknown shipment",IF(AND(IFERROR(INDEX(tblMoveTypes[Item?],MATCH($C68,tblMoveTypes[Movement],0)),"?")="Yes",$E68=""),"Item needed",IF(AND(IFERROR(INDEX(tblMoveTypes[Item?],MATCH($C68,tblMoveTypes[Movement],0)),"?")="No",$E68&lt;&gt;""),"Leave Item blank",IF(AND(IFERROR(INDEX(tblMoveTypes[In / Out],MATCH($C68,tblMoveTypes[Movement],0)),"?")="IN",$G68&lt;&gt;""),"Use the In column, not Out",IF(AND(IFERROR(INDEX(tblMoveTypes[In / Out],MATCH($C68,tblMoveTypes[Movement],0)),"?")="OUT",$F68&lt;&gt;""),"Use the Out column, not In",IF(AND(IFERROR(INDEX(tblMoveTypes[Qty?],MATCH($C68,tblMoveTypes[Movement],0)),"?")="Yes",N($F68)+N($G68)&lt;=0),"Qty needed",IF(AND(IFERROR(INDEX(tblMoveTypes[Qty?],MATCH($C68,tblMoveTypes[Movement],0)),"?")="No",N($F68)+N($G68)&gt;0),"Leave In and Out blank",IF(AND(IFERROR(INDEX(tblMoveTypes[Courier?],MATCH($C68,tblMoveTypes[Movement],0)),"?")="Yes",$I68=""),"Courier needed",IF(AND(IFERROR(INDEX(tblMoveTypes[Courier?],MATCH($C68,tblMoveTypes[Movement],0)),"?")="No",$I68&lt;&gt;""),"Leave Courier blank",IF(AND(IFERROR(INDEX(tblMoveTypes[Orders?],MATCH($C68,tblMoveTypes[Movement],0)),"?")="Yes",$H68=""),"Orders needed",IF(AND(IFERROR(INDEX(tblMoveTypes[Orders?],MATCH($C68,tblMoveTypes[Movement],0)),"?")="No",$H68&lt;&gt;""),"Leave Orders blank",IF(AND(IFERROR(INDEX(tblMoveTypes[Reason?],MATCH($C68,tblMoveTypes[Movement],0)),"?")="Yes",$J68=""),"Reason needed",IF($A68&lt;_xlfn.MINIFS(tblShipment[Arrival Date],tblShipment[Shipment No],$B68),"Date before arrival",IF(AND($E68&lt;&gt;"",COUNTIFS(tblShipment[Shipment No],$B68,tblShipment[Item Name],$E68)=0),"Item not in this shipment","OK")))))))))))))))))</f>
        <v>OK</v>
      </c>
    </row>
    <row r="69" customFormat="false" ht="15" hidden="false" customHeight="false" outlineLevel="0" collapsed="false">
      <c r="A69" s="32" t="n">
        <v>46229</v>
      </c>
      <c r="B69" s="31" t="s">
        <v>159</v>
      </c>
      <c r="C69" s="31" t="s">
        <v>98</v>
      </c>
      <c r="D69" s="34" t="str">
        <f aca="false">IF($C69="","",IFERROR(IF(IFERROR(INDEX(tblMoveTypes[In / Out],MATCH($C69,tblMoveTypes[Movement],0)),"?")="IN","IN   ",IF(IFERROR(INDEX(tblMoveTypes[In / Out],MATCH($C69,tblMoveTypes[Movement],0)),"?")="OUT","OUT   ","--   "))&amp;"fill: "&amp;IF(IFERROR(INDEX(tblMoveTypes[Item?],MATCH($C69,tblMoveTypes[Movement],0)),"?")="Yes","Item  ","")&amp;IF(AND(IFERROR(INDEX(tblMoveTypes[Qty?],MATCH($C69,tblMoveTypes[Movement],0)),"?")="Yes",IFERROR(INDEX(tblMoveTypes[In / Out],MATCH($C69,tblMoveTypes[Movement],0)),"?")="IN"),"In  ","")&amp;IF(AND(IFERROR(INDEX(tblMoveTypes[Qty?],MATCH($C69,tblMoveTypes[Movement],0)),"?")="Yes",IFERROR(INDEX(tblMoveTypes[In / Out],MATCH($C69,tblMoveTypes[Movement],0)),"?")="OUT"),"Out  ","")&amp;IF(IFERROR(INDEX(tblMoveTypes[Orders?],MATCH($C69,tblMoveTypes[Movement],0)),"?")="Yes","Orders  ","")&amp;IF(IFERROR(INDEX(tblMoveTypes[Courier?],MATCH($C69,tblMoveTypes[Movement],0)),"?")="Yes","Courier  ","")&amp;IF(IFERROR(INDEX(tblMoveTypes[Reason?],MATCH($C69,tblMoveTypes[Movement],0)),"?")="Yes","Reason",""),"unknown movement"))</f>
        <v>OUT   fill: Item  Out  Courier  </v>
      </c>
      <c r="E69" s="31" t="s">
        <v>137</v>
      </c>
      <c r="F69" s="33"/>
      <c r="G69" s="33" t="n">
        <v>19</v>
      </c>
      <c r="H69" s="33"/>
      <c r="I69" s="31" t="s">
        <v>76</v>
      </c>
      <c r="J69" s="31"/>
      <c r="K69" s="31"/>
      <c r="L69" s="31"/>
      <c r="M69" s="34" t="str">
        <f aca="false">IF($E69="","",IFERROR(INDEX(tblItems[Item Code],MATCH($E69,tblItems[Item Name],0)),"?"))</f>
        <v>EG-FG-PER-01-02-01-01</v>
      </c>
      <c r="N69" s="34" t="str">
        <f aca="false">IF($B69="","",IFERROR(INDEX(tblShipment[Market],MATCH($B69,tblShipment[Shipment No],0)),"?"))</f>
        <v>Qatar</v>
      </c>
      <c r="O69" s="35" t="n">
        <f aca="false">N($F69)+N($G69)</f>
        <v>19</v>
      </c>
      <c r="P69" s="34" t="str">
        <f aca="false">IF($A69="","",IF($L69="Yes","VOID",IF(COUNTIFS(tblMoveTypes[Movement],$C69)=0,"Unknown movement",IF(COUNTIF(tblShipment[Shipment No],$B69)=0,"Unknown shipment",IF(AND(IFERROR(INDEX(tblMoveTypes[Item?],MATCH($C69,tblMoveTypes[Movement],0)),"?")="Yes",$E69=""),"Item needed",IF(AND(IFERROR(INDEX(tblMoveTypes[Item?],MATCH($C69,tblMoveTypes[Movement],0)),"?")="No",$E69&lt;&gt;""),"Leave Item blank",IF(AND(IFERROR(INDEX(tblMoveTypes[In / Out],MATCH($C69,tblMoveTypes[Movement],0)),"?")="IN",$G69&lt;&gt;""),"Use the In column, not Out",IF(AND(IFERROR(INDEX(tblMoveTypes[In / Out],MATCH($C69,tblMoveTypes[Movement],0)),"?")="OUT",$F69&lt;&gt;""),"Use the Out column, not In",IF(AND(IFERROR(INDEX(tblMoveTypes[Qty?],MATCH($C69,tblMoveTypes[Movement],0)),"?")="Yes",N($F69)+N($G69)&lt;=0),"Qty needed",IF(AND(IFERROR(INDEX(tblMoveTypes[Qty?],MATCH($C69,tblMoveTypes[Movement],0)),"?")="No",N($F69)+N($G69)&gt;0),"Leave In and Out blank",IF(AND(IFERROR(INDEX(tblMoveTypes[Courier?],MATCH($C69,tblMoveTypes[Movement],0)),"?")="Yes",$I69=""),"Courier needed",IF(AND(IFERROR(INDEX(tblMoveTypes[Courier?],MATCH($C69,tblMoveTypes[Movement],0)),"?")="No",$I69&lt;&gt;""),"Leave Courier blank",IF(AND(IFERROR(INDEX(tblMoveTypes[Orders?],MATCH($C69,tblMoveTypes[Movement],0)),"?")="Yes",$H69=""),"Orders needed",IF(AND(IFERROR(INDEX(tblMoveTypes[Orders?],MATCH($C69,tblMoveTypes[Movement],0)),"?")="No",$H69&lt;&gt;""),"Leave Orders blank",IF(AND(IFERROR(INDEX(tblMoveTypes[Reason?],MATCH($C69,tblMoveTypes[Movement],0)),"?")="Yes",$J69=""),"Reason needed",IF($A69&lt;_xlfn.MINIFS(tblShipment[Arrival Date],tblShipment[Shipment No],$B69),"Date before arrival",IF(AND($E69&lt;&gt;"",COUNTIFS(tblShipment[Shipment No],$B69,tblShipment[Item Name],$E69)=0),"Item not in this shipment","OK")))))))))))))))))</f>
        <v>OK</v>
      </c>
    </row>
    <row r="70" customFormat="false" ht="15" hidden="false" customHeight="false" outlineLevel="0" collapsed="false">
      <c r="A70" s="32" t="n">
        <v>46229</v>
      </c>
      <c r="B70" s="31" t="s">
        <v>159</v>
      </c>
      <c r="C70" s="31" t="s">
        <v>110</v>
      </c>
      <c r="D70" s="34" t="str">
        <f aca="false">IF($C70="","",IFERROR(IF(IFERROR(INDEX(tblMoveTypes[In / Out],MATCH($C70,tblMoveTypes[Movement],0)),"?")="IN","IN   ",IF(IFERROR(INDEX(tblMoveTypes[In / Out],MATCH($C70,tblMoveTypes[Movement],0)),"?")="OUT","OUT   ","--   "))&amp;"fill: "&amp;IF(IFERROR(INDEX(tblMoveTypes[Item?],MATCH($C70,tblMoveTypes[Movement],0)),"?")="Yes","Item  ","")&amp;IF(AND(IFERROR(INDEX(tblMoveTypes[Qty?],MATCH($C70,tblMoveTypes[Movement],0)),"?")="Yes",IFERROR(INDEX(tblMoveTypes[In / Out],MATCH($C70,tblMoveTypes[Movement],0)),"?")="IN"),"In  ","")&amp;IF(AND(IFERROR(INDEX(tblMoveTypes[Qty?],MATCH($C70,tblMoveTypes[Movement],0)),"?")="Yes",IFERROR(INDEX(tblMoveTypes[In / Out],MATCH($C70,tblMoveTypes[Movement],0)),"?")="OUT"),"Out  ","")&amp;IF(IFERROR(INDEX(tblMoveTypes[Orders?],MATCH($C70,tblMoveTypes[Movement],0)),"?")="Yes","Orders  ","")&amp;IF(IFERROR(INDEX(tblMoveTypes[Courier?],MATCH($C70,tblMoveTypes[Movement],0)),"?")="Yes","Courier  ","")&amp;IF(IFERROR(INDEX(tblMoveTypes[Reason?],MATCH($C70,tblMoveTypes[Movement],0)),"?")="Yes","Reason",""),"unknown movement"))</f>
        <v>--   fill: Orders  Courier  </v>
      </c>
      <c r="E70" s="31"/>
      <c r="F70" s="33"/>
      <c r="G70" s="33"/>
      <c r="H70" s="33" t="n">
        <v>204</v>
      </c>
      <c r="I70" s="31" t="s">
        <v>76</v>
      </c>
      <c r="J70" s="31"/>
      <c r="K70" s="31"/>
      <c r="L70" s="31"/>
      <c r="M70" s="34" t="str">
        <f aca="false">IF($E70="","",IFERROR(INDEX(tblItems[Item Code],MATCH($E70,tblItems[Item Name],0)),"?"))</f>
        <v/>
      </c>
      <c r="N70" s="34" t="str">
        <f aca="false">IF($B70="","",IFERROR(INDEX(tblShipment[Market],MATCH($B70,tblShipment[Shipment No],0)),"?"))</f>
        <v>Qatar</v>
      </c>
      <c r="O70" s="35" t="n">
        <f aca="false">N($F70)+N($G70)</f>
        <v>0</v>
      </c>
      <c r="P70" s="34" t="str">
        <f aca="false">IF($A70="","",IF($L70="Yes","VOID",IF(COUNTIFS(tblMoveTypes[Movement],$C70)=0,"Unknown movement",IF(COUNTIF(tblShipment[Shipment No],$B70)=0,"Unknown shipment",IF(AND(IFERROR(INDEX(tblMoveTypes[Item?],MATCH($C70,tblMoveTypes[Movement],0)),"?")="Yes",$E70=""),"Item needed",IF(AND(IFERROR(INDEX(tblMoveTypes[Item?],MATCH($C70,tblMoveTypes[Movement],0)),"?")="No",$E70&lt;&gt;""),"Leave Item blank",IF(AND(IFERROR(INDEX(tblMoveTypes[In / Out],MATCH($C70,tblMoveTypes[Movement],0)),"?")="IN",$G70&lt;&gt;""),"Use the In column, not Out",IF(AND(IFERROR(INDEX(tblMoveTypes[In / Out],MATCH($C70,tblMoveTypes[Movement],0)),"?")="OUT",$F70&lt;&gt;""),"Use the Out column, not In",IF(AND(IFERROR(INDEX(tblMoveTypes[Qty?],MATCH($C70,tblMoveTypes[Movement],0)),"?")="Yes",N($F70)+N($G70)&lt;=0),"Qty needed",IF(AND(IFERROR(INDEX(tblMoveTypes[Qty?],MATCH($C70,tblMoveTypes[Movement],0)),"?")="No",N($F70)+N($G70)&gt;0),"Leave In and Out blank",IF(AND(IFERROR(INDEX(tblMoveTypes[Courier?],MATCH($C70,tblMoveTypes[Movement],0)),"?")="Yes",$I70=""),"Courier needed",IF(AND(IFERROR(INDEX(tblMoveTypes[Courier?],MATCH($C70,tblMoveTypes[Movement],0)),"?")="No",$I70&lt;&gt;""),"Leave Courier blank",IF(AND(IFERROR(INDEX(tblMoveTypes[Orders?],MATCH($C70,tblMoveTypes[Movement],0)),"?")="Yes",$H70=""),"Orders needed",IF(AND(IFERROR(INDEX(tblMoveTypes[Orders?],MATCH($C70,tblMoveTypes[Movement],0)),"?")="No",$H70&lt;&gt;""),"Leave Orders blank",IF(AND(IFERROR(INDEX(tblMoveTypes[Reason?],MATCH($C70,tblMoveTypes[Movement],0)),"?")="Yes",$J70=""),"Reason needed",IF($A70&lt;_xlfn.MINIFS(tblShipment[Arrival Date],tblShipment[Shipment No],$B70),"Date before arrival",IF(AND($E70&lt;&gt;"",COUNTIFS(tblShipment[Shipment No],$B70,tblShipment[Item Name],$E70)=0),"Item not in this shipment","OK")))))))))))))))))</f>
        <v>OK</v>
      </c>
    </row>
    <row r="71" customFormat="false" ht="15" hidden="false" customHeight="false" outlineLevel="0" collapsed="false">
      <c r="A71" s="32" t="n">
        <v>46229</v>
      </c>
      <c r="B71" s="31" t="s">
        <v>159</v>
      </c>
      <c r="C71" s="31" t="s">
        <v>115</v>
      </c>
      <c r="D71" s="34" t="str">
        <f aca="false">IF($C71="","",IFERROR(IF(IFERROR(INDEX(tblMoveTypes[In / Out],MATCH($C71,tblMoveTypes[Movement],0)),"?")="IN","IN   ",IF(IFERROR(INDEX(tblMoveTypes[In / Out],MATCH($C71,tblMoveTypes[Movement],0)),"?")="OUT","OUT   ","--   "))&amp;"fill: "&amp;IF(IFERROR(INDEX(tblMoveTypes[Item?],MATCH($C71,tblMoveTypes[Movement],0)),"?")="Yes","Item  ","")&amp;IF(AND(IFERROR(INDEX(tblMoveTypes[Qty?],MATCH($C71,tblMoveTypes[Movement],0)),"?")="Yes",IFERROR(INDEX(tblMoveTypes[In / Out],MATCH($C71,tblMoveTypes[Movement],0)),"?")="IN"),"In  ","")&amp;IF(AND(IFERROR(INDEX(tblMoveTypes[Qty?],MATCH($C71,tblMoveTypes[Movement],0)),"?")="Yes",IFERROR(INDEX(tblMoveTypes[In / Out],MATCH($C71,tblMoveTypes[Movement],0)),"?")="OUT"),"Out  ","")&amp;IF(IFERROR(INDEX(tblMoveTypes[Orders?],MATCH($C71,tblMoveTypes[Movement],0)),"?")="Yes","Orders  ","")&amp;IF(IFERROR(INDEX(tblMoveTypes[Courier?],MATCH($C71,tblMoveTypes[Movement],0)),"?")="Yes","Courier  ","")&amp;IF(IFERROR(INDEX(tblMoveTypes[Reason?],MATCH($C71,tblMoveTypes[Movement],0)),"?")="Yes","Reason",""),"unknown movement"))</f>
        <v>OUT   fill: Out  Orders  Courier  </v>
      </c>
      <c r="E71" s="31"/>
      <c r="F71" s="33"/>
      <c r="G71" s="33" t="n">
        <v>331</v>
      </c>
      <c r="H71" s="33" t="n">
        <v>133</v>
      </c>
      <c r="I71" s="31" t="s">
        <v>76</v>
      </c>
      <c r="J71" s="31"/>
      <c r="K71" s="31"/>
      <c r="L71" s="31"/>
      <c r="M71" s="34" t="str">
        <f aca="false">IF($E71="","",IFERROR(INDEX(tblItems[Item Code],MATCH($E71,tblItems[Item Name],0)),"?"))</f>
        <v/>
      </c>
      <c r="N71" s="34" t="str">
        <f aca="false">IF($B71="","",IFERROR(INDEX(tblShipment[Market],MATCH($B71,tblShipment[Shipment No],0)),"?"))</f>
        <v>Qatar</v>
      </c>
      <c r="O71" s="35" t="n">
        <f aca="false">N($F71)+N($G71)</f>
        <v>331</v>
      </c>
      <c r="P71" s="34" t="str">
        <f aca="false">IF($A71="","",IF($L71="Yes","VOID",IF(COUNTIFS(tblMoveTypes[Movement],$C71)=0,"Unknown movement",IF(COUNTIF(tblShipment[Shipment No],$B71)=0,"Unknown shipment",IF(AND(IFERROR(INDEX(tblMoveTypes[Item?],MATCH($C71,tblMoveTypes[Movement],0)),"?")="Yes",$E71=""),"Item needed",IF(AND(IFERROR(INDEX(tblMoveTypes[Item?],MATCH($C71,tblMoveTypes[Movement],0)),"?")="No",$E71&lt;&gt;""),"Leave Item blank",IF(AND(IFERROR(INDEX(tblMoveTypes[In / Out],MATCH($C71,tblMoveTypes[Movement],0)),"?")="IN",$G71&lt;&gt;""),"Use the In column, not Out",IF(AND(IFERROR(INDEX(tblMoveTypes[In / Out],MATCH($C71,tblMoveTypes[Movement],0)),"?")="OUT",$F71&lt;&gt;""),"Use the Out column, not In",IF(AND(IFERROR(INDEX(tblMoveTypes[Qty?],MATCH($C71,tblMoveTypes[Movement],0)),"?")="Yes",N($F71)+N($G71)&lt;=0),"Qty needed",IF(AND(IFERROR(INDEX(tblMoveTypes[Qty?],MATCH($C71,tblMoveTypes[Movement],0)),"?")="No",N($F71)+N($G71)&gt;0),"Leave In and Out blank",IF(AND(IFERROR(INDEX(tblMoveTypes[Courier?],MATCH($C71,tblMoveTypes[Movement],0)),"?")="Yes",$I71=""),"Courier needed",IF(AND(IFERROR(INDEX(tblMoveTypes[Courier?],MATCH($C71,tblMoveTypes[Movement],0)),"?")="No",$I71&lt;&gt;""),"Leave Courier blank",IF(AND(IFERROR(INDEX(tblMoveTypes[Orders?],MATCH($C71,tblMoveTypes[Movement],0)),"?")="Yes",$H71=""),"Orders needed",IF(AND(IFERROR(INDEX(tblMoveTypes[Orders?],MATCH($C71,tblMoveTypes[Movement],0)),"?")="No",$H71&lt;&gt;""),"Leave Orders blank",IF(AND(IFERROR(INDEX(tblMoveTypes[Reason?],MATCH($C71,tblMoveTypes[Movement],0)),"?")="Yes",$J71=""),"Reason needed",IF($A71&lt;_xlfn.MINIFS(tblShipment[Arrival Date],tblShipment[Shipment No],$B71),"Date before arrival",IF(AND($E71&lt;&gt;"",COUNTIFS(tblShipment[Shipment No],$B71,tblShipment[Item Name],$E71)=0),"Item not in this shipment","OK")))))))))))))))))</f>
        <v>OK</v>
      </c>
    </row>
    <row r="72" customFormat="false" ht="15" hidden="false" customHeight="false" outlineLevel="0" collapsed="false">
      <c r="A72" s="32" t="n">
        <v>46230</v>
      </c>
      <c r="B72" s="31" t="s">
        <v>158</v>
      </c>
      <c r="C72" s="31" t="s">
        <v>115</v>
      </c>
      <c r="D72" s="34" t="str">
        <f aca="false">IF($C72="","",IFERROR(IF(IFERROR(INDEX(tblMoveTypes[In / Out],MATCH($C72,tblMoveTypes[Movement],0)),"?")="IN","IN   ",IF(IFERROR(INDEX(tblMoveTypes[In / Out],MATCH($C72,tblMoveTypes[Movement],0)),"?")="OUT","OUT   ","--   "))&amp;"fill: "&amp;IF(IFERROR(INDEX(tblMoveTypes[Item?],MATCH($C72,tblMoveTypes[Movement],0)),"?")="Yes","Item  ","")&amp;IF(AND(IFERROR(INDEX(tblMoveTypes[Qty?],MATCH($C72,tblMoveTypes[Movement],0)),"?")="Yes",IFERROR(INDEX(tblMoveTypes[In / Out],MATCH($C72,tblMoveTypes[Movement],0)),"?")="IN"),"In  ","")&amp;IF(AND(IFERROR(INDEX(tblMoveTypes[Qty?],MATCH($C72,tblMoveTypes[Movement],0)),"?")="Yes",IFERROR(INDEX(tblMoveTypes[In / Out],MATCH($C72,tblMoveTypes[Movement],0)),"?")="OUT"),"Out  ","")&amp;IF(IFERROR(INDEX(tblMoveTypes[Orders?],MATCH($C72,tblMoveTypes[Movement],0)),"?")="Yes","Orders  ","")&amp;IF(IFERROR(INDEX(tblMoveTypes[Courier?],MATCH($C72,tblMoveTypes[Movement],0)),"?")="Yes","Courier  ","")&amp;IF(IFERROR(INDEX(tblMoveTypes[Reason?],MATCH($C72,tblMoveTypes[Movement],0)),"?")="Yes","Reason",""),"unknown movement"))</f>
        <v>OUT   fill: Out  Orders  Courier  </v>
      </c>
      <c r="E72" s="31"/>
      <c r="F72" s="33"/>
      <c r="G72" s="33" t="n">
        <v>66</v>
      </c>
      <c r="H72" s="33" t="n">
        <v>27</v>
      </c>
      <c r="I72" s="31" t="s">
        <v>76</v>
      </c>
      <c r="J72" s="31"/>
      <c r="K72" s="31"/>
      <c r="L72" s="31"/>
      <c r="M72" s="34" t="str">
        <f aca="false">IF($E72="","",IFERROR(INDEX(tblItems[Item Code],MATCH($E72,tblItems[Item Name],0)),"?"))</f>
        <v/>
      </c>
      <c r="N72" s="34" t="str">
        <f aca="false">IF($B72="","",IFERROR(INDEX(tblShipment[Market],MATCH($B72,tblShipment[Shipment No],0)),"?"))</f>
        <v>Qatar</v>
      </c>
      <c r="O72" s="35" t="n">
        <f aca="false">N($F72)+N($G72)</f>
        <v>66</v>
      </c>
      <c r="P72" s="34" t="str">
        <f aca="false">IF($A72="","",IF($L72="Yes","VOID",IF(COUNTIFS(tblMoveTypes[Movement],$C72)=0,"Unknown movement",IF(COUNTIF(tblShipment[Shipment No],$B72)=0,"Unknown shipment",IF(AND(IFERROR(INDEX(tblMoveTypes[Item?],MATCH($C72,tblMoveTypes[Movement],0)),"?")="Yes",$E72=""),"Item needed",IF(AND(IFERROR(INDEX(tblMoveTypes[Item?],MATCH($C72,tblMoveTypes[Movement],0)),"?")="No",$E72&lt;&gt;""),"Leave Item blank",IF(AND(IFERROR(INDEX(tblMoveTypes[In / Out],MATCH($C72,tblMoveTypes[Movement],0)),"?")="IN",$G72&lt;&gt;""),"Use the In column, not Out",IF(AND(IFERROR(INDEX(tblMoveTypes[In / Out],MATCH($C72,tblMoveTypes[Movement],0)),"?")="OUT",$F72&lt;&gt;""),"Use the Out column, not In",IF(AND(IFERROR(INDEX(tblMoveTypes[Qty?],MATCH($C72,tblMoveTypes[Movement],0)),"?")="Yes",N($F72)+N($G72)&lt;=0),"Qty needed",IF(AND(IFERROR(INDEX(tblMoveTypes[Qty?],MATCH($C72,tblMoveTypes[Movement],0)),"?")="No",N($F72)+N($G72)&gt;0),"Leave In and Out blank",IF(AND(IFERROR(INDEX(tblMoveTypes[Courier?],MATCH($C72,tblMoveTypes[Movement],0)),"?")="Yes",$I72=""),"Courier needed",IF(AND(IFERROR(INDEX(tblMoveTypes[Courier?],MATCH($C72,tblMoveTypes[Movement],0)),"?")="No",$I72&lt;&gt;""),"Leave Courier blank",IF(AND(IFERROR(INDEX(tblMoveTypes[Orders?],MATCH($C72,tblMoveTypes[Movement],0)),"?")="Yes",$H72=""),"Orders needed",IF(AND(IFERROR(INDEX(tblMoveTypes[Orders?],MATCH($C72,tblMoveTypes[Movement],0)),"?")="No",$H72&lt;&gt;""),"Leave Orders blank",IF(AND(IFERROR(INDEX(tblMoveTypes[Reason?],MATCH($C72,tblMoveTypes[Movement],0)),"?")="Yes",$J72=""),"Reason needed",IF($A72&lt;_xlfn.MINIFS(tblShipment[Arrival Date],tblShipment[Shipment No],$B72),"Date before arrival",IF(AND($E72&lt;&gt;"",COUNTIFS(tblShipment[Shipment No],$B72,tblShipment[Item Name],$E72)=0),"Item not in this shipment","OK")))))))))))))))))</f>
        <v>OK</v>
      </c>
    </row>
    <row r="73" customFormat="false" ht="15" hidden="false" customHeight="false" outlineLevel="0" collapsed="false">
      <c r="A73" s="32" t="n">
        <v>46230</v>
      </c>
      <c r="B73" s="31" t="s">
        <v>159</v>
      </c>
      <c r="C73" s="31" t="s">
        <v>120</v>
      </c>
      <c r="D73" s="34" t="str">
        <f aca="false">IF($C73="","",IFERROR(IF(IFERROR(INDEX(tblMoveTypes[In / Out],MATCH($C73,tblMoveTypes[Movement],0)),"?")="IN","IN   ",IF(IFERROR(INDEX(tblMoveTypes[In / Out],MATCH($C73,tblMoveTypes[Movement],0)),"?")="OUT","OUT   ","--   "))&amp;"fill: "&amp;IF(IFERROR(INDEX(tblMoveTypes[Item?],MATCH($C73,tblMoveTypes[Movement],0)),"?")="Yes","Item  ","")&amp;IF(AND(IFERROR(INDEX(tblMoveTypes[Qty?],MATCH($C73,tblMoveTypes[Movement],0)),"?")="Yes",IFERROR(INDEX(tblMoveTypes[In / Out],MATCH($C73,tblMoveTypes[Movement],0)),"?")="IN"),"In  ","")&amp;IF(AND(IFERROR(INDEX(tblMoveTypes[Qty?],MATCH($C73,tblMoveTypes[Movement],0)),"?")="Yes",IFERROR(INDEX(tblMoveTypes[In / Out],MATCH($C73,tblMoveTypes[Movement],0)),"?")="OUT"),"Out  ","")&amp;IF(IFERROR(INDEX(tblMoveTypes[Orders?],MATCH($C73,tblMoveTypes[Movement],0)),"?")="Yes","Orders  ","")&amp;IF(IFERROR(INDEX(tblMoveTypes[Courier?],MATCH($C73,tblMoveTypes[Movement],0)),"?")="Yes","Courier  ","")&amp;IF(IFERROR(INDEX(tblMoveTypes[Reason?],MATCH($C73,tblMoveTypes[Movement],0)),"?")="Yes","Reason",""),"unknown movement"))</f>
        <v>IN   fill: In  Orders  Courier  Reason</v>
      </c>
      <c r="E73" s="31"/>
      <c r="F73" s="33" t="n">
        <v>17</v>
      </c>
      <c r="G73" s="33"/>
      <c r="H73" s="33" t="n">
        <v>1</v>
      </c>
      <c r="I73" s="31" t="s">
        <v>76</v>
      </c>
      <c r="J73" s="31" t="s">
        <v>119</v>
      </c>
      <c r="K73" s="31"/>
      <c r="L73" s="31"/>
      <c r="M73" s="34" t="str">
        <f aca="false">IF($E73="","",IFERROR(INDEX(tblItems[Item Code],MATCH($E73,tblItems[Item Name],0)),"?"))</f>
        <v/>
      </c>
      <c r="N73" s="34" t="str">
        <f aca="false">IF($B73="","",IFERROR(INDEX(tblShipment[Market],MATCH($B73,tblShipment[Shipment No],0)),"?"))</f>
        <v>Qatar</v>
      </c>
      <c r="O73" s="35" t="n">
        <f aca="false">N($F73)+N($G73)</f>
        <v>17</v>
      </c>
      <c r="P73" s="34" t="str">
        <f aca="false">IF($A73="","",IF($L73="Yes","VOID",IF(COUNTIFS(tblMoveTypes[Movement],$C73)=0,"Unknown movement",IF(COUNTIF(tblShipment[Shipment No],$B73)=0,"Unknown shipment",IF(AND(IFERROR(INDEX(tblMoveTypes[Item?],MATCH($C73,tblMoveTypes[Movement],0)),"?")="Yes",$E73=""),"Item needed",IF(AND(IFERROR(INDEX(tblMoveTypes[Item?],MATCH($C73,tblMoveTypes[Movement],0)),"?")="No",$E73&lt;&gt;""),"Leave Item blank",IF(AND(IFERROR(INDEX(tblMoveTypes[In / Out],MATCH($C73,tblMoveTypes[Movement],0)),"?")="IN",$G73&lt;&gt;""),"Use the In column, not Out",IF(AND(IFERROR(INDEX(tblMoveTypes[In / Out],MATCH($C73,tblMoveTypes[Movement],0)),"?")="OUT",$F73&lt;&gt;""),"Use the Out column, not In",IF(AND(IFERROR(INDEX(tblMoveTypes[Qty?],MATCH($C73,tblMoveTypes[Movement],0)),"?")="Yes",N($F73)+N($G73)&lt;=0),"Qty needed",IF(AND(IFERROR(INDEX(tblMoveTypes[Qty?],MATCH($C73,tblMoveTypes[Movement],0)),"?")="No",N($F73)+N($G73)&gt;0),"Leave In and Out blank",IF(AND(IFERROR(INDEX(tblMoveTypes[Courier?],MATCH($C73,tblMoveTypes[Movement],0)),"?")="Yes",$I73=""),"Courier needed",IF(AND(IFERROR(INDEX(tblMoveTypes[Courier?],MATCH($C73,tblMoveTypes[Movement],0)),"?")="No",$I73&lt;&gt;""),"Leave Courier blank",IF(AND(IFERROR(INDEX(tblMoveTypes[Orders?],MATCH($C73,tblMoveTypes[Movement],0)),"?")="Yes",$H73=""),"Orders needed",IF(AND(IFERROR(INDEX(tblMoveTypes[Orders?],MATCH($C73,tblMoveTypes[Movement],0)),"?")="No",$H73&lt;&gt;""),"Leave Orders blank",IF(AND(IFERROR(INDEX(tblMoveTypes[Reason?],MATCH($C73,tblMoveTypes[Movement],0)),"?")="Yes",$J73=""),"Reason needed",IF($A73&lt;_xlfn.MINIFS(tblShipment[Arrival Date],tblShipment[Shipment No],$B73),"Date before arrival",IF(AND($E73&lt;&gt;"",COUNTIFS(tblShipment[Shipment No],$B73,tblShipment[Item Name],$E73)=0),"Item not in this shipment","OK")))))))))))))))))</f>
        <v>OK</v>
      </c>
    </row>
    <row r="74" customFormat="false" ht="15" hidden="false" customHeight="false" outlineLevel="0" collapsed="false">
      <c r="A74" s="32" t="n">
        <v>46230</v>
      </c>
      <c r="B74" s="31" t="s">
        <v>159</v>
      </c>
      <c r="C74" s="31" t="s">
        <v>125</v>
      </c>
      <c r="D74" s="34" t="str">
        <f aca="false">IF($C74="","",IFERROR(IF(IFERROR(INDEX(tblMoveTypes[In / Out],MATCH($C74,tblMoveTypes[Movement],0)),"?")="IN","IN   ",IF(IFERROR(INDEX(tblMoveTypes[In / Out],MATCH($C74,tblMoveTypes[Movement],0)),"?")="OUT","OUT   ","--   "))&amp;"fill: "&amp;IF(IFERROR(INDEX(tblMoveTypes[Item?],MATCH($C74,tblMoveTypes[Movement],0)),"?")="Yes","Item  ","")&amp;IF(AND(IFERROR(INDEX(tblMoveTypes[Qty?],MATCH($C74,tblMoveTypes[Movement],0)),"?")="Yes",IFERROR(INDEX(tblMoveTypes[In / Out],MATCH($C74,tblMoveTypes[Movement],0)),"?")="IN"),"In  ","")&amp;IF(AND(IFERROR(INDEX(tblMoveTypes[Qty?],MATCH($C74,tblMoveTypes[Movement],0)),"?")="Yes",IFERROR(INDEX(tblMoveTypes[In / Out],MATCH($C74,tblMoveTypes[Movement],0)),"?")="OUT"),"Out  ","")&amp;IF(IFERROR(INDEX(tblMoveTypes[Orders?],MATCH($C74,tblMoveTypes[Movement],0)),"?")="Yes","Orders  ","")&amp;IF(IFERROR(INDEX(tblMoveTypes[Courier?],MATCH($C74,tblMoveTypes[Movement],0)),"?")="Yes","Courier  ","")&amp;IF(IFERROR(INDEX(tblMoveTypes[Reason?],MATCH($C74,tblMoveTypes[Movement],0)),"?")="Yes","Reason",""),"unknown movement"))</f>
        <v>IN   fill: Item  In  </v>
      </c>
      <c r="E74" s="31" t="s">
        <v>137</v>
      </c>
      <c r="F74" s="33" t="n">
        <v>12</v>
      </c>
      <c r="G74" s="33"/>
      <c r="H74" s="33"/>
      <c r="I74" s="31"/>
      <c r="J74" s="31"/>
      <c r="K74" s="31"/>
      <c r="L74" s="31"/>
      <c r="M74" s="34" t="str">
        <f aca="false">IF($E74="","",IFERROR(INDEX(tblItems[Item Code],MATCH($E74,tblItems[Item Name],0)),"?"))</f>
        <v>EG-FG-PER-01-02-01-01</v>
      </c>
      <c r="N74" s="34" t="str">
        <f aca="false">IF($B74="","",IFERROR(INDEX(tblShipment[Market],MATCH($B74,tblShipment[Shipment No],0)),"?"))</f>
        <v>Qatar</v>
      </c>
      <c r="O74" s="35" t="n">
        <f aca="false">N($F74)+N($G74)</f>
        <v>12</v>
      </c>
      <c r="P74" s="34" t="str">
        <f aca="false">IF($A74="","",IF($L74="Yes","VOID",IF(COUNTIFS(tblMoveTypes[Movement],$C74)=0,"Unknown movement",IF(COUNTIF(tblShipment[Shipment No],$B74)=0,"Unknown shipment",IF(AND(IFERROR(INDEX(tblMoveTypes[Item?],MATCH($C74,tblMoveTypes[Movement],0)),"?")="Yes",$E74=""),"Item needed",IF(AND(IFERROR(INDEX(tblMoveTypes[Item?],MATCH($C74,tblMoveTypes[Movement],0)),"?")="No",$E74&lt;&gt;""),"Leave Item blank",IF(AND(IFERROR(INDEX(tblMoveTypes[In / Out],MATCH($C74,tblMoveTypes[Movement],0)),"?")="IN",$G74&lt;&gt;""),"Use the In column, not Out",IF(AND(IFERROR(INDEX(tblMoveTypes[In / Out],MATCH($C74,tblMoveTypes[Movement],0)),"?")="OUT",$F74&lt;&gt;""),"Use the Out column, not In",IF(AND(IFERROR(INDEX(tblMoveTypes[Qty?],MATCH($C74,tblMoveTypes[Movement],0)),"?")="Yes",N($F74)+N($G74)&lt;=0),"Qty needed",IF(AND(IFERROR(INDEX(tblMoveTypes[Qty?],MATCH($C74,tblMoveTypes[Movement],0)),"?")="No",N($F74)+N($G74)&gt;0),"Leave In and Out blank",IF(AND(IFERROR(INDEX(tblMoveTypes[Courier?],MATCH($C74,tblMoveTypes[Movement],0)),"?")="Yes",$I74=""),"Courier needed",IF(AND(IFERROR(INDEX(tblMoveTypes[Courier?],MATCH($C74,tblMoveTypes[Movement],0)),"?")="No",$I74&lt;&gt;""),"Leave Courier blank",IF(AND(IFERROR(INDEX(tblMoveTypes[Orders?],MATCH($C74,tblMoveTypes[Movement],0)),"?")="Yes",$H74=""),"Orders needed",IF(AND(IFERROR(INDEX(tblMoveTypes[Orders?],MATCH($C74,tblMoveTypes[Movement],0)),"?")="No",$H74&lt;&gt;""),"Leave Orders blank",IF(AND(IFERROR(INDEX(tblMoveTypes[Reason?],MATCH($C74,tblMoveTypes[Movement],0)),"?")="Yes",$J74=""),"Reason needed",IF($A74&lt;_xlfn.MINIFS(tblShipment[Arrival Date],tblShipment[Shipment No],$B74),"Date before arrival",IF(AND($E74&lt;&gt;"",COUNTIFS(tblShipment[Shipment No],$B74,tblShipment[Item Name],$E74)=0),"Item not in this shipment","OK")))))))))))))))))</f>
        <v>OK</v>
      </c>
    </row>
    <row r="75" customFormat="false" ht="15" hidden="false" customHeight="false" outlineLevel="0" collapsed="false">
      <c r="A75" s="32" t="n">
        <v>46230</v>
      </c>
      <c r="B75" s="31" t="s">
        <v>159</v>
      </c>
      <c r="C75" s="31" t="s">
        <v>130</v>
      </c>
      <c r="D75" s="34" t="str">
        <f aca="false">IF($C75="","",IFERROR(IF(IFERROR(INDEX(tblMoveTypes[In / Out],MATCH($C75,tblMoveTypes[Movement],0)),"?")="IN","IN   ",IF(IFERROR(INDEX(tblMoveTypes[In / Out],MATCH($C75,tblMoveTypes[Movement],0)),"?")="OUT","OUT   ","--   "))&amp;"fill: "&amp;IF(IFERROR(INDEX(tblMoveTypes[Item?],MATCH($C75,tblMoveTypes[Movement],0)),"?")="Yes","Item  ","")&amp;IF(AND(IFERROR(INDEX(tblMoveTypes[Qty?],MATCH($C75,tblMoveTypes[Movement],0)),"?")="Yes",IFERROR(INDEX(tblMoveTypes[In / Out],MATCH($C75,tblMoveTypes[Movement],0)),"?")="IN"),"In  ","")&amp;IF(AND(IFERROR(INDEX(tblMoveTypes[Qty?],MATCH($C75,tblMoveTypes[Movement],0)),"?")="Yes",IFERROR(INDEX(tblMoveTypes[In / Out],MATCH($C75,tblMoveTypes[Movement],0)),"?")="OUT"),"Out  ","")&amp;IF(IFERROR(INDEX(tblMoveTypes[Orders?],MATCH($C75,tblMoveTypes[Movement],0)),"?")="Yes","Orders  ","")&amp;IF(IFERROR(INDEX(tblMoveTypes[Courier?],MATCH($C75,tblMoveTypes[Movement],0)),"?")="Yes","Courier  ","")&amp;IF(IFERROR(INDEX(tblMoveTypes[Reason?],MATCH($C75,tblMoveTypes[Movement],0)),"?")="Yes","Reason",""),"unknown movement"))</f>
        <v>OUT   fill: Item  Out  Reason</v>
      </c>
      <c r="E75" s="31" t="s">
        <v>137</v>
      </c>
      <c r="F75" s="33"/>
      <c r="G75" s="33" t="n">
        <v>5</v>
      </c>
      <c r="H75" s="33"/>
      <c r="I75" s="31"/>
      <c r="J75" s="31" t="s">
        <v>77</v>
      </c>
      <c r="K75" s="31"/>
      <c r="L75" s="31"/>
      <c r="M75" s="34" t="str">
        <f aca="false">IF($E75="","",IFERROR(INDEX(tblItems[Item Code],MATCH($E75,tblItems[Item Name],0)),"?"))</f>
        <v>EG-FG-PER-01-02-01-01</v>
      </c>
      <c r="N75" s="34" t="str">
        <f aca="false">IF($B75="","",IFERROR(INDEX(tblShipment[Market],MATCH($B75,tblShipment[Shipment No],0)),"?"))</f>
        <v>Qatar</v>
      </c>
      <c r="O75" s="35" t="n">
        <f aca="false">N($F75)+N($G75)</f>
        <v>5</v>
      </c>
      <c r="P75" s="34" t="str">
        <f aca="false">IF($A75="","",IF($L75="Yes","VOID",IF(COUNTIFS(tblMoveTypes[Movement],$C75)=0,"Unknown movement",IF(COUNTIF(tblShipment[Shipment No],$B75)=0,"Unknown shipment",IF(AND(IFERROR(INDEX(tblMoveTypes[Item?],MATCH($C75,tblMoveTypes[Movement],0)),"?")="Yes",$E75=""),"Item needed",IF(AND(IFERROR(INDEX(tblMoveTypes[Item?],MATCH($C75,tblMoveTypes[Movement],0)),"?")="No",$E75&lt;&gt;""),"Leave Item blank",IF(AND(IFERROR(INDEX(tblMoveTypes[In / Out],MATCH($C75,tblMoveTypes[Movement],0)),"?")="IN",$G75&lt;&gt;""),"Use the In column, not Out",IF(AND(IFERROR(INDEX(tblMoveTypes[In / Out],MATCH($C75,tblMoveTypes[Movement],0)),"?")="OUT",$F75&lt;&gt;""),"Use the Out column, not In",IF(AND(IFERROR(INDEX(tblMoveTypes[Qty?],MATCH($C75,tblMoveTypes[Movement],0)),"?")="Yes",N($F75)+N($G75)&lt;=0),"Qty needed",IF(AND(IFERROR(INDEX(tblMoveTypes[Qty?],MATCH($C75,tblMoveTypes[Movement],0)),"?")="No",N($F75)+N($G75)&gt;0),"Leave In and Out blank",IF(AND(IFERROR(INDEX(tblMoveTypes[Courier?],MATCH($C75,tblMoveTypes[Movement],0)),"?")="Yes",$I75=""),"Courier needed",IF(AND(IFERROR(INDEX(tblMoveTypes[Courier?],MATCH($C75,tblMoveTypes[Movement],0)),"?")="No",$I75&lt;&gt;""),"Leave Courier blank",IF(AND(IFERROR(INDEX(tblMoveTypes[Orders?],MATCH($C75,tblMoveTypes[Movement],0)),"?")="Yes",$H75=""),"Orders needed",IF(AND(IFERROR(INDEX(tblMoveTypes[Orders?],MATCH($C75,tblMoveTypes[Movement],0)),"?")="No",$H75&lt;&gt;""),"Leave Orders blank",IF(AND(IFERROR(INDEX(tblMoveTypes[Reason?],MATCH($C75,tblMoveTypes[Movement],0)),"?")="Yes",$J75=""),"Reason needed",IF($A75&lt;_xlfn.MINIFS(tblShipment[Arrival Date],tblShipment[Shipment No],$B75),"Date before arrival",IF(AND($E75&lt;&gt;"",COUNTIFS(tblShipment[Shipment No],$B75,tblShipment[Item Name],$E75)=0),"Item not in this shipment","OK")))))))))))))))))</f>
        <v>OK</v>
      </c>
    </row>
    <row r="76" customFormat="false" ht="15" hidden="false" customHeight="false" outlineLevel="0" collapsed="false">
      <c r="A76" s="32" t="n">
        <v>46231</v>
      </c>
      <c r="B76" s="31" t="s">
        <v>159</v>
      </c>
      <c r="C76" s="31" t="s">
        <v>115</v>
      </c>
      <c r="D76" s="34" t="str">
        <f aca="false">IF($C76="","",IFERROR(IF(IFERROR(INDEX(tblMoveTypes[In / Out],MATCH($C76,tblMoveTypes[Movement],0)),"?")="IN","IN   ",IF(IFERROR(INDEX(tblMoveTypes[In / Out],MATCH($C76,tblMoveTypes[Movement],0)),"?")="OUT","OUT   ","--   "))&amp;"fill: "&amp;IF(IFERROR(INDEX(tblMoveTypes[Item?],MATCH($C76,tblMoveTypes[Movement],0)),"?")="Yes","Item  ","")&amp;IF(AND(IFERROR(INDEX(tblMoveTypes[Qty?],MATCH($C76,tblMoveTypes[Movement],0)),"?")="Yes",IFERROR(INDEX(tblMoveTypes[In / Out],MATCH($C76,tblMoveTypes[Movement],0)),"?")="IN"),"In  ","")&amp;IF(AND(IFERROR(INDEX(tblMoveTypes[Qty?],MATCH($C76,tblMoveTypes[Movement],0)),"?")="Yes",IFERROR(INDEX(tblMoveTypes[In / Out],MATCH($C76,tblMoveTypes[Movement],0)),"?")="OUT"),"Out  ","")&amp;IF(IFERROR(INDEX(tblMoveTypes[Orders?],MATCH($C76,tblMoveTypes[Movement],0)),"?")="Yes","Orders  ","")&amp;IF(IFERROR(INDEX(tblMoveTypes[Courier?],MATCH($C76,tblMoveTypes[Movement],0)),"?")="Yes","Courier  ","")&amp;IF(IFERROR(INDEX(tblMoveTypes[Reason?],MATCH($C76,tblMoveTypes[Movement],0)),"?")="Yes","Reason",""),"unknown movement"))</f>
        <v>OUT   fill: Out  Orders  Courier  </v>
      </c>
      <c r="E76" s="31"/>
      <c r="F76" s="33"/>
      <c r="G76" s="33" t="n">
        <v>87</v>
      </c>
      <c r="H76" s="33" t="n">
        <v>35</v>
      </c>
      <c r="I76" s="31" t="s">
        <v>76</v>
      </c>
      <c r="J76" s="31"/>
      <c r="K76" s="31"/>
      <c r="L76" s="31"/>
      <c r="M76" s="34" t="str">
        <f aca="false">IF($E76="","",IFERROR(INDEX(tblItems[Item Code],MATCH($E76,tblItems[Item Name],0)),"?"))</f>
        <v/>
      </c>
      <c r="N76" s="34" t="str">
        <f aca="false">IF($B76="","",IFERROR(INDEX(tblShipment[Market],MATCH($B76,tblShipment[Shipment No],0)),"?"))</f>
        <v>Qatar</v>
      </c>
      <c r="O76" s="35" t="n">
        <f aca="false">N($F76)+N($G76)</f>
        <v>87</v>
      </c>
      <c r="P76" s="34" t="str">
        <f aca="false">IF($A76="","",IF($L76="Yes","VOID",IF(COUNTIFS(tblMoveTypes[Movement],$C76)=0,"Unknown movement",IF(COUNTIF(tblShipment[Shipment No],$B76)=0,"Unknown shipment",IF(AND(IFERROR(INDEX(tblMoveTypes[Item?],MATCH($C76,tblMoveTypes[Movement],0)),"?")="Yes",$E76=""),"Item needed",IF(AND(IFERROR(INDEX(tblMoveTypes[Item?],MATCH($C76,tblMoveTypes[Movement],0)),"?")="No",$E76&lt;&gt;""),"Leave Item blank",IF(AND(IFERROR(INDEX(tblMoveTypes[In / Out],MATCH($C76,tblMoveTypes[Movement],0)),"?")="IN",$G76&lt;&gt;""),"Use the In column, not Out",IF(AND(IFERROR(INDEX(tblMoveTypes[In / Out],MATCH($C76,tblMoveTypes[Movement],0)),"?")="OUT",$F76&lt;&gt;""),"Use the Out column, not In",IF(AND(IFERROR(INDEX(tblMoveTypes[Qty?],MATCH($C76,tblMoveTypes[Movement],0)),"?")="Yes",N($F76)+N($G76)&lt;=0),"Qty needed",IF(AND(IFERROR(INDEX(tblMoveTypes[Qty?],MATCH($C76,tblMoveTypes[Movement],0)),"?")="No",N($F76)+N($G76)&gt;0),"Leave In and Out blank",IF(AND(IFERROR(INDEX(tblMoveTypes[Courier?],MATCH($C76,tblMoveTypes[Movement],0)),"?")="Yes",$I76=""),"Courier needed",IF(AND(IFERROR(INDEX(tblMoveTypes[Courier?],MATCH($C76,tblMoveTypes[Movement],0)),"?")="No",$I76&lt;&gt;""),"Leave Courier blank",IF(AND(IFERROR(INDEX(tblMoveTypes[Orders?],MATCH($C76,tblMoveTypes[Movement],0)),"?")="Yes",$H76=""),"Orders needed",IF(AND(IFERROR(INDEX(tblMoveTypes[Orders?],MATCH($C76,tblMoveTypes[Movement],0)),"?")="No",$H76&lt;&gt;""),"Leave Orders blank",IF(AND(IFERROR(INDEX(tblMoveTypes[Reason?],MATCH($C76,tblMoveTypes[Movement],0)),"?")="Yes",$J76=""),"Reason needed",IF($A76&lt;_xlfn.MINIFS(tblShipment[Arrival Date],tblShipment[Shipment No],$B76),"Date before arrival",IF(AND($E76&lt;&gt;"",COUNTIFS(tblShipment[Shipment No],$B76,tblShipment[Item Name],$E76)=0),"Item not in this shipment","OK")))))))))))))))))</f>
        <v>OK</v>
      </c>
    </row>
    <row r="77" customFormat="false" ht="15" hidden="false" customHeight="false" outlineLevel="0" collapsed="false">
      <c r="A77" s="32" t="n">
        <v>46232</v>
      </c>
      <c r="B77" s="31" t="s">
        <v>159</v>
      </c>
      <c r="C77" s="31" t="s">
        <v>115</v>
      </c>
      <c r="D77" s="34" t="str">
        <f aca="false">IF($C77="","",IFERROR(IF(IFERROR(INDEX(tblMoveTypes[In / Out],MATCH($C77,tblMoveTypes[Movement],0)),"?")="IN","IN   ",IF(IFERROR(INDEX(tblMoveTypes[In / Out],MATCH($C77,tblMoveTypes[Movement],0)),"?")="OUT","OUT   ","--   "))&amp;"fill: "&amp;IF(IFERROR(INDEX(tblMoveTypes[Item?],MATCH($C77,tblMoveTypes[Movement],0)),"?")="Yes","Item  ","")&amp;IF(AND(IFERROR(INDEX(tblMoveTypes[Qty?],MATCH($C77,tblMoveTypes[Movement],0)),"?")="Yes",IFERROR(INDEX(tblMoveTypes[In / Out],MATCH($C77,tblMoveTypes[Movement],0)),"?")="IN"),"In  ","")&amp;IF(AND(IFERROR(INDEX(tblMoveTypes[Qty?],MATCH($C77,tblMoveTypes[Movement],0)),"?")="Yes",IFERROR(INDEX(tblMoveTypes[In / Out],MATCH($C77,tblMoveTypes[Movement],0)),"?")="OUT"),"Out  ","")&amp;IF(IFERROR(INDEX(tblMoveTypes[Orders?],MATCH($C77,tblMoveTypes[Movement],0)),"?")="Yes","Orders  ","")&amp;IF(IFERROR(INDEX(tblMoveTypes[Courier?],MATCH($C77,tblMoveTypes[Movement],0)),"?")="Yes","Courier  ","")&amp;IF(IFERROR(INDEX(tblMoveTypes[Reason?],MATCH($C77,tblMoveTypes[Movement],0)),"?")="Yes","Reason",""),"unknown movement"))</f>
        <v>OUT   fill: Out  Orders  Courier  </v>
      </c>
      <c r="E77" s="31"/>
      <c r="F77" s="33"/>
      <c r="G77" s="33" t="n">
        <v>73</v>
      </c>
      <c r="H77" s="33" t="n">
        <v>29</v>
      </c>
      <c r="I77" s="31" t="s">
        <v>76</v>
      </c>
      <c r="J77" s="31"/>
      <c r="K77" s="31"/>
      <c r="L77" s="31"/>
      <c r="M77" s="34" t="str">
        <f aca="false">IF($E77="","",IFERROR(INDEX(tblItems[Item Code],MATCH($E77,tblItems[Item Name],0)),"?"))</f>
        <v/>
      </c>
      <c r="N77" s="34" t="str">
        <f aca="false">IF($B77="","",IFERROR(INDEX(tblShipment[Market],MATCH($B77,tblShipment[Shipment No],0)),"?"))</f>
        <v>Qatar</v>
      </c>
      <c r="O77" s="35" t="n">
        <f aca="false">N($F77)+N($G77)</f>
        <v>73</v>
      </c>
      <c r="P77" s="34" t="str">
        <f aca="false">IF($A77="","",IF($L77="Yes","VOID",IF(COUNTIFS(tblMoveTypes[Movement],$C77)=0,"Unknown movement",IF(COUNTIF(tblShipment[Shipment No],$B77)=0,"Unknown shipment",IF(AND(IFERROR(INDEX(tblMoveTypes[Item?],MATCH($C77,tblMoveTypes[Movement],0)),"?")="Yes",$E77=""),"Item needed",IF(AND(IFERROR(INDEX(tblMoveTypes[Item?],MATCH($C77,tblMoveTypes[Movement],0)),"?")="No",$E77&lt;&gt;""),"Leave Item blank",IF(AND(IFERROR(INDEX(tblMoveTypes[In / Out],MATCH($C77,tblMoveTypes[Movement],0)),"?")="IN",$G77&lt;&gt;""),"Use the In column, not Out",IF(AND(IFERROR(INDEX(tblMoveTypes[In / Out],MATCH($C77,tblMoveTypes[Movement],0)),"?")="OUT",$F77&lt;&gt;""),"Use the Out column, not In",IF(AND(IFERROR(INDEX(tblMoveTypes[Qty?],MATCH($C77,tblMoveTypes[Movement],0)),"?")="Yes",N($F77)+N($G77)&lt;=0),"Qty needed",IF(AND(IFERROR(INDEX(tblMoveTypes[Qty?],MATCH($C77,tblMoveTypes[Movement],0)),"?")="No",N($F77)+N($G77)&gt;0),"Leave In and Out blank",IF(AND(IFERROR(INDEX(tblMoveTypes[Courier?],MATCH($C77,tblMoveTypes[Movement],0)),"?")="Yes",$I77=""),"Courier needed",IF(AND(IFERROR(INDEX(tblMoveTypes[Courier?],MATCH($C77,tblMoveTypes[Movement],0)),"?")="No",$I77&lt;&gt;""),"Leave Courier blank",IF(AND(IFERROR(INDEX(tblMoveTypes[Orders?],MATCH($C77,tblMoveTypes[Movement],0)),"?")="Yes",$H77=""),"Orders needed",IF(AND(IFERROR(INDEX(tblMoveTypes[Orders?],MATCH($C77,tblMoveTypes[Movement],0)),"?")="No",$H77&lt;&gt;""),"Leave Orders blank",IF(AND(IFERROR(INDEX(tblMoveTypes[Reason?],MATCH($C77,tblMoveTypes[Movement],0)),"?")="Yes",$J77=""),"Reason needed",IF($A77&lt;_xlfn.MINIFS(tblShipment[Arrival Date],tblShipment[Shipment No],$B77),"Date before arrival",IF(AND($E77&lt;&gt;"",COUNTIFS(tblShipment[Shipment No],$B77,tblShipment[Item Name],$E77)=0),"Item not in this shipment","OK")))))))))))))))))</f>
        <v>OK</v>
      </c>
    </row>
    <row r="78" customFormat="false" ht="15" hidden="false" customHeight="false" outlineLevel="0" collapsed="false">
      <c r="A78" s="32" t="n">
        <v>46232</v>
      </c>
      <c r="B78" s="31" t="s">
        <v>160</v>
      </c>
      <c r="C78" s="31" t="s">
        <v>79</v>
      </c>
      <c r="D78" s="34" t="str">
        <f aca="false">IF($C78="","",IFERROR(IF(IFERROR(INDEX(tblMoveTypes[In / Out],MATCH($C78,tblMoveTypes[Movement],0)),"?")="IN","IN   ",IF(IFERROR(INDEX(tblMoveTypes[In / Out],MATCH($C78,tblMoveTypes[Movement],0)),"?")="OUT","OUT   ","--   "))&amp;"fill: "&amp;IF(IFERROR(INDEX(tblMoveTypes[Item?],MATCH($C78,tblMoveTypes[Movement],0)),"?")="Yes","Item  ","")&amp;IF(AND(IFERROR(INDEX(tblMoveTypes[Qty?],MATCH($C78,tblMoveTypes[Movement],0)),"?")="Yes",IFERROR(INDEX(tblMoveTypes[In / Out],MATCH($C78,tblMoveTypes[Movement],0)),"?")="IN"),"In  ","")&amp;IF(AND(IFERROR(INDEX(tblMoveTypes[Qty?],MATCH($C78,tblMoveTypes[Movement],0)),"?")="Yes",IFERROR(INDEX(tblMoveTypes[In / Out],MATCH($C78,tblMoveTypes[Movement],0)),"?")="OUT"),"Out  ","")&amp;IF(IFERROR(INDEX(tblMoveTypes[Orders?],MATCH($C78,tblMoveTypes[Movement],0)),"?")="Yes","Orders  ","")&amp;IF(IFERROR(INDEX(tblMoveTypes[Courier?],MATCH($C78,tblMoveTypes[Movement],0)),"?")="Yes","Courier  ","")&amp;IF(IFERROR(INDEX(tblMoveTypes[Reason?],MATCH($C78,tblMoveTypes[Movement],0)),"?")="Yes","Reason",""),"unknown movement"))</f>
        <v>IN   fill: Item  In  </v>
      </c>
      <c r="E78" s="31" t="s">
        <v>95</v>
      </c>
      <c r="F78" s="33" t="n">
        <v>45</v>
      </c>
      <c r="G78" s="33"/>
      <c r="H78" s="33"/>
      <c r="I78" s="31"/>
      <c r="J78" s="31"/>
      <c r="K78" s="31"/>
      <c r="L78" s="31"/>
      <c r="M78" s="34" t="str">
        <f aca="false">IF($E78="","",IFERROR(INDEX(tblItems[Item Code],MATCH($E78,tblItems[Item Name],0)),"?"))</f>
        <v>EG-FG-GUV-01-02-01-01</v>
      </c>
      <c r="N78" s="34" t="str">
        <f aca="false">IF($B78="","",IFERROR(INDEX(tblShipment[Market],MATCH($B78,tblShipment[Shipment No],0)),"?"))</f>
        <v>Qatar</v>
      </c>
      <c r="O78" s="35" t="n">
        <f aca="false">N($F78)+N($G78)</f>
        <v>45</v>
      </c>
      <c r="P78" s="34" t="str">
        <f aca="false">IF($A78="","",IF($L78="Yes","VOID",IF(COUNTIFS(tblMoveTypes[Movement],$C78)=0,"Unknown movement",IF(COUNTIF(tblShipment[Shipment No],$B78)=0,"Unknown shipment",IF(AND(IFERROR(INDEX(tblMoveTypes[Item?],MATCH($C78,tblMoveTypes[Movement],0)),"?")="Yes",$E78=""),"Item needed",IF(AND(IFERROR(INDEX(tblMoveTypes[Item?],MATCH($C78,tblMoveTypes[Movement],0)),"?")="No",$E78&lt;&gt;""),"Leave Item blank",IF(AND(IFERROR(INDEX(tblMoveTypes[In / Out],MATCH($C78,tblMoveTypes[Movement],0)),"?")="IN",$G78&lt;&gt;""),"Use the In column, not Out",IF(AND(IFERROR(INDEX(tblMoveTypes[In / Out],MATCH($C78,tblMoveTypes[Movement],0)),"?")="OUT",$F78&lt;&gt;""),"Use the Out column, not In",IF(AND(IFERROR(INDEX(tblMoveTypes[Qty?],MATCH($C78,tblMoveTypes[Movement],0)),"?")="Yes",N($F78)+N($G78)&lt;=0),"Qty needed",IF(AND(IFERROR(INDEX(tblMoveTypes[Qty?],MATCH($C78,tblMoveTypes[Movement],0)),"?")="No",N($F78)+N($G78)&gt;0),"Leave In and Out blank",IF(AND(IFERROR(INDEX(tblMoveTypes[Courier?],MATCH($C78,tblMoveTypes[Movement],0)),"?")="Yes",$I78=""),"Courier needed",IF(AND(IFERROR(INDEX(tblMoveTypes[Courier?],MATCH($C78,tblMoveTypes[Movement],0)),"?")="No",$I78&lt;&gt;""),"Leave Courier blank",IF(AND(IFERROR(INDEX(tblMoveTypes[Orders?],MATCH($C78,tblMoveTypes[Movement],0)),"?")="Yes",$H78=""),"Orders needed",IF(AND(IFERROR(INDEX(tblMoveTypes[Orders?],MATCH($C78,tblMoveTypes[Movement],0)),"?")="No",$H78&lt;&gt;""),"Leave Orders blank",IF(AND(IFERROR(INDEX(tblMoveTypes[Reason?],MATCH($C78,tblMoveTypes[Movement],0)),"?")="Yes",$J78=""),"Reason needed",IF($A78&lt;_xlfn.MINIFS(tblShipment[Arrival Date],tblShipment[Shipment No],$B78),"Date before arrival",IF(AND($E78&lt;&gt;"",COUNTIFS(tblShipment[Shipment No],$B78,tblShipment[Item Name],$E78)=0),"Item not in this shipment","OK")))))))))))))))))</f>
        <v>OK</v>
      </c>
    </row>
    <row r="79" customFormat="false" ht="15" hidden="false" customHeight="false" outlineLevel="0" collapsed="false">
      <c r="A79" s="32" t="n">
        <v>46232</v>
      </c>
      <c r="B79" s="31" t="s">
        <v>160</v>
      </c>
      <c r="C79" s="31" t="s">
        <v>78</v>
      </c>
      <c r="D79" s="34" t="str">
        <f aca="false">IF($C79="","",IFERROR(IF(IFERROR(INDEX(tblMoveTypes[In / Out],MATCH($C79,tblMoveTypes[Movement],0)),"?")="IN","IN   ",IF(IFERROR(INDEX(tblMoveTypes[In / Out],MATCH($C79,tblMoveTypes[Movement],0)),"?")="OUT","OUT   ","--   "))&amp;"fill: "&amp;IF(IFERROR(INDEX(tblMoveTypes[Item?],MATCH($C79,tblMoveTypes[Movement],0)),"?")="Yes","Item  ","")&amp;IF(AND(IFERROR(INDEX(tblMoveTypes[Qty?],MATCH($C79,tblMoveTypes[Movement],0)),"?")="Yes",IFERROR(INDEX(tblMoveTypes[In / Out],MATCH($C79,tblMoveTypes[Movement],0)),"?")="IN"),"In  ","")&amp;IF(AND(IFERROR(INDEX(tblMoveTypes[Qty?],MATCH($C79,tblMoveTypes[Movement],0)),"?")="Yes",IFERROR(INDEX(tblMoveTypes[In / Out],MATCH($C79,tblMoveTypes[Movement],0)),"?")="OUT"),"Out  ","")&amp;IF(IFERROR(INDEX(tblMoveTypes[Orders?],MATCH($C79,tblMoveTypes[Movement],0)),"?")="Yes","Orders  ","")&amp;IF(IFERROR(INDEX(tblMoveTypes[Courier?],MATCH($C79,tblMoveTypes[Movement],0)),"?")="Yes","Courier  ","")&amp;IF(IFERROR(INDEX(tblMoveTypes[Reason?],MATCH($C79,tblMoveTypes[Movement],0)),"?")="Yes","Reason",""),"unknown movement"))</f>
        <v>OUT   fill: Item  Out  Reason</v>
      </c>
      <c r="E79" s="31" t="s">
        <v>95</v>
      </c>
      <c r="F79" s="33"/>
      <c r="G79" s="33" t="n">
        <v>1</v>
      </c>
      <c r="H79" s="33"/>
      <c r="I79" s="31"/>
      <c r="J79" s="31" t="s">
        <v>77</v>
      </c>
      <c r="K79" s="31"/>
      <c r="L79" s="31"/>
      <c r="M79" s="34" t="str">
        <f aca="false">IF($E79="","",IFERROR(INDEX(tblItems[Item Code],MATCH($E79,tblItems[Item Name],0)),"?"))</f>
        <v>EG-FG-GUV-01-02-01-01</v>
      </c>
      <c r="N79" s="34" t="str">
        <f aca="false">IF($B79="","",IFERROR(INDEX(tblShipment[Market],MATCH($B79,tblShipment[Shipment No],0)),"?"))</f>
        <v>Qatar</v>
      </c>
      <c r="O79" s="35" t="n">
        <f aca="false">N($F79)+N($G79)</f>
        <v>1</v>
      </c>
      <c r="P79" s="34" t="str">
        <f aca="false">IF($A79="","",IF($L79="Yes","VOID",IF(COUNTIFS(tblMoveTypes[Movement],$C79)=0,"Unknown movement",IF(COUNTIF(tblShipment[Shipment No],$B79)=0,"Unknown shipment",IF(AND(IFERROR(INDEX(tblMoveTypes[Item?],MATCH($C79,tblMoveTypes[Movement],0)),"?")="Yes",$E79=""),"Item needed",IF(AND(IFERROR(INDEX(tblMoveTypes[Item?],MATCH($C79,tblMoveTypes[Movement],0)),"?")="No",$E79&lt;&gt;""),"Leave Item blank",IF(AND(IFERROR(INDEX(tblMoveTypes[In / Out],MATCH($C79,tblMoveTypes[Movement],0)),"?")="IN",$G79&lt;&gt;""),"Use the In column, not Out",IF(AND(IFERROR(INDEX(tblMoveTypes[In / Out],MATCH($C79,tblMoveTypes[Movement],0)),"?")="OUT",$F79&lt;&gt;""),"Use the Out column, not In",IF(AND(IFERROR(INDEX(tblMoveTypes[Qty?],MATCH($C79,tblMoveTypes[Movement],0)),"?")="Yes",N($F79)+N($G79)&lt;=0),"Qty needed",IF(AND(IFERROR(INDEX(tblMoveTypes[Qty?],MATCH($C79,tblMoveTypes[Movement],0)),"?")="No",N($F79)+N($G79)&gt;0),"Leave In and Out blank",IF(AND(IFERROR(INDEX(tblMoveTypes[Courier?],MATCH($C79,tblMoveTypes[Movement],0)),"?")="Yes",$I79=""),"Courier needed",IF(AND(IFERROR(INDEX(tblMoveTypes[Courier?],MATCH($C79,tblMoveTypes[Movement],0)),"?")="No",$I79&lt;&gt;""),"Leave Courier blank",IF(AND(IFERROR(INDEX(tblMoveTypes[Orders?],MATCH($C79,tblMoveTypes[Movement],0)),"?")="Yes",$H79=""),"Orders needed",IF(AND(IFERROR(INDEX(tblMoveTypes[Orders?],MATCH($C79,tblMoveTypes[Movement],0)),"?")="No",$H79&lt;&gt;""),"Leave Orders blank",IF(AND(IFERROR(INDEX(tblMoveTypes[Reason?],MATCH($C79,tblMoveTypes[Movement],0)),"?")="Yes",$J79=""),"Reason needed",IF($A79&lt;_xlfn.MINIFS(tblShipment[Arrival Date],tblShipment[Shipment No],$B79),"Date before arrival",IF(AND($E79&lt;&gt;"",COUNTIFS(tblShipment[Shipment No],$B79,tblShipment[Item Name],$E79)=0),"Item not in this shipment","OK")))))))))))))))))</f>
        <v>OK</v>
      </c>
    </row>
    <row r="80" customFormat="false" ht="15" hidden="false" customHeight="false" outlineLevel="0" collapsed="false">
      <c r="A80" s="32" t="n">
        <v>46232</v>
      </c>
      <c r="B80" s="31" t="s">
        <v>160</v>
      </c>
      <c r="C80" s="31" t="s">
        <v>79</v>
      </c>
      <c r="D80" s="34" t="str">
        <f aca="false">IF($C80="","",IFERROR(IF(IFERROR(INDEX(tblMoveTypes[In / Out],MATCH($C80,tblMoveTypes[Movement],0)),"?")="IN","IN   ",IF(IFERROR(INDEX(tblMoveTypes[In / Out],MATCH($C80,tblMoveTypes[Movement],0)),"?")="OUT","OUT   ","--   "))&amp;"fill: "&amp;IF(IFERROR(INDEX(tblMoveTypes[Item?],MATCH($C80,tblMoveTypes[Movement],0)),"?")="Yes","Item  ","")&amp;IF(AND(IFERROR(INDEX(tblMoveTypes[Qty?],MATCH($C80,tblMoveTypes[Movement],0)),"?")="Yes",IFERROR(INDEX(tblMoveTypes[In / Out],MATCH($C80,tblMoveTypes[Movement],0)),"?")="IN"),"In  ","")&amp;IF(AND(IFERROR(INDEX(tblMoveTypes[Qty?],MATCH($C80,tblMoveTypes[Movement],0)),"?")="Yes",IFERROR(INDEX(tblMoveTypes[In / Out],MATCH($C80,tblMoveTypes[Movement],0)),"?")="OUT"),"Out  ","")&amp;IF(IFERROR(INDEX(tblMoveTypes[Orders?],MATCH($C80,tblMoveTypes[Movement],0)),"?")="Yes","Orders  ","")&amp;IF(IFERROR(INDEX(tblMoveTypes[Courier?],MATCH($C80,tblMoveTypes[Movement],0)),"?")="Yes","Courier  ","")&amp;IF(IFERROR(INDEX(tblMoveTypes[Reason?],MATCH($C80,tblMoveTypes[Movement],0)),"?")="Yes","Reason",""),"unknown movement"))</f>
        <v>IN   fill: Item  In  </v>
      </c>
      <c r="E80" s="31" t="s">
        <v>122</v>
      </c>
      <c r="F80" s="33" t="n">
        <v>20</v>
      </c>
      <c r="G80" s="33"/>
      <c r="H80" s="33"/>
      <c r="I80" s="31"/>
      <c r="J80" s="31"/>
      <c r="K80" s="31"/>
      <c r="L80" s="31"/>
      <c r="M80" s="34" t="str">
        <f aca="false">IF($E80="","",IFERROR(INDEX(tblItems[Item Code],MATCH($E80,tblItems[Item Name],0)),"?"))</f>
        <v>EG-FG-GRP-01-02-01-01</v>
      </c>
      <c r="N80" s="34" t="str">
        <f aca="false">IF($B80="","",IFERROR(INDEX(tblShipment[Market],MATCH($B80,tblShipment[Shipment No],0)),"?"))</f>
        <v>Qatar</v>
      </c>
      <c r="O80" s="35" t="n">
        <f aca="false">N($F80)+N($G80)</f>
        <v>20</v>
      </c>
      <c r="P80" s="34" t="str">
        <f aca="false">IF($A80="","",IF($L80="Yes","VOID",IF(COUNTIFS(tblMoveTypes[Movement],$C80)=0,"Unknown movement",IF(COUNTIF(tblShipment[Shipment No],$B80)=0,"Unknown shipment",IF(AND(IFERROR(INDEX(tblMoveTypes[Item?],MATCH($C80,tblMoveTypes[Movement],0)),"?")="Yes",$E80=""),"Item needed",IF(AND(IFERROR(INDEX(tblMoveTypes[Item?],MATCH($C80,tblMoveTypes[Movement],0)),"?")="No",$E80&lt;&gt;""),"Leave Item blank",IF(AND(IFERROR(INDEX(tblMoveTypes[In / Out],MATCH($C80,tblMoveTypes[Movement],0)),"?")="IN",$G80&lt;&gt;""),"Use the In column, not Out",IF(AND(IFERROR(INDEX(tblMoveTypes[In / Out],MATCH($C80,tblMoveTypes[Movement],0)),"?")="OUT",$F80&lt;&gt;""),"Use the Out column, not In",IF(AND(IFERROR(INDEX(tblMoveTypes[Qty?],MATCH($C80,tblMoveTypes[Movement],0)),"?")="Yes",N($F80)+N($G80)&lt;=0),"Qty needed",IF(AND(IFERROR(INDEX(tblMoveTypes[Qty?],MATCH($C80,tblMoveTypes[Movement],0)),"?")="No",N($F80)+N($G80)&gt;0),"Leave In and Out blank",IF(AND(IFERROR(INDEX(tblMoveTypes[Courier?],MATCH($C80,tblMoveTypes[Movement],0)),"?")="Yes",$I80=""),"Courier needed",IF(AND(IFERROR(INDEX(tblMoveTypes[Courier?],MATCH($C80,tblMoveTypes[Movement],0)),"?")="No",$I80&lt;&gt;""),"Leave Courier blank",IF(AND(IFERROR(INDEX(tblMoveTypes[Orders?],MATCH($C80,tblMoveTypes[Movement],0)),"?")="Yes",$H80=""),"Orders needed",IF(AND(IFERROR(INDEX(tblMoveTypes[Orders?],MATCH($C80,tblMoveTypes[Movement],0)),"?")="No",$H80&lt;&gt;""),"Leave Orders blank",IF(AND(IFERROR(INDEX(tblMoveTypes[Reason?],MATCH($C80,tblMoveTypes[Movement],0)),"?")="Yes",$J80=""),"Reason needed",IF($A80&lt;_xlfn.MINIFS(tblShipment[Arrival Date],tblShipment[Shipment No],$B80),"Date before arrival",IF(AND($E80&lt;&gt;"",COUNTIFS(tblShipment[Shipment No],$B80,tblShipment[Item Name],$E80)=0),"Item not in this shipment","OK")))))))))))))))))</f>
        <v>OK</v>
      </c>
    </row>
    <row r="81" customFormat="false" ht="15" hidden="false" customHeight="false" outlineLevel="0" collapsed="false">
      <c r="A81" s="32" t="n">
        <v>46232</v>
      </c>
      <c r="B81" s="31" t="s">
        <v>160</v>
      </c>
      <c r="C81" s="31" t="s">
        <v>79</v>
      </c>
      <c r="D81" s="34" t="str">
        <f aca="false">IF($C81="","",IFERROR(IF(IFERROR(INDEX(tblMoveTypes[In / Out],MATCH($C81,tblMoveTypes[Movement],0)),"?")="IN","IN   ",IF(IFERROR(INDEX(tblMoveTypes[In / Out],MATCH($C81,tblMoveTypes[Movement],0)),"?")="OUT","OUT   ","--   "))&amp;"fill: "&amp;IF(IFERROR(INDEX(tblMoveTypes[Item?],MATCH($C81,tblMoveTypes[Movement],0)),"?")="Yes","Item  ","")&amp;IF(AND(IFERROR(INDEX(tblMoveTypes[Qty?],MATCH($C81,tblMoveTypes[Movement],0)),"?")="Yes",IFERROR(INDEX(tblMoveTypes[In / Out],MATCH($C81,tblMoveTypes[Movement],0)),"?")="IN"),"In  ","")&amp;IF(AND(IFERROR(INDEX(tblMoveTypes[Qty?],MATCH($C81,tblMoveTypes[Movement],0)),"?")="Yes",IFERROR(INDEX(tblMoveTypes[In / Out],MATCH($C81,tblMoveTypes[Movement],0)),"?")="OUT"),"Out  ","")&amp;IF(IFERROR(INDEX(tblMoveTypes[Orders?],MATCH($C81,tblMoveTypes[Movement],0)),"?")="Yes","Orders  ","")&amp;IF(IFERROR(INDEX(tblMoveTypes[Courier?],MATCH($C81,tblMoveTypes[Movement],0)),"?")="Yes","Courier  ","")&amp;IF(IFERROR(INDEX(tblMoveTypes[Reason?],MATCH($C81,tblMoveTypes[Movement],0)),"?")="Yes","Reason",""),"unknown movement"))</f>
        <v>IN   fill: Item  In  </v>
      </c>
      <c r="E81" s="31" t="s">
        <v>84</v>
      </c>
      <c r="F81" s="33" t="n">
        <v>80</v>
      </c>
      <c r="G81" s="33"/>
      <c r="H81" s="33"/>
      <c r="I81" s="31"/>
      <c r="J81" s="31"/>
      <c r="K81" s="31"/>
      <c r="L81" s="31"/>
      <c r="M81" s="34" t="str">
        <f aca="false">IF($E81="","",IFERROR(INDEX(tblItems[Item Code],MATCH($E81,tblItems[Item Name],0)),"?"))</f>
        <v>EG-FG-MNG-12-02-01-01</v>
      </c>
      <c r="N81" s="34" t="str">
        <f aca="false">IF($B81="","",IFERROR(INDEX(tblShipment[Market],MATCH($B81,tblShipment[Shipment No],0)),"?"))</f>
        <v>Qatar</v>
      </c>
      <c r="O81" s="35" t="n">
        <f aca="false">N($F81)+N($G81)</f>
        <v>80</v>
      </c>
      <c r="P81" s="34" t="str">
        <f aca="false">IF($A81="","",IF($L81="Yes","VOID",IF(COUNTIFS(tblMoveTypes[Movement],$C81)=0,"Unknown movement",IF(COUNTIF(tblShipment[Shipment No],$B81)=0,"Unknown shipment",IF(AND(IFERROR(INDEX(tblMoveTypes[Item?],MATCH($C81,tblMoveTypes[Movement],0)),"?")="Yes",$E81=""),"Item needed",IF(AND(IFERROR(INDEX(tblMoveTypes[Item?],MATCH($C81,tblMoveTypes[Movement],0)),"?")="No",$E81&lt;&gt;""),"Leave Item blank",IF(AND(IFERROR(INDEX(tblMoveTypes[In / Out],MATCH($C81,tblMoveTypes[Movement],0)),"?")="IN",$G81&lt;&gt;""),"Use the In column, not Out",IF(AND(IFERROR(INDEX(tblMoveTypes[In / Out],MATCH($C81,tblMoveTypes[Movement],0)),"?")="OUT",$F81&lt;&gt;""),"Use the Out column, not In",IF(AND(IFERROR(INDEX(tblMoveTypes[Qty?],MATCH($C81,tblMoveTypes[Movement],0)),"?")="Yes",N($F81)+N($G81)&lt;=0),"Qty needed",IF(AND(IFERROR(INDEX(tblMoveTypes[Qty?],MATCH($C81,tblMoveTypes[Movement],0)),"?")="No",N($F81)+N($G81)&gt;0),"Leave In and Out blank",IF(AND(IFERROR(INDEX(tblMoveTypes[Courier?],MATCH($C81,tblMoveTypes[Movement],0)),"?")="Yes",$I81=""),"Courier needed",IF(AND(IFERROR(INDEX(tblMoveTypes[Courier?],MATCH($C81,tblMoveTypes[Movement],0)),"?")="No",$I81&lt;&gt;""),"Leave Courier blank",IF(AND(IFERROR(INDEX(tblMoveTypes[Orders?],MATCH($C81,tblMoveTypes[Movement],0)),"?")="Yes",$H81=""),"Orders needed",IF(AND(IFERROR(INDEX(tblMoveTypes[Orders?],MATCH($C81,tblMoveTypes[Movement],0)),"?")="No",$H81&lt;&gt;""),"Leave Orders blank",IF(AND(IFERROR(INDEX(tblMoveTypes[Reason?],MATCH($C81,tblMoveTypes[Movement],0)),"?")="Yes",$J81=""),"Reason needed",IF($A81&lt;_xlfn.MINIFS(tblShipment[Arrival Date],tblShipment[Shipment No],$B81),"Date before arrival",IF(AND($E81&lt;&gt;"",COUNTIFS(tblShipment[Shipment No],$B81,tblShipment[Item Name],$E81)=0),"Item not in this shipment","OK")))))))))))))))))</f>
        <v>OK</v>
      </c>
    </row>
    <row r="82" customFormat="false" ht="15" hidden="false" customHeight="false" outlineLevel="0" collapsed="false">
      <c r="A82" s="32" t="n">
        <v>46232</v>
      </c>
      <c r="B82" s="31" t="s">
        <v>160</v>
      </c>
      <c r="C82" s="31" t="s">
        <v>78</v>
      </c>
      <c r="D82" s="34" t="str">
        <f aca="false">IF($C82="","",IFERROR(IF(IFERROR(INDEX(tblMoveTypes[In / Out],MATCH($C82,tblMoveTypes[Movement],0)),"?")="IN","IN   ",IF(IFERROR(INDEX(tblMoveTypes[In / Out],MATCH($C82,tblMoveTypes[Movement],0)),"?")="OUT","OUT   ","--   "))&amp;"fill: "&amp;IF(IFERROR(INDEX(tblMoveTypes[Item?],MATCH($C82,tblMoveTypes[Movement],0)),"?")="Yes","Item  ","")&amp;IF(AND(IFERROR(INDEX(tblMoveTypes[Qty?],MATCH($C82,tblMoveTypes[Movement],0)),"?")="Yes",IFERROR(INDEX(tblMoveTypes[In / Out],MATCH($C82,tblMoveTypes[Movement],0)),"?")="IN"),"In  ","")&amp;IF(AND(IFERROR(INDEX(tblMoveTypes[Qty?],MATCH($C82,tblMoveTypes[Movement],0)),"?")="Yes",IFERROR(INDEX(tblMoveTypes[In / Out],MATCH($C82,tblMoveTypes[Movement],0)),"?")="OUT"),"Out  ","")&amp;IF(IFERROR(INDEX(tblMoveTypes[Orders?],MATCH($C82,tblMoveTypes[Movement],0)),"?")="Yes","Orders  ","")&amp;IF(IFERROR(INDEX(tblMoveTypes[Courier?],MATCH($C82,tblMoveTypes[Movement],0)),"?")="Yes","Courier  ","")&amp;IF(IFERROR(INDEX(tblMoveTypes[Reason?],MATCH($C82,tblMoveTypes[Movement],0)),"?")="Yes","Reason",""),"unknown movement"))</f>
        <v>OUT   fill: Item  Out  Reason</v>
      </c>
      <c r="E82" s="31" t="s">
        <v>84</v>
      </c>
      <c r="F82" s="33"/>
      <c r="G82" s="33" t="n">
        <v>1</v>
      </c>
      <c r="H82" s="33"/>
      <c r="I82" s="31"/>
      <c r="J82" s="31" t="s">
        <v>77</v>
      </c>
      <c r="K82" s="31"/>
      <c r="L82" s="31"/>
      <c r="M82" s="34" t="str">
        <f aca="false">IF($E82="","",IFERROR(INDEX(tblItems[Item Code],MATCH($E82,tblItems[Item Name],0)),"?"))</f>
        <v>EG-FG-MNG-12-02-01-01</v>
      </c>
      <c r="N82" s="34" t="str">
        <f aca="false">IF($B82="","",IFERROR(INDEX(tblShipment[Market],MATCH($B82,tblShipment[Shipment No],0)),"?"))</f>
        <v>Qatar</v>
      </c>
      <c r="O82" s="35" t="n">
        <f aca="false">N($F82)+N($G82)</f>
        <v>1</v>
      </c>
      <c r="P82" s="34" t="str">
        <f aca="false">IF($A82="","",IF($L82="Yes","VOID",IF(COUNTIFS(tblMoveTypes[Movement],$C82)=0,"Unknown movement",IF(COUNTIF(tblShipment[Shipment No],$B82)=0,"Unknown shipment",IF(AND(IFERROR(INDEX(tblMoveTypes[Item?],MATCH($C82,tblMoveTypes[Movement],0)),"?")="Yes",$E82=""),"Item needed",IF(AND(IFERROR(INDEX(tblMoveTypes[Item?],MATCH($C82,tblMoveTypes[Movement],0)),"?")="No",$E82&lt;&gt;""),"Leave Item blank",IF(AND(IFERROR(INDEX(tblMoveTypes[In / Out],MATCH($C82,tblMoveTypes[Movement],0)),"?")="IN",$G82&lt;&gt;""),"Use the In column, not Out",IF(AND(IFERROR(INDEX(tblMoveTypes[In / Out],MATCH($C82,tblMoveTypes[Movement],0)),"?")="OUT",$F82&lt;&gt;""),"Use the Out column, not In",IF(AND(IFERROR(INDEX(tblMoveTypes[Qty?],MATCH($C82,tblMoveTypes[Movement],0)),"?")="Yes",N($F82)+N($G82)&lt;=0),"Qty needed",IF(AND(IFERROR(INDEX(tblMoveTypes[Qty?],MATCH($C82,tblMoveTypes[Movement],0)),"?")="No",N($F82)+N($G82)&gt;0),"Leave In and Out blank",IF(AND(IFERROR(INDEX(tblMoveTypes[Courier?],MATCH($C82,tblMoveTypes[Movement],0)),"?")="Yes",$I82=""),"Courier needed",IF(AND(IFERROR(INDEX(tblMoveTypes[Courier?],MATCH($C82,tblMoveTypes[Movement],0)),"?")="No",$I82&lt;&gt;""),"Leave Courier blank",IF(AND(IFERROR(INDEX(tblMoveTypes[Orders?],MATCH($C82,tblMoveTypes[Movement],0)),"?")="Yes",$H82=""),"Orders needed",IF(AND(IFERROR(INDEX(tblMoveTypes[Orders?],MATCH($C82,tblMoveTypes[Movement],0)),"?")="No",$H82&lt;&gt;""),"Leave Orders blank",IF(AND(IFERROR(INDEX(tblMoveTypes[Reason?],MATCH($C82,tblMoveTypes[Movement],0)),"?")="Yes",$J82=""),"Reason needed",IF($A82&lt;_xlfn.MINIFS(tblShipment[Arrival Date],tblShipment[Shipment No],$B82),"Date before arrival",IF(AND($E82&lt;&gt;"",COUNTIFS(tblShipment[Shipment No],$B82,tblShipment[Item Name],$E82)=0),"Item not in this shipment","OK")))))))))))))))))</f>
        <v>OK</v>
      </c>
    </row>
    <row r="83" customFormat="false" ht="15" hidden="false" customHeight="false" outlineLevel="0" collapsed="false">
      <c r="A83" s="32" t="n">
        <v>46232</v>
      </c>
      <c r="B83" s="31" t="s">
        <v>160</v>
      </c>
      <c r="C83" s="31" t="s">
        <v>79</v>
      </c>
      <c r="D83" s="34" t="str">
        <f aca="false">IF($C83="","",IFERROR(IF(IFERROR(INDEX(tblMoveTypes[In / Out],MATCH($C83,tblMoveTypes[Movement],0)),"?")="IN","IN   ",IF(IFERROR(INDEX(tblMoveTypes[In / Out],MATCH($C83,tblMoveTypes[Movement],0)),"?")="OUT","OUT   ","--   "))&amp;"fill: "&amp;IF(IFERROR(INDEX(tblMoveTypes[Item?],MATCH($C83,tblMoveTypes[Movement],0)),"?")="Yes","Item  ","")&amp;IF(AND(IFERROR(INDEX(tblMoveTypes[Qty?],MATCH($C83,tblMoveTypes[Movement],0)),"?")="Yes",IFERROR(INDEX(tblMoveTypes[In / Out],MATCH($C83,tblMoveTypes[Movement],0)),"?")="IN"),"In  ","")&amp;IF(AND(IFERROR(INDEX(tblMoveTypes[Qty?],MATCH($C83,tblMoveTypes[Movement],0)),"?")="Yes",IFERROR(INDEX(tblMoveTypes[In / Out],MATCH($C83,tblMoveTypes[Movement],0)),"?")="OUT"),"Out  ","")&amp;IF(IFERROR(INDEX(tblMoveTypes[Orders?],MATCH($C83,tblMoveTypes[Movement],0)),"?")="Yes","Orders  ","")&amp;IF(IFERROR(INDEX(tblMoveTypes[Courier?],MATCH($C83,tblMoveTypes[Movement],0)),"?")="Yes","Courier  ","")&amp;IF(IFERROR(INDEX(tblMoveTypes[Reason?],MATCH($C83,tblMoveTypes[Movement],0)),"?")="Yes","Reason",""),"unknown movement"))</f>
        <v>IN   fill: Item  In  </v>
      </c>
      <c r="E83" s="31" t="s">
        <v>112</v>
      </c>
      <c r="F83" s="33" t="n">
        <v>25</v>
      </c>
      <c r="G83" s="33"/>
      <c r="H83" s="33"/>
      <c r="I83" s="31"/>
      <c r="J83" s="31"/>
      <c r="K83" s="31"/>
      <c r="L83" s="31"/>
      <c r="M83" s="34" t="str">
        <f aca="false">IF($E83="","",IFERROR(INDEX(tblItems[Item Code],MATCH($E83,tblItems[Item Name],0)),"?"))</f>
        <v>BOX-TRIO-01</v>
      </c>
      <c r="N83" s="34" t="str">
        <f aca="false">IF($B83="","",IFERROR(INDEX(tblShipment[Market],MATCH($B83,tblShipment[Shipment No],0)),"?"))</f>
        <v>Qatar</v>
      </c>
      <c r="O83" s="35" t="n">
        <f aca="false">N($F83)+N($G83)</f>
        <v>25</v>
      </c>
      <c r="P83" s="34" t="str">
        <f aca="false">IF($A83="","",IF($L83="Yes","VOID",IF(COUNTIFS(tblMoveTypes[Movement],$C83)=0,"Unknown movement",IF(COUNTIF(tblShipment[Shipment No],$B83)=0,"Unknown shipment",IF(AND(IFERROR(INDEX(tblMoveTypes[Item?],MATCH($C83,tblMoveTypes[Movement],0)),"?")="Yes",$E83=""),"Item needed",IF(AND(IFERROR(INDEX(tblMoveTypes[Item?],MATCH($C83,tblMoveTypes[Movement],0)),"?")="No",$E83&lt;&gt;""),"Leave Item blank",IF(AND(IFERROR(INDEX(tblMoveTypes[In / Out],MATCH($C83,tblMoveTypes[Movement],0)),"?")="IN",$G83&lt;&gt;""),"Use the In column, not Out",IF(AND(IFERROR(INDEX(tblMoveTypes[In / Out],MATCH($C83,tblMoveTypes[Movement],0)),"?")="OUT",$F83&lt;&gt;""),"Use the Out column, not In",IF(AND(IFERROR(INDEX(tblMoveTypes[Qty?],MATCH($C83,tblMoveTypes[Movement],0)),"?")="Yes",N($F83)+N($G83)&lt;=0),"Qty needed",IF(AND(IFERROR(INDEX(tblMoveTypes[Qty?],MATCH($C83,tblMoveTypes[Movement],0)),"?")="No",N($F83)+N($G83)&gt;0),"Leave In and Out blank",IF(AND(IFERROR(INDEX(tblMoveTypes[Courier?],MATCH($C83,tblMoveTypes[Movement],0)),"?")="Yes",$I83=""),"Courier needed",IF(AND(IFERROR(INDEX(tblMoveTypes[Courier?],MATCH($C83,tblMoveTypes[Movement],0)),"?")="No",$I83&lt;&gt;""),"Leave Courier blank",IF(AND(IFERROR(INDEX(tblMoveTypes[Orders?],MATCH($C83,tblMoveTypes[Movement],0)),"?")="Yes",$H83=""),"Orders needed",IF(AND(IFERROR(INDEX(tblMoveTypes[Orders?],MATCH($C83,tblMoveTypes[Movement],0)),"?")="No",$H83&lt;&gt;""),"Leave Orders blank",IF(AND(IFERROR(INDEX(tblMoveTypes[Reason?],MATCH($C83,tblMoveTypes[Movement],0)),"?")="Yes",$J83=""),"Reason needed",IF($A83&lt;_xlfn.MINIFS(tblShipment[Arrival Date],tblShipment[Shipment No],$B83),"Date before arrival",IF(AND($E83&lt;&gt;"",COUNTIFS(tblShipment[Shipment No],$B83,tblShipment[Item Name],$E83)=0),"Item not in this shipment","OK")))))))))))))))))</f>
        <v>OK</v>
      </c>
    </row>
    <row r="84" customFormat="false" ht="15" hidden="false" customHeight="false" outlineLevel="0" collapsed="false">
      <c r="A84" s="32" t="n">
        <v>46232</v>
      </c>
      <c r="B84" s="31" t="s">
        <v>160</v>
      </c>
      <c r="C84" s="31" t="s">
        <v>78</v>
      </c>
      <c r="D84" s="34" t="str">
        <f aca="false">IF($C84="","",IFERROR(IF(IFERROR(INDEX(tblMoveTypes[In / Out],MATCH($C84,tblMoveTypes[Movement],0)),"?")="IN","IN   ",IF(IFERROR(INDEX(tblMoveTypes[In / Out],MATCH($C84,tblMoveTypes[Movement],0)),"?")="OUT","OUT   ","--   "))&amp;"fill: "&amp;IF(IFERROR(INDEX(tblMoveTypes[Item?],MATCH($C84,tblMoveTypes[Movement],0)),"?")="Yes","Item  ","")&amp;IF(AND(IFERROR(INDEX(tblMoveTypes[Qty?],MATCH($C84,tblMoveTypes[Movement],0)),"?")="Yes",IFERROR(INDEX(tblMoveTypes[In / Out],MATCH($C84,tblMoveTypes[Movement],0)),"?")="IN"),"In  ","")&amp;IF(AND(IFERROR(INDEX(tblMoveTypes[Qty?],MATCH($C84,tblMoveTypes[Movement],0)),"?")="Yes",IFERROR(INDEX(tblMoveTypes[In / Out],MATCH($C84,tblMoveTypes[Movement],0)),"?")="OUT"),"Out  ","")&amp;IF(IFERROR(INDEX(tblMoveTypes[Orders?],MATCH($C84,tblMoveTypes[Movement],0)),"?")="Yes","Orders  ","")&amp;IF(IFERROR(INDEX(tblMoveTypes[Courier?],MATCH($C84,tblMoveTypes[Movement],0)),"?")="Yes","Courier  ","")&amp;IF(IFERROR(INDEX(tblMoveTypes[Reason?],MATCH($C84,tblMoveTypes[Movement],0)),"?")="Yes","Reason",""),"unknown movement"))</f>
        <v>OUT   fill: Item  Out  Reason</v>
      </c>
      <c r="E84" s="31" t="s">
        <v>112</v>
      </c>
      <c r="F84" s="33"/>
      <c r="G84" s="33" t="n">
        <v>1</v>
      </c>
      <c r="H84" s="33"/>
      <c r="I84" s="31"/>
      <c r="J84" s="31" t="s">
        <v>86</v>
      </c>
      <c r="K84" s="31"/>
      <c r="L84" s="31"/>
      <c r="M84" s="34" t="str">
        <f aca="false">IF($E84="","",IFERROR(INDEX(tblItems[Item Code],MATCH($E84,tblItems[Item Name],0)),"?"))</f>
        <v>BOX-TRIO-01</v>
      </c>
      <c r="N84" s="34" t="str">
        <f aca="false">IF($B84="","",IFERROR(INDEX(tblShipment[Market],MATCH($B84,tblShipment[Shipment No],0)),"?"))</f>
        <v>Qatar</v>
      </c>
      <c r="O84" s="35" t="n">
        <f aca="false">N($F84)+N($G84)</f>
        <v>1</v>
      </c>
      <c r="P84" s="34" t="str">
        <f aca="false">IF($A84="","",IF($L84="Yes","VOID",IF(COUNTIFS(tblMoveTypes[Movement],$C84)=0,"Unknown movement",IF(COUNTIF(tblShipment[Shipment No],$B84)=0,"Unknown shipment",IF(AND(IFERROR(INDEX(tblMoveTypes[Item?],MATCH($C84,tblMoveTypes[Movement],0)),"?")="Yes",$E84=""),"Item needed",IF(AND(IFERROR(INDEX(tblMoveTypes[Item?],MATCH($C84,tblMoveTypes[Movement],0)),"?")="No",$E84&lt;&gt;""),"Leave Item blank",IF(AND(IFERROR(INDEX(tblMoveTypes[In / Out],MATCH($C84,tblMoveTypes[Movement],0)),"?")="IN",$G84&lt;&gt;""),"Use the In column, not Out",IF(AND(IFERROR(INDEX(tblMoveTypes[In / Out],MATCH($C84,tblMoveTypes[Movement],0)),"?")="OUT",$F84&lt;&gt;""),"Use the Out column, not In",IF(AND(IFERROR(INDEX(tblMoveTypes[Qty?],MATCH($C84,tblMoveTypes[Movement],0)),"?")="Yes",N($F84)+N($G84)&lt;=0),"Qty needed",IF(AND(IFERROR(INDEX(tblMoveTypes[Qty?],MATCH($C84,tblMoveTypes[Movement],0)),"?")="No",N($F84)+N($G84)&gt;0),"Leave In and Out blank",IF(AND(IFERROR(INDEX(tblMoveTypes[Courier?],MATCH($C84,tblMoveTypes[Movement],0)),"?")="Yes",$I84=""),"Courier needed",IF(AND(IFERROR(INDEX(tblMoveTypes[Courier?],MATCH($C84,tblMoveTypes[Movement],0)),"?")="No",$I84&lt;&gt;""),"Leave Courier blank",IF(AND(IFERROR(INDEX(tblMoveTypes[Orders?],MATCH($C84,tblMoveTypes[Movement],0)),"?")="Yes",$H84=""),"Orders needed",IF(AND(IFERROR(INDEX(tblMoveTypes[Orders?],MATCH($C84,tblMoveTypes[Movement],0)),"?")="No",$H84&lt;&gt;""),"Leave Orders blank",IF(AND(IFERROR(INDEX(tblMoveTypes[Reason?],MATCH($C84,tblMoveTypes[Movement],0)),"?")="Yes",$J84=""),"Reason needed",IF($A84&lt;_xlfn.MINIFS(tblShipment[Arrival Date],tblShipment[Shipment No],$B84),"Date before arrival",IF(AND($E84&lt;&gt;"",COUNTIFS(tblShipment[Shipment No],$B84,tblShipment[Item Name],$E84)=0),"Item not in this shipment","OK")))))))))))))))))</f>
        <v>OK</v>
      </c>
    </row>
    <row r="85" customFormat="false" ht="15" hidden="false" customHeight="false" outlineLevel="0" collapsed="false">
      <c r="A85" s="32" t="n">
        <v>46232</v>
      </c>
      <c r="B85" s="31" t="s">
        <v>160</v>
      </c>
      <c r="C85" s="31" t="s">
        <v>79</v>
      </c>
      <c r="D85" s="34" t="str">
        <f aca="false">IF($C85="","",IFERROR(IF(IFERROR(INDEX(tblMoveTypes[In / Out],MATCH($C85,tblMoveTypes[Movement],0)),"?")="IN","IN   ",IF(IFERROR(INDEX(tblMoveTypes[In / Out],MATCH($C85,tblMoveTypes[Movement],0)),"?")="OUT","OUT   ","--   "))&amp;"fill: "&amp;IF(IFERROR(INDEX(tblMoveTypes[Item?],MATCH($C85,tblMoveTypes[Movement],0)),"?")="Yes","Item  ","")&amp;IF(AND(IFERROR(INDEX(tblMoveTypes[Qty?],MATCH($C85,tblMoveTypes[Movement],0)),"?")="Yes",IFERROR(INDEX(tblMoveTypes[In / Out],MATCH($C85,tblMoveTypes[Movement],0)),"?")="IN"),"In  ","")&amp;IF(AND(IFERROR(INDEX(tblMoveTypes[Qty?],MATCH($C85,tblMoveTypes[Movement],0)),"?")="Yes",IFERROR(INDEX(tblMoveTypes[In / Out],MATCH($C85,tblMoveTypes[Movement],0)),"?")="OUT"),"Out  ","")&amp;IF(IFERROR(INDEX(tblMoveTypes[Orders?],MATCH($C85,tblMoveTypes[Movement],0)),"?")="Yes","Orders  ","")&amp;IF(IFERROR(INDEX(tblMoveTypes[Courier?],MATCH($C85,tblMoveTypes[Movement],0)),"?")="Yes","Courier  ","")&amp;IF(IFERROR(INDEX(tblMoveTypes[Reason?],MATCH($C85,tblMoveTypes[Movement],0)),"?")="Yes","Reason",""),"unknown movement"))</f>
        <v>IN   fill: Item  In  </v>
      </c>
      <c r="E85" s="31" t="s">
        <v>72</v>
      </c>
      <c r="F85" s="33" t="n">
        <v>105</v>
      </c>
      <c r="G85" s="33"/>
      <c r="H85" s="33"/>
      <c r="I85" s="31"/>
      <c r="J85" s="31"/>
      <c r="K85" s="31"/>
      <c r="L85" s="31"/>
      <c r="M85" s="34" t="str">
        <f aca="false">IF($E85="","",IFERROR(INDEX(tblItems[Item Code],MATCH($E85,tblItems[Item Name],0)),"?"))</f>
        <v>EG-FG-MNG-05-02-01-01</v>
      </c>
      <c r="N85" s="34" t="str">
        <f aca="false">IF($B85="","",IFERROR(INDEX(tblShipment[Market],MATCH($B85,tblShipment[Shipment No],0)),"?"))</f>
        <v>Qatar</v>
      </c>
      <c r="O85" s="35" t="n">
        <f aca="false">N($F85)+N($G85)</f>
        <v>105</v>
      </c>
      <c r="P85" s="34" t="str">
        <f aca="false">IF($A85="","",IF($L85="Yes","VOID",IF(COUNTIFS(tblMoveTypes[Movement],$C85)=0,"Unknown movement",IF(COUNTIF(tblShipment[Shipment No],$B85)=0,"Unknown shipment",IF(AND(IFERROR(INDEX(tblMoveTypes[Item?],MATCH($C85,tblMoveTypes[Movement],0)),"?")="Yes",$E85=""),"Item needed",IF(AND(IFERROR(INDEX(tblMoveTypes[Item?],MATCH($C85,tblMoveTypes[Movement],0)),"?")="No",$E85&lt;&gt;""),"Leave Item blank",IF(AND(IFERROR(INDEX(tblMoveTypes[In / Out],MATCH($C85,tblMoveTypes[Movement],0)),"?")="IN",$G85&lt;&gt;""),"Use the In column, not Out",IF(AND(IFERROR(INDEX(tblMoveTypes[In / Out],MATCH($C85,tblMoveTypes[Movement],0)),"?")="OUT",$F85&lt;&gt;""),"Use the Out column, not In",IF(AND(IFERROR(INDEX(tblMoveTypes[Qty?],MATCH($C85,tblMoveTypes[Movement],0)),"?")="Yes",N($F85)+N($G85)&lt;=0),"Qty needed",IF(AND(IFERROR(INDEX(tblMoveTypes[Qty?],MATCH($C85,tblMoveTypes[Movement],0)),"?")="No",N($F85)+N($G85)&gt;0),"Leave In and Out blank",IF(AND(IFERROR(INDEX(tblMoveTypes[Courier?],MATCH($C85,tblMoveTypes[Movement],0)),"?")="Yes",$I85=""),"Courier needed",IF(AND(IFERROR(INDEX(tblMoveTypes[Courier?],MATCH($C85,tblMoveTypes[Movement],0)),"?")="No",$I85&lt;&gt;""),"Leave Courier blank",IF(AND(IFERROR(INDEX(tblMoveTypes[Orders?],MATCH($C85,tblMoveTypes[Movement],0)),"?")="Yes",$H85=""),"Orders needed",IF(AND(IFERROR(INDEX(tblMoveTypes[Orders?],MATCH($C85,tblMoveTypes[Movement],0)),"?")="No",$H85&lt;&gt;""),"Leave Orders blank",IF(AND(IFERROR(INDEX(tblMoveTypes[Reason?],MATCH($C85,tblMoveTypes[Movement],0)),"?")="Yes",$J85=""),"Reason needed",IF($A85&lt;_xlfn.MINIFS(tblShipment[Arrival Date],tblShipment[Shipment No],$B85),"Date before arrival",IF(AND($E85&lt;&gt;"",COUNTIFS(tblShipment[Shipment No],$B85,tblShipment[Item Name],$E85)=0),"Item not in this shipment","OK")))))))))))))))))</f>
        <v>OK</v>
      </c>
    </row>
    <row r="86" customFormat="false" ht="15" hidden="false" customHeight="false" outlineLevel="0" collapsed="false">
      <c r="A86" s="32" t="n">
        <v>46232</v>
      </c>
      <c r="B86" s="31" t="s">
        <v>160</v>
      </c>
      <c r="C86" s="31" t="s">
        <v>78</v>
      </c>
      <c r="D86" s="34" t="str">
        <f aca="false">IF($C86="","",IFERROR(IF(IFERROR(INDEX(tblMoveTypes[In / Out],MATCH($C86,tblMoveTypes[Movement],0)),"?")="IN","IN   ",IF(IFERROR(INDEX(tblMoveTypes[In / Out],MATCH($C86,tblMoveTypes[Movement],0)),"?")="OUT","OUT   ","--   "))&amp;"fill: "&amp;IF(IFERROR(INDEX(tblMoveTypes[Item?],MATCH($C86,tblMoveTypes[Movement],0)),"?")="Yes","Item  ","")&amp;IF(AND(IFERROR(INDEX(tblMoveTypes[Qty?],MATCH($C86,tblMoveTypes[Movement],0)),"?")="Yes",IFERROR(INDEX(tblMoveTypes[In / Out],MATCH($C86,tblMoveTypes[Movement],0)),"?")="IN"),"In  ","")&amp;IF(AND(IFERROR(INDEX(tblMoveTypes[Qty?],MATCH($C86,tblMoveTypes[Movement],0)),"?")="Yes",IFERROR(INDEX(tblMoveTypes[In / Out],MATCH($C86,tblMoveTypes[Movement],0)),"?")="OUT"),"Out  ","")&amp;IF(IFERROR(INDEX(tblMoveTypes[Orders?],MATCH($C86,tblMoveTypes[Movement],0)),"?")="Yes","Orders  ","")&amp;IF(IFERROR(INDEX(tblMoveTypes[Courier?],MATCH($C86,tblMoveTypes[Movement],0)),"?")="Yes","Courier  ","")&amp;IF(IFERROR(INDEX(tblMoveTypes[Reason?],MATCH($C86,tblMoveTypes[Movement],0)),"?")="Yes","Reason",""),"unknown movement"))</f>
        <v>OUT   fill: Item  Out  Reason</v>
      </c>
      <c r="E86" s="31" t="s">
        <v>72</v>
      </c>
      <c r="F86" s="33"/>
      <c r="G86" s="33" t="n">
        <v>1</v>
      </c>
      <c r="H86" s="33"/>
      <c r="I86" s="31"/>
      <c r="J86" s="31" t="s">
        <v>77</v>
      </c>
      <c r="K86" s="31"/>
      <c r="L86" s="31"/>
      <c r="M86" s="34" t="str">
        <f aca="false">IF($E86="","",IFERROR(INDEX(tblItems[Item Code],MATCH($E86,tblItems[Item Name],0)),"?"))</f>
        <v>EG-FG-MNG-05-02-01-01</v>
      </c>
      <c r="N86" s="34" t="str">
        <f aca="false">IF($B86="","",IFERROR(INDEX(tblShipment[Market],MATCH($B86,tblShipment[Shipment No],0)),"?"))</f>
        <v>Qatar</v>
      </c>
      <c r="O86" s="35" t="n">
        <f aca="false">N($F86)+N($G86)</f>
        <v>1</v>
      </c>
      <c r="P86" s="34" t="str">
        <f aca="false">IF($A86="","",IF($L86="Yes","VOID",IF(COUNTIFS(tblMoveTypes[Movement],$C86)=0,"Unknown movement",IF(COUNTIF(tblShipment[Shipment No],$B86)=0,"Unknown shipment",IF(AND(IFERROR(INDEX(tblMoveTypes[Item?],MATCH($C86,tblMoveTypes[Movement],0)),"?")="Yes",$E86=""),"Item needed",IF(AND(IFERROR(INDEX(tblMoveTypes[Item?],MATCH($C86,tblMoveTypes[Movement],0)),"?")="No",$E86&lt;&gt;""),"Leave Item blank",IF(AND(IFERROR(INDEX(tblMoveTypes[In / Out],MATCH($C86,tblMoveTypes[Movement],0)),"?")="IN",$G86&lt;&gt;""),"Use the In column, not Out",IF(AND(IFERROR(INDEX(tblMoveTypes[In / Out],MATCH($C86,tblMoveTypes[Movement],0)),"?")="OUT",$F86&lt;&gt;""),"Use the Out column, not In",IF(AND(IFERROR(INDEX(tblMoveTypes[Qty?],MATCH($C86,tblMoveTypes[Movement],0)),"?")="Yes",N($F86)+N($G86)&lt;=0),"Qty needed",IF(AND(IFERROR(INDEX(tblMoveTypes[Qty?],MATCH($C86,tblMoveTypes[Movement],0)),"?")="No",N($F86)+N($G86)&gt;0),"Leave In and Out blank",IF(AND(IFERROR(INDEX(tblMoveTypes[Courier?],MATCH($C86,tblMoveTypes[Movement],0)),"?")="Yes",$I86=""),"Courier needed",IF(AND(IFERROR(INDEX(tblMoveTypes[Courier?],MATCH($C86,tblMoveTypes[Movement],0)),"?")="No",$I86&lt;&gt;""),"Leave Courier blank",IF(AND(IFERROR(INDEX(tblMoveTypes[Orders?],MATCH($C86,tblMoveTypes[Movement],0)),"?")="Yes",$H86=""),"Orders needed",IF(AND(IFERROR(INDEX(tblMoveTypes[Orders?],MATCH($C86,tblMoveTypes[Movement],0)),"?")="No",$H86&lt;&gt;""),"Leave Orders blank",IF(AND(IFERROR(INDEX(tblMoveTypes[Reason?],MATCH($C86,tblMoveTypes[Movement],0)),"?")="Yes",$J86=""),"Reason needed",IF($A86&lt;_xlfn.MINIFS(tblShipment[Arrival Date],tblShipment[Shipment No],$B86),"Date before arrival",IF(AND($E86&lt;&gt;"",COUNTIFS(tblShipment[Shipment No],$B86,tblShipment[Item Name],$E86)=0),"Item not in this shipment","OK")))))))))))))))))</f>
        <v>OK</v>
      </c>
    </row>
    <row r="87" customFormat="false" ht="15" hidden="false" customHeight="false" outlineLevel="0" collapsed="false">
      <c r="A87" s="32" t="n">
        <v>46232</v>
      </c>
      <c r="B87" s="31" t="s">
        <v>160</v>
      </c>
      <c r="C87" s="31" t="s">
        <v>79</v>
      </c>
      <c r="D87" s="34" t="str">
        <f aca="false">IF($C87="","",IFERROR(IF(IFERROR(INDEX(tblMoveTypes[In / Out],MATCH($C87,tblMoveTypes[Movement],0)),"?")="IN","IN   ",IF(IFERROR(INDEX(tblMoveTypes[In / Out],MATCH($C87,tblMoveTypes[Movement],0)),"?")="OUT","OUT   ","--   "))&amp;"fill: "&amp;IF(IFERROR(INDEX(tblMoveTypes[Item?],MATCH($C87,tblMoveTypes[Movement],0)),"?")="Yes","Item  ","")&amp;IF(AND(IFERROR(INDEX(tblMoveTypes[Qty?],MATCH($C87,tblMoveTypes[Movement],0)),"?")="Yes",IFERROR(INDEX(tblMoveTypes[In / Out],MATCH($C87,tblMoveTypes[Movement],0)),"?")="IN"),"In  ","")&amp;IF(AND(IFERROR(INDEX(tblMoveTypes[Qty?],MATCH($C87,tblMoveTypes[Movement],0)),"?")="Yes",IFERROR(INDEX(tblMoveTypes[In / Out],MATCH($C87,tblMoveTypes[Movement],0)),"?")="OUT"),"Out  ","")&amp;IF(IFERROR(INDEX(tblMoveTypes[Orders?],MATCH($C87,tblMoveTypes[Movement],0)),"?")="Yes","Orders  ","")&amp;IF(IFERROR(INDEX(tblMoveTypes[Courier?],MATCH($C87,tblMoveTypes[Movement],0)),"?")="Yes","Courier  ","")&amp;IF(IFERROR(INDEX(tblMoveTypes[Reason?],MATCH($C87,tblMoveTypes[Movement],0)),"?")="Yes","Reason",""),"unknown movement"))</f>
        <v>IN   fill: Item  In  </v>
      </c>
      <c r="E87" s="31" t="s">
        <v>106</v>
      </c>
      <c r="F87" s="33" t="n">
        <v>35</v>
      </c>
      <c r="G87" s="33"/>
      <c r="H87" s="33"/>
      <c r="I87" s="31"/>
      <c r="J87" s="31"/>
      <c r="K87" s="31"/>
      <c r="L87" s="31"/>
      <c r="M87" s="34" t="str">
        <f aca="false">IF($E87="","",IFERROR(INDEX(tblItems[Item Code],MATCH($E87,tblItems[Item Name],0)),"?"))</f>
        <v>EG-FG-DAT-01-02-01-01</v>
      </c>
      <c r="N87" s="34" t="str">
        <f aca="false">IF($B87="","",IFERROR(INDEX(tblShipment[Market],MATCH($B87,tblShipment[Shipment No],0)),"?"))</f>
        <v>Qatar</v>
      </c>
      <c r="O87" s="35" t="n">
        <f aca="false">N($F87)+N($G87)</f>
        <v>35</v>
      </c>
      <c r="P87" s="34" t="str">
        <f aca="false">IF($A87="","",IF($L87="Yes","VOID",IF(COUNTIFS(tblMoveTypes[Movement],$C87)=0,"Unknown movement",IF(COUNTIF(tblShipment[Shipment No],$B87)=0,"Unknown shipment",IF(AND(IFERROR(INDEX(tblMoveTypes[Item?],MATCH($C87,tblMoveTypes[Movement],0)),"?")="Yes",$E87=""),"Item needed",IF(AND(IFERROR(INDEX(tblMoveTypes[Item?],MATCH($C87,tblMoveTypes[Movement],0)),"?")="No",$E87&lt;&gt;""),"Leave Item blank",IF(AND(IFERROR(INDEX(tblMoveTypes[In / Out],MATCH($C87,tblMoveTypes[Movement],0)),"?")="IN",$G87&lt;&gt;""),"Use the In column, not Out",IF(AND(IFERROR(INDEX(tblMoveTypes[In / Out],MATCH($C87,tblMoveTypes[Movement],0)),"?")="OUT",$F87&lt;&gt;""),"Use the Out column, not In",IF(AND(IFERROR(INDEX(tblMoveTypes[Qty?],MATCH($C87,tblMoveTypes[Movement],0)),"?")="Yes",N($F87)+N($G87)&lt;=0),"Qty needed",IF(AND(IFERROR(INDEX(tblMoveTypes[Qty?],MATCH($C87,tblMoveTypes[Movement],0)),"?")="No",N($F87)+N($G87)&gt;0),"Leave In and Out blank",IF(AND(IFERROR(INDEX(tblMoveTypes[Courier?],MATCH($C87,tblMoveTypes[Movement],0)),"?")="Yes",$I87=""),"Courier needed",IF(AND(IFERROR(INDEX(tblMoveTypes[Courier?],MATCH($C87,tblMoveTypes[Movement],0)),"?")="No",$I87&lt;&gt;""),"Leave Courier blank",IF(AND(IFERROR(INDEX(tblMoveTypes[Orders?],MATCH($C87,tblMoveTypes[Movement],0)),"?")="Yes",$H87=""),"Orders needed",IF(AND(IFERROR(INDEX(tblMoveTypes[Orders?],MATCH($C87,tblMoveTypes[Movement],0)),"?")="No",$H87&lt;&gt;""),"Leave Orders blank",IF(AND(IFERROR(INDEX(tblMoveTypes[Reason?],MATCH($C87,tblMoveTypes[Movement],0)),"?")="Yes",$J87=""),"Reason needed",IF($A87&lt;_xlfn.MINIFS(tblShipment[Arrival Date],tblShipment[Shipment No],$B87),"Date before arrival",IF(AND($E87&lt;&gt;"",COUNTIFS(tblShipment[Shipment No],$B87,tblShipment[Item Name],$E87)=0),"Item not in this shipment","OK")))))))))))))))))</f>
        <v>OK</v>
      </c>
    </row>
    <row r="88" customFormat="false" ht="15" hidden="false" customHeight="false" outlineLevel="0" collapsed="false">
      <c r="A88" s="32" t="n">
        <v>46232</v>
      </c>
      <c r="B88" s="31" t="s">
        <v>160</v>
      </c>
      <c r="C88" s="31" t="s">
        <v>87</v>
      </c>
      <c r="D88" s="34" t="str">
        <f aca="false">IF($C88="","",IFERROR(IF(IFERROR(INDEX(tblMoveTypes[In / Out],MATCH($C88,tblMoveTypes[Movement],0)),"?")="IN","IN   ",IF(IFERROR(INDEX(tblMoveTypes[In / Out],MATCH($C88,tblMoveTypes[Movement],0)),"?")="OUT","OUT   ","--   "))&amp;"fill: "&amp;IF(IFERROR(INDEX(tblMoveTypes[Item?],MATCH($C88,tblMoveTypes[Movement],0)),"?")="Yes","Item  ","")&amp;IF(AND(IFERROR(INDEX(tblMoveTypes[Qty?],MATCH($C88,tblMoveTypes[Movement],0)),"?")="Yes",IFERROR(INDEX(tblMoveTypes[In / Out],MATCH($C88,tblMoveTypes[Movement],0)),"?")="IN"),"In  ","")&amp;IF(AND(IFERROR(INDEX(tblMoveTypes[Qty?],MATCH($C88,tblMoveTypes[Movement],0)),"?")="Yes",IFERROR(INDEX(tblMoveTypes[In / Out],MATCH($C88,tblMoveTypes[Movement],0)),"?")="OUT"),"Out  ","")&amp;IF(IFERROR(INDEX(tblMoveTypes[Orders?],MATCH($C88,tblMoveTypes[Movement],0)),"?")="Yes","Orders  ","")&amp;IF(IFERROR(INDEX(tblMoveTypes[Courier?],MATCH($C88,tblMoveTypes[Movement],0)),"?")="Yes","Courier  ","")&amp;IF(IFERROR(INDEX(tblMoveTypes[Reason?],MATCH($C88,tblMoveTypes[Movement],0)),"?")="Yes","Reason",""),"unknown movement"))</f>
        <v>OUT   fill: Item  Out  </v>
      </c>
      <c r="E88" s="31" t="s">
        <v>141</v>
      </c>
      <c r="F88" s="33"/>
      <c r="G88" s="33" t="n">
        <v>3</v>
      </c>
      <c r="H88" s="33"/>
      <c r="I88" s="31"/>
      <c r="J88" s="31"/>
      <c r="K88" s="31" t="s">
        <v>179</v>
      </c>
      <c r="L88" s="31"/>
      <c r="M88" s="34" t="str">
        <f aca="false">IF($E88="","",IFERROR(INDEX(tblItems[Item Code],MATCH($E88,tblItems[Item Name],0)),"?"))</f>
        <v>EG-FG-CAN-01-02-01-01</v>
      </c>
      <c r="N88" s="34" t="str">
        <f aca="false">IF($B88="","",IFERROR(INDEX(tblShipment[Market],MATCH($B88,tblShipment[Shipment No],0)),"?"))</f>
        <v>Qatar</v>
      </c>
      <c r="O88" s="35" t="n">
        <f aca="false">N($F88)+N($G88)</f>
        <v>3</v>
      </c>
      <c r="P88" s="34" t="str">
        <f aca="false">IF($A88="","",IF($L88="Yes","VOID",IF(COUNTIFS(tblMoveTypes[Movement],$C88)=0,"Unknown movement",IF(COUNTIF(tblShipment[Shipment No],$B88)=0,"Unknown shipment",IF(AND(IFERROR(INDEX(tblMoveTypes[Item?],MATCH($C88,tblMoveTypes[Movement],0)),"?")="Yes",$E88=""),"Item needed",IF(AND(IFERROR(INDEX(tblMoveTypes[Item?],MATCH($C88,tblMoveTypes[Movement],0)),"?")="No",$E88&lt;&gt;""),"Leave Item blank",IF(AND(IFERROR(INDEX(tblMoveTypes[In / Out],MATCH($C88,tblMoveTypes[Movement],0)),"?")="IN",$G88&lt;&gt;""),"Use the In column, not Out",IF(AND(IFERROR(INDEX(tblMoveTypes[In / Out],MATCH($C88,tblMoveTypes[Movement],0)),"?")="OUT",$F88&lt;&gt;""),"Use the Out column, not In",IF(AND(IFERROR(INDEX(tblMoveTypes[Qty?],MATCH($C88,tblMoveTypes[Movement],0)),"?")="Yes",N($F88)+N($G88)&lt;=0),"Qty needed",IF(AND(IFERROR(INDEX(tblMoveTypes[Qty?],MATCH($C88,tblMoveTypes[Movement],0)),"?")="No",N($F88)+N($G88)&gt;0),"Leave In and Out blank",IF(AND(IFERROR(INDEX(tblMoveTypes[Courier?],MATCH($C88,tblMoveTypes[Movement],0)),"?")="Yes",$I88=""),"Courier needed",IF(AND(IFERROR(INDEX(tblMoveTypes[Courier?],MATCH($C88,tblMoveTypes[Movement],0)),"?")="No",$I88&lt;&gt;""),"Leave Courier blank",IF(AND(IFERROR(INDEX(tblMoveTypes[Orders?],MATCH($C88,tblMoveTypes[Movement],0)),"?")="Yes",$H88=""),"Orders needed",IF(AND(IFERROR(INDEX(tblMoveTypes[Orders?],MATCH($C88,tblMoveTypes[Movement],0)),"?")="No",$H88&lt;&gt;""),"Leave Orders blank",IF(AND(IFERROR(INDEX(tblMoveTypes[Reason?],MATCH($C88,tblMoveTypes[Movement],0)),"?")="Yes",$J88=""),"Reason needed",IF($A88&lt;_xlfn.MINIFS(tblShipment[Arrival Date],tblShipment[Shipment No],$B88),"Date before arrival",IF(AND($E88&lt;&gt;"",COUNTIFS(tblShipment[Shipment No],$B88,tblShipment[Item Name],$E88)=0),"Item not in this shipment","OK")))))))))))))))))</f>
        <v>OK</v>
      </c>
    </row>
    <row r="89" customFormat="false" ht="15" hidden="false" customHeight="false" outlineLevel="0" collapsed="false">
      <c r="A89" s="32" t="n">
        <v>46232</v>
      </c>
      <c r="B89" s="31" t="s">
        <v>160</v>
      </c>
      <c r="C89" s="31" t="s">
        <v>79</v>
      </c>
      <c r="D89" s="34" t="str">
        <f aca="false">IF($C89="","",IFERROR(IF(IFERROR(INDEX(tblMoveTypes[In / Out],MATCH($C89,tblMoveTypes[Movement],0)),"?")="IN","IN   ",IF(IFERROR(INDEX(tblMoveTypes[In / Out],MATCH($C89,tblMoveTypes[Movement],0)),"?")="OUT","OUT   ","--   "))&amp;"fill: "&amp;IF(IFERROR(INDEX(tblMoveTypes[Item?],MATCH($C89,tblMoveTypes[Movement],0)),"?")="Yes","Item  ","")&amp;IF(AND(IFERROR(INDEX(tblMoveTypes[Qty?],MATCH($C89,tblMoveTypes[Movement],0)),"?")="Yes",IFERROR(INDEX(tblMoveTypes[In / Out],MATCH($C89,tblMoveTypes[Movement],0)),"?")="IN"),"In  ","")&amp;IF(AND(IFERROR(INDEX(tblMoveTypes[Qty?],MATCH($C89,tblMoveTypes[Movement],0)),"?")="Yes",IFERROR(INDEX(tblMoveTypes[In / Out],MATCH($C89,tblMoveTypes[Movement],0)),"?")="OUT"),"Out  ","")&amp;IF(IFERROR(INDEX(tblMoveTypes[Orders?],MATCH($C89,tblMoveTypes[Movement],0)),"?")="Yes","Orders  ","")&amp;IF(IFERROR(INDEX(tblMoveTypes[Courier?],MATCH($C89,tblMoveTypes[Movement],0)),"?")="Yes","Courier  ","")&amp;IF(IFERROR(INDEX(tblMoveTypes[Reason?],MATCH($C89,tblMoveTypes[Movement],0)),"?")="Yes","Reason",""),"unknown movement"))</f>
        <v>IN   fill: Item  In  </v>
      </c>
      <c r="E89" s="31" t="s">
        <v>141</v>
      </c>
      <c r="F89" s="33" t="n">
        <v>17</v>
      </c>
      <c r="G89" s="33"/>
      <c r="H89" s="33"/>
      <c r="I89" s="31"/>
      <c r="J89" s="31"/>
      <c r="K89" s="31"/>
      <c r="L89" s="31"/>
      <c r="M89" s="34" t="str">
        <f aca="false">IF($E89="","",IFERROR(INDEX(tblItems[Item Code],MATCH($E89,tblItems[Item Name],0)),"?"))</f>
        <v>EG-FG-CAN-01-02-01-01</v>
      </c>
      <c r="N89" s="34" t="str">
        <f aca="false">IF($B89="","",IFERROR(INDEX(tblShipment[Market],MATCH($B89,tblShipment[Shipment No],0)),"?"))</f>
        <v>Qatar</v>
      </c>
      <c r="O89" s="35" t="n">
        <f aca="false">N($F89)+N($G89)</f>
        <v>17</v>
      </c>
      <c r="P89" s="34" t="str">
        <f aca="false">IF($A89="","",IF($L89="Yes","VOID",IF(COUNTIFS(tblMoveTypes[Movement],$C89)=0,"Unknown movement",IF(COUNTIF(tblShipment[Shipment No],$B89)=0,"Unknown shipment",IF(AND(IFERROR(INDEX(tblMoveTypes[Item?],MATCH($C89,tblMoveTypes[Movement],0)),"?")="Yes",$E89=""),"Item needed",IF(AND(IFERROR(INDEX(tblMoveTypes[Item?],MATCH($C89,tblMoveTypes[Movement],0)),"?")="No",$E89&lt;&gt;""),"Leave Item blank",IF(AND(IFERROR(INDEX(tblMoveTypes[In / Out],MATCH($C89,tblMoveTypes[Movement],0)),"?")="IN",$G89&lt;&gt;""),"Use the In column, not Out",IF(AND(IFERROR(INDEX(tblMoveTypes[In / Out],MATCH($C89,tblMoveTypes[Movement],0)),"?")="OUT",$F89&lt;&gt;""),"Use the Out column, not In",IF(AND(IFERROR(INDEX(tblMoveTypes[Qty?],MATCH($C89,tblMoveTypes[Movement],0)),"?")="Yes",N($F89)+N($G89)&lt;=0),"Qty needed",IF(AND(IFERROR(INDEX(tblMoveTypes[Qty?],MATCH($C89,tblMoveTypes[Movement],0)),"?")="No",N($F89)+N($G89)&gt;0),"Leave In and Out blank",IF(AND(IFERROR(INDEX(tblMoveTypes[Courier?],MATCH($C89,tblMoveTypes[Movement],0)),"?")="Yes",$I89=""),"Courier needed",IF(AND(IFERROR(INDEX(tblMoveTypes[Courier?],MATCH($C89,tblMoveTypes[Movement],0)),"?")="No",$I89&lt;&gt;""),"Leave Courier blank",IF(AND(IFERROR(INDEX(tblMoveTypes[Orders?],MATCH($C89,tblMoveTypes[Movement],0)),"?")="Yes",$H89=""),"Orders needed",IF(AND(IFERROR(INDEX(tblMoveTypes[Orders?],MATCH($C89,tblMoveTypes[Movement],0)),"?")="No",$H89&lt;&gt;""),"Leave Orders blank",IF(AND(IFERROR(INDEX(tblMoveTypes[Reason?],MATCH($C89,tblMoveTypes[Movement],0)),"?")="Yes",$J89=""),"Reason needed",IF($A89&lt;_xlfn.MINIFS(tblShipment[Arrival Date],tblShipment[Shipment No],$B89),"Date before arrival",IF(AND($E89&lt;&gt;"",COUNTIFS(tblShipment[Shipment No],$B89,tblShipment[Item Name],$E89)=0),"Item not in this shipment","OK")))))))))))))))))</f>
        <v>OK</v>
      </c>
    </row>
    <row r="90" customFormat="false" ht="15" hidden="false" customHeight="false" outlineLevel="0" collapsed="false">
      <c r="A90" s="32" t="n">
        <v>46232</v>
      </c>
      <c r="B90" s="31" t="s">
        <v>160</v>
      </c>
      <c r="C90" s="31" t="s">
        <v>79</v>
      </c>
      <c r="D90" s="34" t="str">
        <f aca="false">IF($C90="","",IFERROR(IF(IFERROR(INDEX(tblMoveTypes[In / Out],MATCH($C90,tblMoveTypes[Movement],0)),"?")="IN","IN   ",IF(IFERROR(INDEX(tblMoveTypes[In / Out],MATCH($C90,tblMoveTypes[Movement],0)),"?")="OUT","OUT   ","--   "))&amp;"fill: "&amp;IF(IFERROR(INDEX(tblMoveTypes[Item?],MATCH($C90,tblMoveTypes[Movement],0)),"?")="Yes","Item  ","")&amp;IF(AND(IFERROR(INDEX(tblMoveTypes[Qty?],MATCH($C90,tblMoveTypes[Movement],0)),"?")="Yes",IFERROR(INDEX(tblMoveTypes[In / Out],MATCH($C90,tblMoveTypes[Movement],0)),"?")="IN"),"In  ","")&amp;IF(AND(IFERROR(INDEX(tblMoveTypes[Qty?],MATCH($C90,tblMoveTypes[Movement],0)),"?")="Yes",IFERROR(INDEX(tblMoveTypes[In / Out],MATCH($C90,tblMoveTypes[Movement],0)),"?")="OUT"),"Out  ","")&amp;IF(IFERROR(INDEX(tblMoveTypes[Orders?],MATCH($C90,tblMoveTypes[Movement],0)),"?")="Yes","Orders  ","")&amp;IF(IFERROR(INDEX(tblMoveTypes[Courier?],MATCH($C90,tblMoveTypes[Movement],0)),"?")="Yes","Courier  ","")&amp;IF(IFERROR(INDEX(tblMoveTypes[Reason?],MATCH($C90,tblMoveTypes[Movement],0)),"?")="Yes","Reason",""),"unknown movement"))</f>
        <v>IN   fill: Item  In  </v>
      </c>
      <c r="E90" s="31" t="s">
        <v>100</v>
      </c>
      <c r="F90" s="33" t="n">
        <v>35</v>
      </c>
      <c r="G90" s="33"/>
      <c r="H90" s="33"/>
      <c r="I90" s="31"/>
      <c r="J90" s="31"/>
      <c r="K90" s="31"/>
      <c r="L90" s="31"/>
      <c r="M90" s="34" t="str">
        <f aca="false">IF($E90="","",IFERROR(INDEX(tblItems[Item Code],MATCH($E90,tblItems[Item Name],0)),"?"))</f>
        <v>EG-FG-MNG-18-02-01-01</v>
      </c>
      <c r="N90" s="34" t="str">
        <f aca="false">IF($B90="","",IFERROR(INDEX(tblShipment[Market],MATCH($B90,tblShipment[Shipment No],0)),"?"))</f>
        <v>Qatar</v>
      </c>
      <c r="O90" s="35" t="n">
        <f aca="false">N($F90)+N($G90)</f>
        <v>35</v>
      </c>
      <c r="P90" s="34" t="str">
        <f aca="false">IF($A90="","",IF($L90="Yes","VOID",IF(COUNTIFS(tblMoveTypes[Movement],$C90)=0,"Unknown movement",IF(COUNTIF(tblShipment[Shipment No],$B90)=0,"Unknown shipment",IF(AND(IFERROR(INDEX(tblMoveTypes[Item?],MATCH($C90,tblMoveTypes[Movement],0)),"?")="Yes",$E90=""),"Item needed",IF(AND(IFERROR(INDEX(tblMoveTypes[Item?],MATCH($C90,tblMoveTypes[Movement],0)),"?")="No",$E90&lt;&gt;""),"Leave Item blank",IF(AND(IFERROR(INDEX(tblMoveTypes[In / Out],MATCH($C90,tblMoveTypes[Movement],0)),"?")="IN",$G90&lt;&gt;""),"Use the In column, not Out",IF(AND(IFERROR(INDEX(tblMoveTypes[In / Out],MATCH($C90,tblMoveTypes[Movement],0)),"?")="OUT",$F90&lt;&gt;""),"Use the Out column, not In",IF(AND(IFERROR(INDEX(tblMoveTypes[Qty?],MATCH($C90,tblMoveTypes[Movement],0)),"?")="Yes",N($F90)+N($G90)&lt;=0),"Qty needed",IF(AND(IFERROR(INDEX(tblMoveTypes[Qty?],MATCH($C90,tblMoveTypes[Movement],0)),"?")="No",N($F90)+N($G90)&gt;0),"Leave In and Out blank",IF(AND(IFERROR(INDEX(tblMoveTypes[Courier?],MATCH($C90,tblMoveTypes[Movement],0)),"?")="Yes",$I90=""),"Courier needed",IF(AND(IFERROR(INDEX(tblMoveTypes[Courier?],MATCH($C90,tblMoveTypes[Movement],0)),"?")="No",$I90&lt;&gt;""),"Leave Courier blank",IF(AND(IFERROR(INDEX(tblMoveTypes[Orders?],MATCH($C90,tblMoveTypes[Movement],0)),"?")="Yes",$H90=""),"Orders needed",IF(AND(IFERROR(INDEX(tblMoveTypes[Orders?],MATCH($C90,tblMoveTypes[Movement],0)),"?")="No",$H90&lt;&gt;""),"Leave Orders blank",IF(AND(IFERROR(INDEX(tblMoveTypes[Reason?],MATCH($C90,tblMoveTypes[Movement],0)),"?")="Yes",$J90=""),"Reason needed",IF($A90&lt;_xlfn.MINIFS(tblShipment[Arrival Date],tblShipment[Shipment No],$B90),"Date before arrival",IF(AND($E90&lt;&gt;"",COUNTIFS(tblShipment[Shipment No],$B90,tblShipment[Item Name],$E90)=0),"Item not in this shipment","OK")))))))))))))))))</f>
        <v>OK</v>
      </c>
    </row>
    <row r="91" customFormat="false" ht="15" hidden="false" customHeight="false" outlineLevel="0" collapsed="false">
      <c r="A91" s="32" t="n">
        <v>46232</v>
      </c>
      <c r="B91" s="31" t="s">
        <v>160</v>
      </c>
      <c r="C91" s="31" t="s">
        <v>78</v>
      </c>
      <c r="D91" s="34" t="str">
        <f aca="false">IF($C91="","",IFERROR(IF(IFERROR(INDEX(tblMoveTypes[In / Out],MATCH($C91,tblMoveTypes[Movement],0)),"?")="IN","IN   ",IF(IFERROR(INDEX(tblMoveTypes[In / Out],MATCH($C91,tblMoveTypes[Movement],0)),"?")="OUT","OUT   ","--   "))&amp;"fill: "&amp;IF(IFERROR(INDEX(tblMoveTypes[Item?],MATCH($C91,tblMoveTypes[Movement],0)),"?")="Yes","Item  ","")&amp;IF(AND(IFERROR(INDEX(tblMoveTypes[Qty?],MATCH($C91,tblMoveTypes[Movement],0)),"?")="Yes",IFERROR(INDEX(tblMoveTypes[In / Out],MATCH($C91,tblMoveTypes[Movement],0)),"?")="IN"),"In  ","")&amp;IF(AND(IFERROR(INDEX(tblMoveTypes[Qty?],MATCH($C91,tblMoveTypes[Movement],0)),"?")="Yes",IFERROR(INDEX(tblMoveTypes[In / Out],MATCH($C91,tblMoveTypes[Movement],0)),"?")="OUT"),"Out  ","")&amp;IF(IFERROR(INDEX(tblMoveTypes[Orders?],MATCH($C91,tblMoveTypes[Movement],0)),"?")="Yes","Orders  ","")&amp;IF(IFERROR(INDEX(tblMoveTypes[Courier?],MATCH($C91,tblMoveTypes[Movement],0)),"?")="Yes","Courier  ","")&amp;IF(IFERROR(INDEX(tblMoveTypes[Reason?],MATCH($C91,tblMoveTypes[Movement],0)),"?")="Yes","Reason",""),"unknown movement"))</f>
        <v>OUT   fill: Item  Out  Reason</v>
      </c>
      <c r="E91" s="31" t="s">
        <v>100</v>
      </c>
      <c r="F91" s="33"/>
      <c r="G91" s="33" t="n">
        <v>1</v>
      </c>
      <c r="H91" s="33"/>
      <c r="I91" s="31"/>
      <c r="J91" s="31" t="s">
        <v>86</v>
      </c>
      <c r="K91" s="31"/>
      <c r="L91" s="31"/>
      <c r="M91" s="34" t="str">
        <f aca="false">IF($E91="","",IFERROR(INDEX(tblItems[Item Code],MATCH($E91,tblItems[Item Name],0)),"?"))</f>
        <v>EG-FG-MNG-18-02-01-01</v>
      </c>
      <c r="N91" s="34" t="str">
        <f aca="false">IF($B91="","",IFERROR(INDEX(tblShipment[Market],MATCH($B91,tblShipment[Shipment No],0)),"?"))</f>
        <v>Qatar</v>
      </c>
      <c r="O91" s="35" t="n">
        <f aca="false">N($F91)+N($G91)</f>
        <v>1</v>
      </c>
      <c r="P91" s="34" t="str">
        <f aca="false">IF($A91="","",IF($L91="Yes","VOID",IF(COUNTIFS(tblMoveTypes[Movement],$C91)=0,"Unknown movement",IF(COUNTIF(tblShipment[Shipment No],$B91)=0,"Unknown shipment",IF(AND(IFERROR(INDEX(tblMoveTypes[Item?],MATCH($C91,tblMoveTypes[Movement],0)),"?")="Yes",$E91=""),"Item needed",IF(AND(IFERROR(INDEX(tblMoveTypes[Item?],MATCH($C91,tblMoveTypes[Movement],0)),"?")="No",$E91&lt;&gt;""),"Leave Item blank",IF(AND(IFERROR(INDEX(tblMoveTypes[In / Out],MATCH($C91,tblMoveTypes[Movement],0)),"?")="IN",$G91&lt;&gt;""),"Use the In column, not Out",IF(AND(IFERROR(INDEX(tblMoveTypes[In / Out],MATCH($C91,tblMoveTypes[Movement],0)),"?")="OUT",$F91&lt;&gt;""),"Use the Out column, not In",IF(AND(IFERROR(INDEX(tblMoveTypes[Qty?],MATCH($C91,tblMoveTypes[Movement],0)),"?")="Yes",N($F91)+N($G91)&lt;=0),"Qty needed",IF(AND(IFERROR(INDEX(tblMoveTypes[Qty?],MATCH($C91,tblMoveTypes[Movement],0)),"?")="No",N($F91)+N($G91)&gt;0),"Leave In and Out blank",IF(AND(IFERROR(INDEX(tblMoveTypes[Courier?],MATCH($C91,tblMoveTypes[Movement],0)),"?")="Yes",$I91=""),"Courier needed",IF(AND(IFERROR(INDEX(tblMoveTypes[Courier?],MATCH($C91,tblMoveTypes[Movement],0)),"?")="No",$I91&lt;&gt;""),"Leave Courier blank",IF(AND(IFERROR(INDEX(tblMoveTypes[Orders?],MATCH($C91,tblMoveTypes[Movement],0)),"?")="Yes",$H91=""),"Orders needed",IF(AND(IFERROR(INDEX(tblMoveTypes[Orders?],MATCH($C91,tblMoveTypes[Movement],0)),"?")="No",$H91&lt;&gt;""),"Leave Orders blank",IF(AND(IFERROR(INDEX(tblMoveTypes[Reason?],MATCH($C91,tblMoveTypes[Movement],0)),"?")="Yes",$J91=""),"Reason needed",IF($A91&lt;_xlfn.MINIFS(tblShipment[Arrival Date],tblShipment[Shipment No],$B91),"Date before arrival",IF(AND($E91&lt;&gt;"",COUNTIFS(tblShipment[Shipment No],$B91,tblShipment[Item Name],$E91)=0),"Item not in this shipment","OK")))))))))))))))))</f>
        <v>OK</v>
      </c>
    </row>
    <row r="92" customFormat="false" ht="15" hidden="false" customHeight="false" outlineLevel="0" collapsed="false">
      <c r="A92" s="32" t="n">
        <v>46232</v>
      </c>
      <c r="B92" s="31" t="s">
        <v>160</v>
      </c>
      <c r="C92" s="31" t="s">
        <v>79</v>
      </c>
      <c r="D92" s="34" t="str">
        <f aca="false">IF($C92="","",IFERROR(IF(IFERROR(INDEX(tblMoveTypes[In / Out],MATCH($C92,tblMoveTypes[Movement],0)),"?")="IN","IN   ",IF(IFERROR(INDEX(tblMoveTypes[In / Out],MATCH($C92,tblMoveTypes[Movement],0)),"?")="OUT","OUT   ","--   "))&amp;"fill: "&amp;IF(IFERROR(INDEX(tblMoveTypes[Item?],MATCH($C92,tblMoveTypes[Movement],0)),"?")="Yes","Item  ","")&amp;IF(AND(IFERROR(INDEX(tblMoveTypes[Qty?],MATCH($C92,tblMoveTypes[Movement],0)),"?")="Yes",IFERROR(INDEX(tblMoveTypes[In / Out],MATCH($C92,tblMoveTypes[Movement],0)),"?")="IN"),"In  ","")&amp;IF(AND(IFERROR(INDEX(tblMoveTypes[Qty?],MATCH($C92,tblMoveTypes[Movement],0)),"?")="Yes",IFERROR(INDEX(tblMoveTypes[In / Out],MATCH($C92,tblMoveTypes[Movement],0)),"?")="OUT"),"Out  ","")&amp;IF(IFERROR(INDEX(tblMoveTypes[Orders?],MATCH($C92,tblMoveTypes[Movement],0)),"?")="Yes","Orders  ","")&amp;IF(IFERROR(INDEX(tblMoveTypes[Courier?],MATCH($C92,tblMoveTypes[Movement],0)),"?")="Yes","Courier  ","")&amp;IF(IFERROR(INDEX(tblMoveTypes[Reason?],MATCH($C92,tblMoveTypes[Movement],0)),"?")="Yes","Reason",""),"unknown movement"))</f>
        <v>IN   fill: Item  In  </v>
      </c>
      <c r="E92" s="31" t="s">
        <v>91</v>
      </c>
      <c r="F92" s="33" t="n">
        <v>75</v>
      </c>
      <c r="G92" s="33"/>
      <c r="H92" s="33"/>
      <c r="I92" s="31"/>
      <c r="J92" s="31"/>
      <c r="K92" s="31"/>
      <c r="L92" s="31"/>
      <c r="M92" s="34" t="str">
        <f aca="false">IF($E92="","",IFERROR(INDEX(tblItems[Item Code],MATCH($E92,tblItems[Item Name],0)),"?"))</f>
        <v>EG-FG-FIG-01-02-01-01</v>
      </c>
      <c r="N92" s="34" t="str">
        <f aca="false">IF($B92="","",IFERROR(INDEX(tblShipment[Market],MATCH($B92,tblShipment[Shipment No],0)),"?"))</f>
        <v>Qatar</v>
      </c>
      <c r="O92" s="35" t="n">
        <f aca="false">N($F92)+N($G92)</f>
        <v>75</v>
      </c>
      <c r="P92" s="34" t="str">
        <f aca="false">IF($A92="","",IF($L92="Yes","VOID",IF(COUNTIFS(tblMoveTypes[Movement],$C92)=0,"Unknown movement",IF(COUNTIF(tblShipment[Shipment No],$B92)=0,"Unknown shipment",IF(AND(IFERROR(INDEX(tblMoveTypes[Item?],MATCH($C92,tblMoveTypes[Movement],0)),"?")="Yes",$E92=""),"Item needed",IF(AND(IFERROR(INDEX(tblMoveTypes[Item?],MATCH($C92,tblMoveTypes[Movement],0)),"?")="No",$E92&lt;&gt;""),"Leave Item blank",IF(AND(IFERROR(INDEX(tblMoveTypes[In / Out],MATCH($C92,tblMoveTypes[Movement],0)),"?")="IN",$G92&lt;&gt;""),"Use the In column, not Out",IF(AND(IFERROR(INDEX(tblMoveTypes[In / Out],MATCH($C92,tblMoveTypes[Movement],0)),"?")="OUT",$F92&lt;&gt;""),"Use the Out column, not In",IF(AND(IFERROR(INDEX(tblMoveTypes[Qty?],MATCH($C92,tblMoveTypes[Movement],0)),"?")="Yes",N($F92)+N($G92)&lt;=0),"Qty needed",IF(AND(IFERROR(INDEX(tblMoveTypes[Qty?],MATCH($C92,tblMoveTypes[Movement],0)),"?")="No",N($F92)+N($G92)&gt;0),"Leave In and Out blank",IF(AND(IFERROR(INDEX(tblMoveTypes[Courier?],MATCH($C92,tblMoveTypes[Movement],0)),"?")="Yes",$I92=""),"Courier needed",IF(AND(IFERROR(INDEX(tblMoveTypes[Courier?],MATCH($C92,tblMoveTypes[Movement],0)),"?")="No",$I92&lt;&gt;""),"Leave Courier blank",IF(AND(IFERROR(INDEX(tblMoveTypes[Orders?],MATCH($C92,tblMoveTypes[Movement],0)),"?")="Yes",$H92=""),"Orders needed",IF(AND(IFERROR(INDEX(tblMoveTypes[Orders?],MATCH($C92,tblMoveTypes[Movement],0)),"?")="No",$H92&lt;&gt;""),"Leave Orders blank",IF(AND(IFERROR(INDEX(tblMoveTypes[Reason?],MATCH($C92,tblMoveTypes[Movement],0)),"?")="Yes",$J92=""),"Reason needed",IF($A92&lt;_xlfn.MINIFS(tblShipment[Arrival Date],tblShipment[Shipment No],$B92),"Date before arrival",IF(AND($E92&lt;&gt;"",COUNTIFS(tblShipment[Shipment No],$B92,tblShipment[Item Name],$E92)=0),"Item not in this shipment","OK")))))))))))))))))</f>
        <v>OK</v>
      </c>
    </row>
    <row r="93" customFormat="false" ht="15" hidden="false" customHeight="false" outlineLevel="0" collapsed="false">
      <c r="A93" s="32" t="n">
        <v>46232</v>
      </c>
      <c r="B93" s="31" t="s">
        <v>160</v>
      </c>
      <c r="C93" s="31" t="s">
        <v>78</v>
      </c>
      <c r="D93" s="34" t="str">
        <f aca="false">IF($C93="","",IFERROR(IF(IFERROR(INDEX(tblMoveTypes[In / Out],MATCH($C93,tblMoveTypes[Movement],0)),"?")="IN","IN   ",IF(IFERROR(INDEX(tblMoveTypes[In / Out],MATCH($C93,tblMoveTypes[Movement],0)),"?")="OUT","OUT   ","--   "))&amp;"fill: "&amp;IF(IFERROR(INDEX(tblMoveTypes[Item?],MATCH($C93,tblMoveTypes[Movement],0)),"?")="Yes","Item  ","")&amp;IF(AND(IFERROR(INDEX(tblMoveTypes[Qty?],MATCH($C93,tblMoveTypes[Movement],0)),"?")="Yes",IFERROR(INDEX(tblMoveTypes[In / Out],MATCH($C93,tblMoveTypes[Movement],0)),"?")="IN"),"In  ","")&amp;IF(AND(IFERROR(INDEX(tblMoveTypes[Qty?],MATCH($C93,tblMoveTypes[Movement],0)),"?")="Yes",IFERROR(INDEX(tblMoveTypes[In / Out],MATCH($C93,tblMoveTypes[Movement],0)),"?")="OUT"),"Out  ","")&amp;IF(IFERROR(INDEX(tblMoveTypes[Orders?],MATCH($C93,tblMoveTypes[Movement],0)),"?")="Yes","Orders  ","")&amp;IF(IFERROR(INDEX(tblMoveTypes[Courier?],MATCH($C93,tblMoveTypes[Movement],0)),"?")="Yes","Courier  ","")&amp;IF(IFERROR(INDEX(tblMoveTypes[Reason?],MATCH($C93,tblMoveTypes[Movement],0)),"?")="Yes","Reason",""),"unknown movement"))</f>
        <v>OUT   fill: Item  Out  Reason</v>
      </c>
      <c r="E93" s="31" t="s">
        <v>91</v>
      </c>
      <c r="F93" s="33"/>
      <c r="G93" s="33" t="n">
        <v>2</v>
      </c>
      <c r="H93" s="33"/>
      <c r="I93" s="31"/>
      <c r="J93" s="31" t="s">
        <v>77</v>
      </c>
      <c r="K93" s="31"/>
      <c r="L93" s="31"/>
      <c r="M93" s="34" t="str">
        <f aca="false">IF($E93="","",IFERROR(INDEX(tblItems[Item Code],MATCH($E93,tblItems[Item Name],0)),"?"))</f>
        <v>EG-FG-FIG-01-02-01-01</v>
      </c>
      <c r="N93" s="34" t="str">
        <f aca="false">IF($B93="","",IFERROR(INDEX(tblShipment[Market],MATCH($B93,tblShipment[Shipment No],0)),"?"))</f>
        <v>Qatar</v>
      </c>
      <c r="O93" s="35" t="n">
        <f aca="false">N($F93)+N($G93)</f>
        <v>2</v>
      </c>
      <c r="P93" s="34" t="str">
        <f aca="false">IF($A93="","",IF($L93="Yes","VOID",IF(COUNTIFS(tblMoveTypes[Movement],$C93)=0,"Unknown movement",IF(COUNTIF(tblShipment[Shipment No],$B93)=0,"Unknown shipment",IF(AND(IFERROR(INDEX(tblMoveTypes[Item?],MATCH($C93,tblMoveTypes[Movement],0)),"?")="Yes",$E93=""),"Item needed",IF(AND(IFERROR(INDEX(tblMoveTypes[Item?],MATCH($C93,tblMoveTypes[Movement],0)),"?")="No",$E93&lt;&gt;""),"Leave Item blank",IF(AND(IFERROR(INDEX(tblMoveTypes[In / Out],MATCH($C93,tblMoveTypes[Movement],0)),"?")="IN",$G93&lt;&gt;""),"Use the In column, not Out",IF(AND(IFERROR(INDEX(tblMoveTypes[In / Out],MATCH($C93,tblMoveTypes[Movement],0)),"?")="OUT",$F93&lt;&gt;""),"Use the Out column, not In",IF(AND(IFERROR(INDEX(tblMoveTypes[Qty?],MATCH($C93,tblMoveTypes[Movement],0)),"?")="Yes",N($F93)+N($G93)&lt;=0),"Qty needed",IF(AND(IFERROR(INDEX(tblMoveTypes[Qty?],MATCH($C93,tblMoveTypes[Movement],0)),"?")="No",N($F93)+N($G93)&gt;0),"Leave In and Out blank",IF(AND(IFERROR(INDEX(tblMoveTypes[Courier?],MATCH($C93,tblMoveTypes[Movement],0)),"?")="Yes",$I93=""),"Courier needed",IF(AND(IFERROR(INDEX(tblMoveTypes[Courier?],MATCH($C93,tblMoveTypes[Movement],0)),"?")="No",$I93&lt;&gt;""),"Leave Courier blank",IF(AND(IFERROR(INDEX(tblMoveTypes[Orders?],MATCH($C93,tblMoveTypes[Movement],0)),"?")="Yes",$H93=""),"Orders needed",IF(AND(IFERROR(INDEX(tblMoveTypes[Orders?],MATCH($C93,tblMoveTypes[Movement],0)),"?")="No",$H93&lt;&gt;""),"Leave Orders blank",IF(AND(IFERROR(INDEX(tblMoveTypes[Reason?],MATCH($C93,tblMoveTypes[Movement],0)),"?")="Yes",$J93=""),"Reason needed",IF($A93&lt;_xlfn.MINIFS(tblShipment[Arrival Date],tblShipment[Shipment No],$B93),"Date before arrival",IF(AND($E93&lt;&gt;"",COUNTIFS(tblShipment[Shipment No],$B93,tblShipment[Item Name],$E93)=0),"Item not in this shipment","OK")))))))))))))))))</f>
        <v>OK</v>
      </c>
    </row>
    <row r="94" customFormat="false" ht="15" hidden="false" customHeight="false" outlineLevel="0" collapsed="false">
      <c r="A94" s="32" t="n">
        <v>46232</v>
      </c>
      <c r="B94" s="31" t="s">
        <v>160</v>
      </c>
      <c r="C94" s="31" t="s">
        <v>79</v>
      </c>
      <c r="D94" s="34" t="str">
        <f aca="false">IF($C94="","",IFERROR(IF(IFERROR(INDEX(tblMoveTypes[In / Out],MATCH($C94,tblMoveTypes[Movement],0)),"?")="IN","IN   ",IF(IFERROR(INDEX(tblMoveTypes[In / Out],MATCH($C94,tblMoveTypes[Movement],0)),"?")="OUT","OUT   ","--   "))&amp;"fill: "&amp;IF(IFERROR(INDEX(tblMoveTypes[Item?],MATCH($C94,tblMoveTypes[Movement],0)),"?")="Yes","Item  ","")&amp;IF(AND(IFERROR(INDEX(tblMoveTypes[Qty?],MATCH($C94,tblMoveTypes[Movement],0)),"?")="Yes",IFERROR(INDEX(tblMoveTypes[In / Out],MATCH($C94,tblMoveTypes[Movement],0)),"?")="IN"),"In  ","")&amp;IF(AND(IFERROR(INDEX(tblMoveTypes[Qty?],MATCH($C94,tblMoveTypes[Movement],0)),"?")="Yes",IFERROR(INDEX(tblMoveTypes[In / Out],MATCH($C94,tblMoveTypes[Movement],0)),"?")="OUT"),"Out  ","")&amp;IF(IFERROR(INDEX(tblMoveTypes[Orders?],MATCH($C94,tblMoveTypes[Movement],0)),"?")="Yes","Orders  ","")&amp;IF(IFERROR(INDEX(tblMoveTypes[Courier?],MATCH($C94,tblMoveTypes[Movement],0)),"?")="Yes","Courier  ","")&amp;IF(IFERROR(INDEX(tblMoveTypes[Reason?],MATCH($C94,tblMoveTypes[Movement],0)),"?")="Yes","Reason",""),"unknown movement"))</f>
        <v>IN   fill: Item  In  </v>
      </c>
      <c r="E94" s="31" t="s">
        <v>143</v>
      </c>
      <c r="F94" s="33" t="n">
        <v>20</v>
      </c>
      <c r="G94" s="33"/>
      <c r="H94" s="33"/>
      <c r="I94" s="31"/>
      <c r="J94" s="31"/>
      <c r="K94" s="31"/>
      <c r="L94" s="31"/>
      <c r="M94" s="34" t="str">
        <f aca="false">IF($E94="","",IFERROR(INDEX(tblItems[Item Code],MATCH($E94,tblItems[Item Name],0)),"?"))</f>
        <v>EG-FG-MNG-11-02-01-01</v>
      </c>
      <c r="N94" s="34" t="str">
        <f aca="false">IF($B94="","",IFERROR(INDEX(tblShipment[Market],MATCH($B94,tblShipment[Shipment No],0)),"?"))</f>
        <v>Qatar</v>
      </c>
      <c r="O94" s="35" t="n">
        <f aca="false">N($F94)+N($G94)</f>
        <v>20</v>
      </c>
      <c r="P94" s="34" t="str">
        <f aca="false">IF($A94="","",IF($L94="Yes","VOID",IF(COUNTIFS(tblMoveTypes[Movement],$C94)=0,"Unknown movement",IF(COUNTIF(tblShipment[Shipment No],$B94)=0,"Unknown shipment",IF(AND(IFERROR(INDEX(tblMoveTypes[Item?],MATCH($C94,tblMoveTypes[Movement],0)),"?")="Yes",$E94=""),"Item needed",IF(AND(IFERROR(INDEX(tblMoveTypes[Item?],MATCH($C94,tblMoveTypes[Movement],0)),"?")="No",$E94&lt;&gt;""),"Leave Item blank",IF(AND(IFERROR(INDEX(tblMoveTypes[In / Out],MATCH($C94,tblMoveTypes[Movement],0)),"?")="IN",$G94&lt;&gt;""),"Use the In column, not Out",IF(AND(IFERROR(INDEX(tblMoveTypes[In / Out],MATCH($C94,tblMoveTypes[Movement],0)),"?")="OUT",$F94&lt;&gt;""),"Use the Out column, not In",IF(AND(IFERROR(INDEX(tblMoveTypes[Qty?],MATCH($C94,tblMoveTypes[Movement],0)),"?")="Yes",N($F94)+N($G94)&lt;=0),"Qty needed",IF(AND(IFERROR(INDEX(tblMoveTypes[Qty?],MATCH($C94,tblMoveTypes[Movement],0)),"?")="No",N($F94)+N($G94)&gt;0),"Leave In and Out blank",IF(AND(IFERROR(INDEX(tblMoveTypes[Courier?],MATCH($C94,tblMoveTypes[Movement],0)),"?")="Yes",$I94=""),"Courier needed",IF(AND(IFERROR(INDEX(tblMoveTypes[Courier?],MATCH($C94,tblMoveTypes[Movement],0)),"?")="No",$I94&lt;&gt;""),"Leave Courier blank",IF(AND(IFERROR(INDEX(tblMoveTypes[Orders?],MATCH($C94,tblMoveTypes[Movement],0)),"?")="Yes",$H94=""),"Orders needed",IF(AND(IFERROR(INDEX(tblMoveTypes[Orders?],MATCH($C94,tblMoveTypes[Movement],0)),"?")="No",$H94&lt;&gt;""),"Leave Orders blank",IF(AND(IFERROR(INDEX(tblMoveTypes[Reason?],MATCH($C94,tblMoveTypes[Movement],0)),"?")="Yes",$J94=""),"Reason needed",IF($A94&lt;_xlfn.MINIFS(tblShipment[Arrival Date],tblShipment[Shipment No],$B94),"Date before arrival",IF(AND($E94&lt;&gt;"",COUNTIFS(tblShipment[Shipment No],$B94,tblShipment[Item Name],$E94)=0),"Item not in this shipment","OK")))))))))))))))))</f>
        <v>OK</v>
      </c>
    </row>
    <row r="95" customFormat="false" ht="15" hidden="false" customHeight="false" outlineLevel="0" collapsed="false">
      <c r="A95" s="32" t="n">
        <v>46232</v>
      </c>
      <c r="B95" s="31" t="s">
        <v>160</v>
      </c>
      <c r="C95" s="31" t="s">
        <v>79</v>
      </c>
      <c r="D95" s="34" t="str">
        <f aca="false">IF($C95="","",IFERROR(IF(IFERROR(INDEX(tblMoveTypes[In / Out],MATCH($C95,tblMoveTypes[Movement],0)),"?")="IN","IN   ",IF(IFERROR(INDEX(tblMoveTypes[In / Out],MATCH($C95,tblMoveTypes[Movement],0)),"?")="OUT","OUT   ","--   "))&amp;"fill: "&amp;IF(IFERROR(INDEX(tblMoveTypes[Item?],MATCH($C95,tblMoveTypes[Movement],0)),"?")="Yes","Item  ","")&amp;IF(AND(IFERROR(INDEX(tblMoveTypes[Qty?],MATCH($C95,tblMoveTypes[Movement],0)),"?")="Yes",IFERROR(INDEX(tblMoveTypes[In / Out],MATCH($C95,tblMoveTypes[Movement],0)),"?")="IN"),"In  ","")&amp;IF(AND(IFERROR(INDEX(tblMoveTypes[Qty?],MATCH($C95,tblMoveTypes[Movement],0)),"?")="Yes",IFERROR(INDEX(tblMoveTypes[In / Out],MATCH($C95,tblMoveTypes[Movement],0)),"?")="OUT"),"Out  ","")&amp;IF(IFERROR(INDEX(tblMoveTypes[Orders?],MATCH($C95,tblMoveTypes[Movement],0)),"?")="Yes","Orders  ","")&amp;IF(IFERROR(INDEX(tblMoveTypes[Courier?],MATCH($C95,tblMoveTypes[Movement],0)),"?")="Yes","Courier  ","")&amp;IF(IFERROR(INDEX(tblMoveTypes[Reason?],MATCH($C95,tblMoveTypes[Movement],0)),"?")="Yes","Reason",""),"unknown movement"))</f>
        <v>IN   fill: Item  In  </v>
      </c>
      <c r="E95" s="31" t="s">
        <v>132</v>
      </c>
      <c r="F95" s="33" t="n">
        <v>20</v>
      </c>
      <c r="G95" s="33"/>
      <c r="H95" s="33"/>
      <c r="I95" s="31"/>
      <c r="J95" s="31"/>
      <c r="K95" s="31"/>
      <c r="L95" s="31"/>
      <c r="M95" s="34" t="str">
        <f aca="false">IF($E95="","",IFERROR(INDEX(tblItems[Item Code],MATCH($E95,tblItems[Item Name],0)),"?"))</f>
        <v>EG-FG-MNG-15-02-01-01</v>
      </c>
      <c r="N95" s="34" t="str">
        <f aca="false">IF($B95="","",IFERROR(INDEX(tblShipment[Market],MATCH($B95,tblShipment[Shipment No],0)),"?"))</f>
        <v>Qatar</v>
      </c>
      <c r="O95" s="35" t="n">
        <f aca="false">N($F95)+N($G95)</f>
        <v>20</v>
      </c>
      <c r="P95" s="34" t="str">
        <f aca="false">IF($A95="","",IF($L95="Yes","VOID",IF(COUNTIFS(tblMoveTypes[Movement],$C95)=0,"Unknown movement",IF(COUNTIF(tblShipment[Shipment No],$B95)=0,"Unknown shipment",IF(AND(IFERROR(INDEX(tblMoveTypes[Item?],MATCH($C95,tblMoveTypes[Movement],0)),"?")="Yes",$E95=""),"Item needed",IF(AND(IFERROR(INDEX(tblMoveTypes[Item?],MATCH($C95,tblMoveTypes[Movement],0)),"?")="No",$E95&lt;&gt;""),"Leave Item blank",IF(AND(IFERROR(INDEX(tblMoveTypes[In / Out],MATCH($C95,tblMoveTypes[Movement],0)),"?")="IN",$G95&lt;&gt;""),"Use the In column, not Out",IF(AND(IFERROR(INDEX(tblMoveTypes[In / Out],MATCH($C95,tblMoveTypes[Movement],0)),"?")="OUT",$F95&lt;&gt;""),"Use the Out column, not In",IF(AND(IFERROR(INDEX(tblMoveTypes[Qty?],MATCH($C95,tblMoveTypes[Movement],0)),"?")="Yes",N($F95)+N($G95)&lt;=0),"Qty needed",IF(AND(IFERROR(INDEX(tblMoveTypes[Qty?],MATCH($C95,tblMoveTypes[Movement],0)),"?")="No",N($F95)+N($G95)&gt;0),"Leave In and Out blank",IF(AND(IFERROR(INDEX(tblMoveTypes[Courier?],MATCH($C95,tblMoveTypes[Movement],0)),"?")="Yes",$I95=""),"Courier needed",IF(AND(IFERROR(INDEX(tblMoveTypes[Courier?],MATCH($C95,tblMoveTypes[Movement],0)),"?")="No",$I95&lt;&gt;""),"Leave Courier blank",IF(AND(IFERROR(INDEX(tblMoveTypes[Orders?],MATCH($C95,tblMoveTypes[Movement],0)),"?")="Yes",$H95=""),"Orders needed",IF(AND(IFERROR(INDEX(tblMoveTypes[Orders?],MATCH($C95,tblMoveTypes[Movement],0)),"?")="No",$H95&lt;&gt;""),"Leave Orders blank",IF(AND(IFERROR(INDEX(tblMoveTypes[Reason?],MATCH($C95,tblMoveTypes[Movement],0)),"?")="Yes",$J95=""),"Reason needed",IF($A95&lt;_xlfn.MINIFS(tblShipment[Arrival Date],tblShipment[Shipment No],$B95),"Date before arrival",IF(AND($E95&lt;&gt;"",COUNTIFS(tblShipment[Shipment No],$B95,tblShipment[Item Name],$E95)=0),"Item not in this shipment","OK")))))))))))))))))</f>
        <v>OK</v>
      </c>
    </row>
    <row r="96" customFormat="false" ht="15" hidden="false" customHeight="false" outlineLevel="0" collapsed="false">
      <c r="A96" s="32" t="n">
        <v>46232</v>
      </c>
      <c r="B96" s="31" t="s">
        <v>160</v>
      </c>
      <c r="C96" s="31" t="s">
        <v>103</v>
      </c>
      <c r="D96" s="34" t="str">
        <f aca="false">IF($C96="","",IFERROR(IF(IFERROR(INDEX(tblMoveTypes[In / Out],MATCH($C96,tblMoveTypes[Movement],0)),"?")="IN","IN   ",IF(IFERROR(INDEX(tblMoveTypes[In / Out],MATCH($C96,tblMoveTypes[Movement],0)),"?")="OUT","OUT   ","--   "))&amp;"fill: "&amp;IF(IFERROR(INDEX(tblMoveTypes[Item?],MATCH($C96,tblMoveTypes[Movement],0)),"?")="Yes","Item  ","")&amp;IF(AND(IFERROR(INDEX(tblMoveTypes[Qty?],MATCH($C96,tblMoveTypes[Movement],0)),"?")="Yes",IFERROR(INDEX(tblMoveTypes[In / Out],MATCH($C96,tblMoveTypes[Movement],0)),"?")="IN"),"In  ","")&amp;IF(AND(IFERROR(INDEX(tblMoveTypes[Qty?],MATCH($C96,tblMoveTypes[Movement],0)),"?")="Yes",IFERROR(INDEX(tblMoveTypes[In / Out],MATCH($C96,tblMoveTypes[Movement],0)),"?")="OUT"),"Out  ","")&amp;IF(IFERROR(INDEX(tblMoveTypes[Orders?],MATCH($C96,tblMoveTypes[Movement],0)),"?")="Yes","Orders  ","")&amp;IF(IFERROR(INDEX(tblMoveTypes[Courier?],MATCH($C96,tblMoveTypes[Movement],0)),"?")="Yes","Courier  ","")&amp;IF(IFERROR(INDEX(tblMoveTypes[Reason?],MATCH($C96,tblMoveTypes[Movement],0)),"?")="Yes","Reason",""),"unknown movement"))</f>
        <v>--   fill: Orders  </v>
      </c>
      <c r="E96" s="31"/>
      <c r="F96" s="33"/>
      <c r="G96" s="33"/>
      <c r="H96" s="33" t="n">
        <v>199</v>
      </c>
      <c r="I96" s="31"/>
      <c r="J96" s="31"/>
      <c r="K96" s="31"/>
      <c r="L96" s="31"/>
      <c r="M96" s="34" t="str">
        <f aca="false">IF($E96="","",IFERROR(INDEX(tblItems[Item Code],MATCH($E96,tblItems[Item Name],0)),"?"))</f>
        <v/>
      </c>
      <c r="N96" s="34" t="str">
        <f aca="false">IF($B96="","",IFERROR(INDEX(tblShipment[Market],MATCH($B96,tblShipment[Shipment No],0)),"?"))</f>
        <v>Qatar</v>
      </c>
      <c r="O96" s="35" t="n">
        <f aca="false">N($F96)+N($G96)</f>
        <v>0</v>
      </c>
      <c r="P96" s="34" t="str">
        <f aca="false">IF($A96="","",IF($L96="Yes","VOID",IF(COUNTIFS(tblMoveTypes[Movement],$C96)=0,"Unknown movement",IF(COUNTIF(tblShipment[Shipment No],$B96)=0,"Unknown shipment",IF(AND(IFERROR(INDEX(tblMoveTypes[Item?],MATCH($C96,tblMoveTypes[Movement],0)),"?")="Yes",$E96=""),"Item needed",IF(AND(IFERROR(INDEX(tblMoveTypes[Item?],MATCH($C96,tblMoveTypes[Movement],0)),"?")="No",$E96&lt;&gt;""),"Leave Item blank",IF(AND(IFERROR(INDEX(tblMoveTypes[In / Out],MATCH($C96,tblMoveTypes[Movement],0)),"?")="IN",$G96&lt;&gt;""),"Use the In column, not Out",IF(AND(IFERROR(INDEX(tblMoveTypes[In / Out],MATCH($C96,tblMoveTypes[Movement],0)),"?")="OUT",$F96&lt;&gt;""),"Use the Out column, not In",IF(AND(IFERROR(INDEX(tblMoveTypes[Qty?],MATCH($C96,tblMoveTypes[Movement],0)),"?")="Yes",N($F96)+N($G96)&lt;=0),"Qty needed",IF(AND(IFERROR(INDEX(tblMoveTypes[Qty?],MATCH($C96,tblMoveTypes[Movement],0)),"?")="No",N($F96)+N($G96)&gt;0),"Leave In and Out blank",IF(AND(IFERROR(INDEX(tblMoveTypes[Courier?],MATCH($C96,tblMoveTypes[Movement],0)),"?")="Yes",$I96=""),"Courier needed",IF(AND(IFERROR(INDEX(tblMoveTypes[Courier?],MATCH($C96,tblMoveTypes[Movement],0)),"?")="No",$I96&lt;&gt;""),"Leave Courier blank",IF(AND(IFERROR(INDEX(tblMoveTypes[Orders?],MATCH($C96,tblMoveTypes[Movement],0)),"?")="Yes",$H96=""),"Orders needed",IF(AND(IFERROR(INDEX(tblMoveTypes[Orders?],MATCH($C96,tblMoveTypes[Movement],0)),"?")="No",$H96&lt;&gt;""),"Leave Orders blank",IF(AND(IFERROR(INDEX(tblMoveTypes[Reason?],MATCH($C96,tblMoveTypes[Movement],0)),"?")="Yes",$J96=""),"Reason needed",IF($A96&lt;_xlfn.MINIFS(tblShipment[Arrival Date],tblShipment[Shipment No],$B96),"Date before arrival",IF(AND($E96&lt;&gt;"",COUNTIFS(tblShipment[Shipment No],$B96,tblShipment[Item Name],$E96)=0),"Item not in this shipment","OK")))))))))))))))))</f>
        <v>OK</v>
      </c>
    </row>
    <row r="97" customFormat="false" ht="15" hidden="false" customHeight="false" outlineLevel="0" collapsed="false">
      <c r="A97" s="32" t="n">
        <v>46232</v>
      </c>
      <c r="B97" s="31" t="s">
        <v>160</v>
      </c>
      <c r="C97" s="31" t="s">
        <v>98</v>
      </c>
      <c r="D97" s="34" t="str">
        <f aca="false">IF($C97="","",IFERROR(IF(IFERROR(INDEX(tblMoveTypes[In / Out],MATCH($C97,tblMoveTypes[Movement],0)),"?")="IN","IN   ",IF(IFERROR(INDEX(tblMoveTypes[In / Out],MATCH($C97,tblMoveTypes[Movement],0)),"?")="OUT","OUT   ","--   "))&amp;"fill: "&amp;IF(IFERROR(INDEX(tblMoveTypes[Item?],MATCH($C97,tblMoveTypes[Movement],0)),"?")="Yes","Item  ","")&amp;IF(AND(IFERROR(INDEX(tblMoveTypes[Qty?],MATCH($C97,tblMoveTypes[Movement],0)),"?")="Yes",IFERROR(INDEX(tblMoveTypes[In / Out],MATCH($C97,tblMoveTypes[Movement],0)),"?")="IN"),"In  ","")&amp;IF(AND(IFERROR(INDEX(tblMoveTypes[Qty?],MATCH($C97,tblMoveTypes[Movement],0)),"?")="Yes",IFERROR(INDEX(tblMoveTypes[In / Out],MATCH($C97,tblMoveTypes[Movement],0)),"?")="OUT"),"Out  ","")&amp;IF(IFERROR(INDEX(tblMoveTypes[Orders?],MATCH($C97,tblMoveTypes[Movement],0)),"?")="Yes","Orders  ","")&amp;IF(IFERROR(INDEX(tblMoveTypes[Courier?],MATCH($C97,tblMoveTypes[Movement],0)),"?")="Yes","Courier  ","")&amp;IF(IFERROR(INDEX(tblMoveTypes[Reason?],MATCH($C97,tblMoveTypes[Movement],0)),"?")="Yes","Reason",""),"unknown movement"))</f>
        <v>OUT   fill: Item  Out  Courier  </v>
      </c>
      <c r="E97" s="31" t="s">
        <v>95</v>
      </c>
      <c r="F97" s="33"/>
      <c r="G97" s="33" t="n">
        <v>44</v>
      </c>
      <c r="H97" s="33"/>
      <c r="I97" s="31" t="s">
        <v>76</v>
      </c>
      <c r="J97" s="31"/>
      <c r="K97" s="31"/>
      <c r="L97" s="31"/>
      <c r="M97" s="34" t="str">
        <f aca="false">IF($E97="","",IFERROR(INDEX(tblItems[Item Code],MATCH($E97,tblItems[Item Name],0)),"?"))</f>
        <v>EG-FG-GUV-01-02-01-01</v>
      </c>
      <c r="N97" s="34" t="str">
        <f aca="false">IF($B97="","",IFERROR(INDEX(tblShipment[Market],MATCH($B97,tblShipment[Shipment No],0)),"?"))</f>
        <v>Qatar</v>
      </c>
      <c r="O97" s="35" t="n">
        <f aca="false">N($F97)+N($G97)</f>
        <v>44</v>
      </c>
      <c r="P97" s="34" t="str">
        <f aca="false">IF($A97="","",IF($L97="Yes","VOID",IF(COUNTIFS(tblMoveTypes[Movement],$C97)=0,"Unknown movement",IF(COUNTIF(tblShipment[Shipment No],$B97)=0,"Unknown shipment",IF(AND(IFERROR(INDEX(tblMoveTypes[Item?],MATCH($C97,tblMoveTypes[Movement],0)),"?")="Yes",$E97=""),"Item needed",IF(AND(IFERROR(INDEX(tblMoveTypes[Item?],MATCH($C97,tblMoveTypes[Movement],0)),"?")="No",$E97&lt;&gt;""),"Leave Item blank",IF(AND(IFERROR(INDEX(tblMoveTypes[In / Out],MATCH($C97,tblMoveTypes[Movement],0)),"?")="IN",$G97&lt;&gt;""),"Use the In column, not Out",IF(AND(IFERROR(INDEX(tblMoveTypes[In / Out],MATCH($C97,tblMoveTypes[Movement],0)),"?")="OUT",$F97&lt;&gt;""),"Use the Out column, not In",IF(AND(IFERROR(INDEX(tblMoveTypes[Qty?],MATCH($C97,tblMoveTypes[Movement],0)),"?")="Yes",N($F97)+N($G97)&lt;=0),"Qty needed",IF(AND(IFERROR(INDEX(tblMoveTypes[Qty?],MATCH($C97,tblMoveTypes[Movement],0)),"?")="No",N($F97)+N($G97)&gt;0),"Leave In and Out blank",IF(AND(IFERROR(INDEX(tblMoveTypes[Courier?],MATCH($C97,tblMoveTypes[Movement],0)),"?")="Yes",$I97=""),"Courier needed",IF(AND(IFERROR(INDEX(tblMoveTypes[Courier?],MATCH($C97,tblMoveTypes[Movement],0)),"?")="No",$I97&lt;&gt;""),"Leave Courier blank",IF(AND(IFERROR(INDEX(tblMoveTypes[Orders?],MATCH($C97,tblMoveTypes[Movement],0)),"?")="Yes",$H97=""),"Orders needed",IF(AND(IFERROR(INDEX(tblMoveTypes[Orders?],MATCH($C97,tblMoveTypes[Movement],0)),"?")="No",$H97&lt;&gt;""),"Leave Orders blank",IF(AND(IFERROR(INDEX(tblMoveTypes[Reason?],MATCH($C97,tblMoveTypes[Movement],0)),"?")="Yes",$J97=""),"Reason needed",IF($A97&lt;_xlfn.MINIFS(tblShipment[Arrival Date],tblShipment[Shipment No],$B97),"Date before arrival",IF(AND($E97&lt;&gt;"",COUNTIFS(tblShipment[Shipment No],$B97,tblShipment[Item Name],$E97)=0),"Item not in this shipment","OK")))))))))))))))))</f>
        <v>OK</v>
      </c>
    </row>
    <row r="98" customFormat="false" ht="15" hidden="false" customHeight="false" outlineLevel="0" collapsed="false">
      <c r="A98" s="32" t="n">
        <v>46232</v>
      </c>
      <c r="B98" s="31" t="s">
        <v>160</v>
      </c>
      <c r="C98" s="31" t="s">
        <v>98</v>
      </c>
      <c r="D98" s="34" t="str">
        <f aca="false">IF($C98="","",IFERROR(IF(IFERROR(INDEX(tblMoveTypes[In / Out],MATCH($C98,tblMoveTypes[Movement],0)),"?")="IN","IN   ",IF(IFERROR(INDEX(tblMoveTypes[In / Out],MATCH($C98,tblMoveTypes[Movement],0)),"?")="OUT","OUT   ","--   "))&amp;"fill: "&amp;IF(IFERROR(INDEX(tblMoveTypes[Item?],MATCH($C98,tblMoveTypes[Movement],0)),"?")="Yes","Item  ","")&amp;IF(AND(IFERROR(INDEX(tblMoveTypes[Qty?],MATCH($C98,tblMoveTypes[Movement],0)),"?")="Yes",IFERROR(INDEX(tblMoveTypes[In / Out],MATCH($C98,tblMoveTypes[Movement],0)),"?")="IN"),"In  ","")&amp;IF(AND(IFERROR(INDEX(tblMoveTypes[Qty?],MATCH($C98,tblMoveTypes[Movement],0)),"?")="Yes",IFERROR(INDEX(tblMoveTypes[In / Out],MATCH($C98,tblMoveTypes[Movement],0)),"?")="OUT"),"Out  ","")&amp;IF(IFERROR(INDEX(tblMoveTypes[Orders?],MATCH($C98,tblMoveTypes[Movement],0)),"?")="Yes","Orders  ","")&amp;IF(IFERROR(INDEX(tblMoveTypes[Courier?],MATCH($C98,tblMoveTypes[Movement],0)),"?")="Yes","Courier  ","")&amp;IF(IFERROR(INDEX(tblMoveTypes[Reason?],MATCH($C98,tblMoveTypes[Movement],0)),"?")="Yes","Reason",""),"unknown movement"))</f>
        <v>OUT   fill: Item  Out  Courier  </v>
      </c>
      <c r="E98" s="31" t="s">
        <v>122</v>
      </c>
      <c r="F98" s="33"/>
      <c r="G98" s="33" t="n">
        <v>20</v>
      </c>
      <c r="H98" s="33"/>
      <c r="I98" s="31" t="s">
        <v>76</v>
      </c>
      <c r="J98" s="31"/>
      <c r="K98" s="31"/>
      <c r="L98" s="31"/>
      <c r="M98" s="34" t="str">
        <f aca="false">IF($E98="","",IFERROR(INDEX(tblItems[Item Code],MATCH($E98,tblItems[Item Name],0)),"?"))</f>
        <v>EG-FG-GRP-01-02-01-01</v>
      </c>
      <c r="N98" s="34" t="str">
        <f aca="false">IF($B98="","",IFERROR(INDEX(tblShipment[Market],MATCH($B98,tblShipment[Shipment No],0)),"?"))</f>
        <v>Qatar</v>
      </c>
      <c r="O98" s="35" t="n">
        <f aca="false">N($F98)+N($G98)</f>
        <v>20</v>
      </c>
      <c r="P98" s="34" t="str">
        <f aca="false">IF($A98="","",IF($L98="Yes","VOID",IF(COUNTIFS(tblMoveTypes[Movement],$C98)=0,"Unknown movement",IF(COUNTIF(tblShipment[Shipment No],$B98)=0,"Unknown shipment",IF(AND(IFERROR(INDEX(tblMoveTypes[Item?],MATCH($C98,tblMoveTypes[Movement],0)),"?")="Yes",$E98=""),"Item needed",IF(AND(IFERROR(INDEX(tblMoveTypes[Item?],MATCH($C98,tblMoveTypes[Movement],0)),"?")="No",$E98&lt;&gt;""),"Leave Item blank",IF(AND(IFERROR(INDEX(tblMoveTypes[In / Out],MATCH($C98,tblMoveTypes[Movement],0)),"?")="IN",$G98&lt;&gt;""),"Use the In column, not Out",IF(AND(IFERROR(INDEX(tblMoveTypes[In / Out],MATCH($C98,tblMoveTypes[Movement],0)),"?")="OUT",$F98&lt;&gt;""),"Use the Out column, not In",IF(AND(IFERROR(INDEX(tblMoveTypes[Qty?],MATCH($C98,tblMoveTypes[Movement],0)),"?")="Yes",N($F98)+N($G98)&lt;=0),"Qty needed",IF(AND(IFERROR(INDEX(tblMoveTypes[Qty?],MATCH($C98,tblMoveTypes[Movement],0)),"?")="No",N($F98)+N($G98)&gt;0),"Leave In and Out blank",IF(AND(IFERROR(INDEX(tblMoveTypes[Courier?],MATCH($C98,tblMoveTypes[Movement],0)),"?")="Yes",$I98=""),"Courier needed",IF(AND(IFERROR(INDEX(tblMoveTypes[Courier?],MATCH($C98,tblMoveTypes[Movement],0)),"?")="No",$I98&lt;&gt;""),"Leave Courier blank",IF(AND(IFERROR(INDEX(tblMoveTypes[Orders?],MATCH($C98,tblMoveTypes[Movement],0)),"?")="Yes",$H98=""),"Orders needed",IF(AND(IFERROR(INDEX(tblMoveTypes[Orders?],MATCH($C98,tblMoveTypes[Movement],0)),"?")="No",$H98&lt;&gt;""),"Leave Orders blank",IF(AND(IFERROR(INDEX(tblMoveTypes[Reason?],MATCH($C98,tblMoveTypes[Movement],0)),"?")="Yes",$J98=""),"Reason needed",IF($A98&lt;_xlfn.MINIFS(tblShipment[Arrival Date],tblShipment[Shipment No],$B98),"Date before arrival",IF(AND($E98&lt;&gt;"",COUNTIFS(tblShipment[Shipment No],$B98,tblShipment[Item Name],$E98)=0),"Item not in this shipment","OK")))))))))))))))))</f>
        <v>OK</v>
      </c>
    </row>
    <row r="99" customFormat="false" ht="15" hidden="false" customHeight="false" outlineLevel="0" collapsed="false">
      <c r="A99" s="32" t="n">
        <v>46232</v>
      </c>
      <c r="B99" s="31" t="s">
        <v>160</v>
      </c>
      <c r="C99" s="31" t="s">
        <v>98</v>
      </c>
      <c r="D99" s="34" t="str">
        <f aca="false">IF($C99="","",IFERROR(IF(IFERROR(INDEX(tblMoveTypes[In / Out],MATCH($C99,tblMoveTypes[Movement],0)),"?")="IN","IN   ",IF(IFERROR(INDEX(tblMoveTypes[In / Out],MATCH($C99,tblMoveTypes[Movement],0)),"?")="OUT","OUT   ","--   "))&amp;"fill: "&amp;IF(IFERROR(INDEX(tblMoveTypes[Item?],MATCH($C99,tblMoveTypes[Movement],0)),"?")="Yes","Item  ","")&amp;IF(AND(IFERROR(INDEX(tblMoveTypes[Qty?],MATCH($C99,tblMoveTypes[Movement],0)),"?")="Yes",IFERROR(INDEX(tblMoveTypes[In / Out],MATCH($C99,tblMoveTypes[Movement],0)),"?")="IN"),"In  ","")&amp;IF(AND(IFERROR(INDEX(tblMoveTypes[Qty?],MATCH($C99,tblMoveTypes[Movement],0)),"?")="Yes",IFERROR(INDEX(tblMoveTypes[In / Out],MATCH($C99,tblMoveTypes[Movement],0)),"?")="OUT"),"Out  ","")&amp;IF(IFERROR(INDEX(tblMoveTypes[Orders?],MATCH($C99,tblMoveTypes[Movement],0)),"?")="Yes","Orders  ","")&amp;IF(IFERROR(INDEX(tblMoveTypes[Courier?],MATCH($C99,tblMoveTypes[Movement],0)),"?")="Yes","Courier  ","")&amp;IF(IFERROR(INDEX(tblMoveTypes[Reason?],MATCH($C99,tblMoveTypes[Movement],0)),"?")="Yes","Reason",""),"unknown movement"))</f>
        <v>OUT   fill: Item  Out  Courier  </v>
      </c>
      <c r="E99" s="31" t="s">
        <v>84</v>
      </c>
      <c r="F99" s="33"/>
      <c r="G99" s="33" t="n">
        <v>79</v>
      </c>
      <c r="H99" s="33"/>
      <c r="I99" s="31" t="s">
        <v>76</v>
      </c>
      <c r="J99" s="31"/>
      <c r="K99" s="31"/>
      <c r="L99" s="31"/>
      <c r="M99" s="34" t="str">
        <f aca="false">IF($E99="","",IFERROR(INDEX(tblItems[Item Code],MATCH($E99,tblItems[Item Name],0)),"?"))</f>
        <v>EG-FG-MNG-12-02-01-01</v>
      </c>
      <c r="N99" s="34" t="str">
        <f aca="false">IF($B99="","",IFERROR(INDEX(tblShipment[Market],MATCH($B99,tblShipment[Shipment No],0)),"?"))</f>
        <v>Qatar</v>
      </c>
      <c r="O99" s="35" t="n">
        <f aca="false">N($F99)+N($G99)</f>
        <v>79</v>
      </c>
      <c r="P99" s="34" t="str">
        <f aca="false">IF($A99="","",IF($L99="Yes","VOID",IF(COUNTIFS(tblMoveTypes[Movement],$C99)=0,"Unknown movement",IF(COUNTIF(tblShipment[Shipment No],$B99)=0,"Unknown shipment",IF(AND(IFERROR(INDEX(tblMoveTypes[Item?],MATCH($C99,tblMoveTypes[Movement],0)),"?")="Yes",$E99=""),"Item needed",IF(AND(IFERROR(INDEX(tblMoveTypes[Item?],MATCH($C99,tblMoveTypes[Movement],0)),"?")="No",$E99&lt;&gt;""),"Leave Item blank",IF(AND(IFERROR(INDEX(tblMoveTypes[In / Out],MATCH($C99,tblMoveTypes[Movement],0)),"?")="IN",$G99&lt;&gt;""),"Use the In column, not Out",IF(AND(IFERROR(INDEX(tblMoveTypes[In / Out],MATCH($C99,tblMoveTypes[Movement],0)),"?")="OUT",$F99&lt;&gt;""),"Use the Out column, not In",IF(AND(IFERROR(INDEX(tblMoveTypes[Qty?],MATCH($C99,tblMoveTypes[Movement],0)),"?")="Yes",N($F99)+N($G99)&lt;=0),"Qty needed",IF(AND(IFERROR(INDEX(tblMoveTypes[Qty?],MATCH($C99,tblMoveTypes[Movement],0)),"?")="No",N($F99)+N($G99)&gt;0),"Leave In and Out blank",IF(AND(IFERROR(INDEX(tblMoveTypes[Courier?],MATCH($C99,tblMoveTypes[Movement],0)),"?")="Yes",$I99=""),"Courier needed",IF(AND(IFERROR(INDEX(tblMoveTypes[Courier?],MATCH($C99,tblMoveTypes[Movement],0)),"?")="No",$I99&lt;&gt;""),"Leave Courier blank",IF(AND(IFERROR(INDEX(tblMoveTypes[Orders?],MATCH($C99,tblMoveTypes[Movement],0)),"?")="Yes",$H99=""),"Orders needed",IF(AND(IFERROR(INDEX(tblMoveTypes[Orders?],MATCH($C99,tblMoveTypes[Movement],0)),"?")="No",$H99&lt;&gt;""),"Leave Orders blank",IF(AND(IFERROR(INDEX(tblMoveTypes[Reason?],MATCH($C99,tblMoveTypes[Movement],0)),"?")="Yes",$J99=""),"Reason needed",IF($A99&lt;_xlfn.MINIFS(tblShipment[Arrival Date],tblShipment[Shipment No],$B99),"Date before arrival",IF(AND($E99&lt;&gt;"",COUNTIFS(tblShipment[Shipment No],$B99,tblShipment[Item Name],$E99)=0),"Item not in this shipment","OK")))))))))))))))))</f>
        <v>OK</v>
      </c>
    </row>
    <row r="100" customFormat="false" ht="15" hidden="false" customHeight="false" outlineLevel="0" collapsed="false">
      <c r="A100" s="32" t="n">
        <v>46232</v>
      </c>
      <c r="B100" s="31" t="s">
        <v>160</v>
      </c>
      <c r="C100" s="31" t="s">
        <v>98</v>
      </c>
      <c r="D100" s="34" t="str">
        <f aca="false">IF($C100="","",IFERROR(IF(IFERROR(INDEX(tblMoveTypes[In / Out],MATCH($C100,tblMoveTypes[Movement],0)),"?")="IN","IN   ",IF(IFERROR(INDEX(tblMoveTypes[In / Out],MATCH($C100,tblMoveTypes[Movement],0)),"?")="OUT","OUT   ","--   "))&amp;"fill: "&amp;IF(IFERROR(INDEX(tblMoveTypes[Item?],MATCH($C100,tblMoveTypes[Movement],0)),"?")="Yes","Item  ","")&amp;IF(AND(IFERROR(INDEX(tblMoveTypes[Qty?],MATCH($C100,tblMoveTypes[Movement],0)),"?")="Yes",IFERROR(INDEX(tblMoveTypes[In / Out],MATCH($C100,tblMoveTypes[Movement],0)),"?")="IN"),"In  ","")&amp;IF(AND(IFERROR(INDEX(tblMoveTypes[Qty?],MATCH($C100,tblMoveTypes[Movement],0)),"?")="Yes",IFERROR(INDEX(tblMoveTypes[In / Out],MATCH($C100,tblMoveTypes[Movement],0)),"?")="OUT"),"Out  ","")&amp;IF(IFERROR(INDEX(tblMoveTypes[Orders?],MATCH($C100,tblMoveTypes[Movement],0)),"?")="Yes","Orders  ","")&amp;IF(IFERROR(INDEX(tblMoveTypes[Courier?],MATCH($C100,tblMoveTypes[Movement],0)),"?")="Yes","Courier  ","")&amp;IF(IFERROR(INDEX(tblMoveTypes[Reason?],MATCH($C100,tblMoveTypes[Movement],0)),"?")="Yes","Reason",""),"unknown movement"))</f>
        <v>OUT   fill: Item  Out  Courier  </v>
      </c>
      <c r="E100" s="31" t="s">
        <v>112</v>
      </c>
      <c r="F100" s="33"/>
      <c r="G100" s="33" t="n">
        <v>24</v>
      </c>
      <c r="H100" s="33"/>
      <c r="I100" s="31" t="s">
        <v>76</v>
      </c>
      <c r="J100" s="31"/>
      <c r="K100" s="31"/>
      <c r="L100" s="31"/>
      <c r="M100" s="34" t="str">
        <f aca="false">IF($E100="","",IFERROR(INDEX(tblItems[Item Code],MATCH($E100,tblItems[Item Name],0)),"?"))</f>
        <v>BOX-TRIO-01</v>
      </c>
      <c r="N100" s="34" t="str">
        <f aca="false">IF($B100="","",IFERROR(INDEX(tblShipment[Market],MATCH($B100,tblShipment[Shipment No],0)),"?"))</f>
        <v>Qatar</v>
      </c>
      <c r="O100" s="35" t="n">
        <f aca="false">N($F100)+N($G100)</f>
        <v>24</v>
      </c>
      <c r="P100" s="34" t="str">
        <f aca="false">IF($A100="","",IF($L100="Yes","VOID",IF(COUNTIFS(tblMoveTypes[Movement],$C100)=0,"Unknown movement",IF(COUNTIF(tblShipment[Shipment No],$B100)=0,"Unknown shipment",IF(AND(IFERROR(INDEX(tblMoveTypes[Item?],MATCH($C100,tblMoveTypes[Movement],0)),"?")="Yes",$E100=""),"Item needed",IF(AND(IFERROR(INDEX(tblMoveTypes[Item?],MATCH($C100,tblMoveTypes[Movement],0)),"?")="No",$E100&lt;&gt;""),"Leave Item blank",IF(AND(IFERROR(INDEX(tblMoveTypes[In / Out],MATCH($C100,tblMoveTypes[Movement],0)),"?")="IN",$G100&lt;&gt;""),"Use the In column, not Out",IF(AND(IFERROR(INDEX(tblMoveTypes[In / Out],MATCH($C100,tblMoveTypes[Movement],0)),"?")="OUT",$F100&lt;&gt;""),"Use the Out column, not In",IF(AND(IFERROR(INDEX(tblMoveTypes[Qty?],MATCH($C100,tblMoveTypes[Movement],0)),"?")="Yes",N($F100)+N($G100)&lt;=0),"Qty needed",IF(AND(IFERROR(INDEX(tblMoveTypes[Qty?],MATCH($C100,tblMoveTypes[Movement],0)),"?")="No",N($F100)+N($G100)&gt;0),"Leave In and Out blank",IF(AND(IFERROR(INDEX(tblMoveTypes[Courier?],MATCH($C100,tblMoveTypes[Movement],0)),"?")="Yes",$I100=""),"Courier needed",IF(AND(IFERROR(INDEX(tblMoveTypes[Courier?],MATCH($C100,tblMoveTypes[Movement],0)),"?")="No",$I100&lt;&gt;""),"Leave Courier blank",IF(AND(IFERROR(INDEX(tblMoveTypes[Orders?],MATCH($C100,tblMoveTypes[Movement],0)),"?")="Yes",$H100=""),"Orders needed",IF(AND(IFERROR(INDEX(tblMoveTypes[Orders?],MATCH($C100,tblMoveTypes[Movement],0)),"?")="No",$H100&lt;&gt;""),"Leave Orders blank",IF(AND(IFERROR(INDEX(tblMoveTypes[Reason?],MATCH($C100,tblMoveTypes[Movement],0)),"?")="Yes",$J100=""),"Reason needed",IF($A100&lt;_xlfn.MINIFS(tblShipment[Arrival Date],tblShipment[Shipment No],$B100),"Date before arrival",IF(AND($E100&lt;&gt;"",COUNTIFS(tblShipment[Shipment No],$B100,tblShipment[Item Name],$E100)=0),"Item not in this shipment","OK")))))))))))))))))</f>
        <v>OK</v>
      </c>
    </row>
    <row r="101" customFormat="false" ht="15" hidden="false" customHeight="false" outlineLevel="0" collapsed="false">
      <c r="A101" s="32" t="n">
        <v>46232</v>
      </c>
      <c r="B101" s="31" t="s">
        <v>160</v>
      </c>
      <c r="C101" s="31" t="s">
        <v>98</v>
      </c>
      <c r="D101" s="34" t="str">
        <f aca="false">IF($C101="","",IFERROR(IF(IFERROR(INDEX(tblMoveTypes[In / Out],MATCH($C101,tblMoveTypes[Movement],0)),"?")="IN","IN   ",IF(IFERROR(INDEX(tblMoveTypes[In / Out],MATCH($C101,tblMoveTypes[Movement],0)),"?")="OUT","OUT   ","--   "))&amp;"fill: "&amp;IF(IFERROR(INDEX(tblMoveTypes[Item?],MATCH($C101,tblMoveTypes[Movement],0)),"?")="Yes","Item  ","")&amp;IF(AND(IFERROR(INDEX(tblMoveTypes[Qty?],MATCH($C101,tblMoveTypes[Movement],0)),"?")="Yes",IFERROR(INDEX(tblMoveTypes[In / Out],MATCH($C101,tblMoveTypes[Movement],0)),"?")="IN"),"In  ","")&amp;IF(AND(IFERROR(INDEX(tblMoveTypes[Qty?],MATCH($C101,tblMoveTypes[Movement],0)),"?")="Yes",IFERROR(INDEX(tblMoveTypes[In / Out],MATCH($C101,tblMoveTypes[Movement],0)),"?")="OUT"),"Out  ","")&amp;IF(IFERROR(INDEX(tblMoveTypes[Orders?],MATCH($C101,tblMoveTypes[Movement],0)),"?")="Yes","Orders  ","")&amp;IF(IFERROR(INDEX(tblMoveTypes[Courier?],MATCH($C101,tblMoveTypes[Movement],0)),"?")="Yes","Courier  ","")&amp;IF(IFERROR(INDEX(tblMoveTypes[Reason?],MATCH($C101,tblMoveTypes[Movement],0)),"?")="Yes","Reason",""),"unknown movement"))</f>
        <v>OUT   fill: Item  Out  Courier  </v>
      </c>
      <c r="E101" s="31" t="s">
        <v>72</v>
      </c>
      <c r="F101" s="33"/>
      <c r="G101" s="33" t="n">
        <v>104</v>
      </c>
      <c r="H101" s="33"/>
      <c r="I101" s="31" t="s">
        <v>76</v>
      </c>
      <c r="J101" s="31"/>
      <c r="K101" s="31"/>
      <c r="L101" s="31"/>
      <c r="M101" s="34" t="str">
        <f aca="false">IF($E101="","",IFERROR(INDEX(tblItems[Item Code],MATCH($E101,tblItems[Item Name],0)),"?"))</f>
        <v>EG-FG-MNG-05-02-01-01</v>
      </c>
      <c r="N101" s="34" t="str">
        <f aca="false">IF($B101="","",IFERROR(INDEX(tblShipment[Market],MATCH($B101,tblShipment[Shipment No],0)),"?"))</f>
        <v>Qatar</v>
      </c>
      <c r="O101" s="35" t="n">
        <f aca="false">N($F101)+N($G101)</f>
        <v>104</v>
      </c>
      <c r="P101" s="34" t="str">
        <f aca="false">IF($A101="","",IF($L101="Yes","VOID",IF(COUNTIFS(tblMoveTypes[Movement],$C101)=0,"Unknown movement",IF(COUNTIF(tblShipment[Shipment No],$B101)=0,"Unknown shipment",IF(AND(IFERROR(INDEX(tblMoveTypes[Item?],MATCH($C101,tblMoveTypes[Movement],0)),"?")="Yes",$E101=""),"Item needed",IF(AND(IFERROR(INDEX(tblMoveTypes[Item?],MATCH($C101,tblMoveTypes[Movement],0)),"?")="No",$E101&lt;&gt;""),"Leave Item blank",IF(AND(IFERROR(INDEX(tblMoveTypes[In / Out],MATCH($C101,tblMoveTypes[Movement],0)),"?")="IN",$G101&lt;&gt;""),"Use the In column, not Out",IF(AND(IFERROR(INDEX(tblMoveTypes[In / Out],MATCH($C101,tblMoveTypes[Movement],0)),"?")="OUT",$F101&lt;&gt;""),"Use the Out column, not In",IF(AND(IFERROR(INDEX(tblMoveTypes[Qty?],MATCH($C101,tblMoveTypes[Movement],0)),"?")="Yes",N($F101)+N($G101)&lt;=0),"Qty needed",IF(AND(IFERROR(INDEX(tblMoveTypes[Qty?],MATCH($C101,tblMoveTypes[Movement],0)),"?")="No",N($F101)+N($G101)&gt;0),"Leave In and Out blank",IF(AND(IFERROR(INDEX(tblMoveTypes[Courier?],MATCH($C101,tblMoveTypes[Movement],0)),"?")="Yes",$I101=""),"Courier needed",IF(AND(IFERROR(INDEX(tblMoveTypes[Courier?],MATCH($C101,tblMoveTypes[Movement],0)),"?")="No",$I101&lt;&gt;""),"Leave Courier blank",IF(AND(IFERROR(INDEX(tblMoveTypes[Orders?],MATCH($C101,tblMoveTypes[Movement],0)),"?")="Yes",$H101=""),"Orders needed",IF(AND(IFERROR(INDEX(tblMoveTypes[Orders?],MATCH($C101,tblMoveTypes[Movement],0)),"?")="No",$H101&lt;&gt;""),"Leave Orders blank",IF(AND(IFERROR(INDEX(tblMoveTypes[Reason?],MATCH($C101,tblMoveTypes[Movement],0)),"?")="Yes",$J101=""),"Reason needed",IF($A101&lt;_xlfn.MINIFS(tblShipment[Arrival Date],tblShipment[Shipment No],$B101),"Date before arrival",IF(AND($E101&lt;&gt;"",COUNTIFS(tblShipment[Shipment No],$B101,tblShipment[Item Name],$E101)=0),"Item not in this shipment","OK")))))))))))))))))</f>
        <v>OK</v>
      </c>
    </row>
    <row r="102" customFormat="false" ht="15" hidden="false" customHeight="false" outlineLevel="0" collapsed="false">
      <c r="A102" s="32" t="n">
        <v>46232</v>
      </c>
      <c r="B102" s="31" t="s">
        <v>160</v>
      </c>
      <c r="C102" s="31" t="s">
        <v>98</v>
      </c>
      <c r="D102" s="34" t="str">
        <f aca="false">IF($C102="","",IFERROR(IF(IFERROR(INDEX(tblMoveTypes[In / Out],MATCH($C102,tblMoveTypes[Movement],0)),"?")="IN","IN   ",IF(IFERROR(INDEX(tblMoveTypes[In / Out],MATCH($C102,tblMoveTypes[Movement],0)),"?")="OUT","OUT   ","--   "))&amp;"fill: "&amp;IF(IFERROR(INDEX(tblMoveTypes[Item?],MATCH($C102,tblMoveTypes[Movement],0)),"?")="Yes","Item  ","")&amp;IF(AND(IFERROR(INDEX(tblMoveTypes[Qty?],MATCH($C102,tblMoveTypes[Movement],0)),"?")="Yes",IFERROR(INDEX(tblMoveTypes[In / Out],MATCH($C102,tblMoveTypes[Movement],0)),"?")="IN"),"In  ","")&amp;IF(AND(IFERROR(INDEX(tblMoveTypes[Qty?],MATCH($C102,tblMoveTypes[Movement],0)),"?")="Yes",IFERROR(INDEX(tblMoveTypes[In / Out],MATCH($C102,tblMoveTypes[Movement],0)),"?")="OUT"),"Out  ","")&amp;IF(IFERROR(INDEX(tblMoveTypes[Orders?],MATCH($C102,tblMoveTypes[Movement],0)),"?")="Yes","Orders  ","")&amp;IF(IFERROR(INDEX(tblMoveTypes[Courier?],MATCH($C102,tblMoveTypes[Movement],0)),"?")="Yes","Courier  ","")&amp;IF(IFERROR(INDEX(tblMoveTypes[Reason?],MATCH($C102,tblMoveTypes[Movement],0)),"?")="Yes","Reason",""),"unknown movement"))</f>
        <v>OUT   fill: Item  Out  Courier  </v>
      </c>
      <c r="E102" s="31" t="s">
        <v>106</v>
      </c>
      <c r="F102" s="33"/>
      <c r="G102" s="33" t="n">
        <v>35</v>
      </c>
      <c r="H102" s="33"/>
      <c r="I102" s="31" t="s">
        <v>76</v>
      </c>
      <c r="J102" s="31"/>
      <c r="K102" s="31"/>
      <c r="L102" s="31"/>
      <c r="M102" s="34" t="str">
        <f aca="false">IF($E102="","",IFERROR(INDEX(tblItems[Item Code],MATCH($E102,tblItems[Item Name],0)),"?"))</f>
        <v>EG-FG-DAT-01-02-01-01</v>
      </c>
      <c r="N102" s="34" t="str">
        <f aca="false">IF($B102="","",IFERROR(INDEX(tblShipment[Market],MATCH($B102,tblShipment[Shipment No],0)),"?"))</f>
        <v>Qatar</v>
      </c>
      <c r="O102" s="35" t="n">
        <f aca="false">N($F102)+N($G102)</f>
        <v>35</v>
      </c>
      <c r="P102" s="34" t="str">
        <f aca="false">IF($A102="","",IF($L102="Yes","VOID",IF(COUNTIFS(tblMoveTypes[Movement],$C102)=0,"Unknown movement",IF(COUNTIF(tblShipment[Shipment No],$B102)=0,"Unknown shipment",IF(AND(IFERROR(INDEX(tblMoveTypes[Item?],MATCH($C102,tblMoveTypes[Movement],0)),"?")="Yes",$E102=""),"Item needed",IF(AND(IFERROR(INDEX(tblMoveTypes[Item?],MATCH($C102,tblMoveTypes[Movement],0)),"?")="No",$E102&lt;&gt;""),"Leave Item blank",IF(AND(IFERROR(INDEX(tblMoveTypes[In / Out],MATCH($C102,tblMoveTypes[Movement],0)),"?")="IN",$G102&lt;&gt;""),"Use the In column, not Out",IF(AND(IFERROR(INDEX(tblMoveTypes[In / Out],MATCH($C102,tblMoveTypes[Movement],0)),"?")="OUT",$F102&lt;&gt;""),"Use the Out column, not In",IF(AND(IFERROR(INDEX(tblMoveTypes[Qty?],MATCH($C102,tblMoveTypes[Movement],0)),"?")="Yes",N($F102)+N($G102)&lt;=0),"Qty needed",IF(AND(IFERROR(INDEX(tblMoveTypes[Qty?],MATCH($C102,tblMoveTypes[Movement],0)),"?")="No",N($F102)+N($G102)&gt;0),"Leave In and Out blank",IF(AND(IFERROR(INDEX(tblMoveTypes[Courier?],MATCH($C102,tblMoveTypes[Movement],0)),"?")="Yes",$I102=""),"Courier needed",IF(AND(IFERROR(INDEX(tblMoveTypes[Courier?],MATCH($C102,tblMoveTypes[Movement],0)),"?")="No",$I102&lt;&gt;""),"Leave Courier blank",IF(AND(IFERROR(INDEX(tblMoveTypes[Orders?],MATCH($C102,tblMoveTypes[Movement],0)),"?")="Yes",$H102=""),"Orders needed",IF(AND(IFERROR(INDEX(tblMoveTypes[Orders?],MATCH($C102,tblMoveTypes[Movement],0)),"?")="No",$H102&lt;&gt;""),"Leave Orders blank",IF(AND(IFERROR(INDEX(tblMoveTypes[Reason?],MATCH($C102,tblMoveTypes[Movement],0)),"?")="Yes",$J102=""),"Reason needed",IF($A102&lt;_xlfn.MINIFS(tblShipment[Arrival Date],tblShipment[Shipment No],$B102),"Date before arrival",IF(AND($E102&lt;&gt;"",COUNTIFS(tblShipment[Shipment No],$B102,tblShipment[Item Name],$E102)=0),"Item not in this shipment","OK")))))))))))))))))</f>
        <v>OK</v>
      </c>
    </row>
    <row r="103" customFormat="false" ht="15" hidden="false" customHeight="false" outlineLevel="0" collapsed="false">
      <c r="A103" s="32" t="n">
        <v>46232</v>
      </c>
      <c r="B103" s="31" t="s">
        <v>160</v>
      </c>
      <c r="C103" s="31" t="s">
        <v>98</v>
      </c>
      <c r="D103" s="34" t="str">
        <f aca="false">IF($C103="","",IFERROR(IF(IFERROR(INDEX(tblMoveTypes[In / Out],MATCH($C103,tblMoveTypes[Movement],0)),"?")="IN","IN   ",IF(IFERROR(INDEX(tblMoveTypes[In / Out],MATCH($C103,tblMoveTypes[Movement],0)),"?")="OUT","OUT   ","--   "))&amp;"fill: "&amp;IF(IFERROR(INDEX(tblMoveTypes[Item?],MATCH($C103,tblMoveTypes[Movement],0)),"?")="Yes","Item  ","")&amp;IF(AND(IFERROR(INDEX(tblMoveTypes[Qty?],MATCH($C103,tblMoveTypes[Movement],0)),"?")="Yes",IFERROR(INDEX(tblMoveTypes[In / Out],MATCH($C103,tblMoveTypes[Movement],0)),"?")="IN"),"In  ","")&amp;IF(AND(IFERROR(INDEX(tblMoveTypes[Qty?],MATCH($C103,tblMoveTypes[Movement],0)),"?")="Yes",IFERROR(INDEX(tblMoveTypes[In / Out],MATCH($C103,tblMoveTypes[Movement],0)),"?")="OUT"),"Out  ","")&amp;IF(IFERROR(INDEX(tblMoveTypes[Orders?],MATCH($C103,tblMoveTypes[Movement],0)),"?")="Yes","Orders  ","")&amp;IF(IFERROR(INDEX(tblMoveTypes[Courier?],MATCH($C103,tblMoveTypes[Movement],0)),"?")="Yes","Courier  ","")&amp;IF(IFERROR(INDEX(tblMoveTypes[Reason?],MATCH($C103,tblMoveTypes[Movement],0)),"?")="Yes","Reason",""),"unknown movement"))</f>
        <v>OUT   fill: Item  Out  Courier  </v>
      </c>
      <c r="E103" s="31" t="s">
        <v>141</v>
      </c>
      <c r="F103" s="33"/>
      <c r="G103" s="33" t="n">
        <v>17</v>
      </c>
      <c r="H103" s="33"/>
      <c r="I103" s="31" t="s">
        <v>76</v>
      </c>
      <c r="J103" s="31"/>
      <c r="K103" s="31"/>
      <c r="L103" s="31"/>
      <c r="M103" s="34" t="str">
        <f aca="false">IF($E103="","",IFERROR(INDEX(tblItems[Item Code],MATCH($E103,tblItems[Item Name],0)),"?"))</f>
        <v>EG-FG-CAN-01-02-01-01</v>
      </c>
      <c r="N103" s="34" t="str">
        <f aca="false">IF($B103="","",IFERROR(INDEX(tblShipment[Market],MATCH($B103,tblShipment[Shipment No],0)),"?"))</f>
        <v>Qatar</v>
      </c>
      <c r="O103" s="35" t="n">
        <f aca="false">N($F103)+N($G103)</f>
        <v>17</v>
      </c>
      <c r="P103" s="34" t="str">
        <f aca="false">IF($A103="","",IF($L103="Yes","VOID",IF(COUNTIFS(tblMoveTypes[Movement],$C103)=0,"Unknown movement",IF(COUNTIF(tblShipment[Shipment No],$B103)=0,"Unknown shipment",IF(AND(IFERROR(INDEX(tblMoveTypes[Item?],MATCH($C103,tblMoveTypes[Movement],0)),"?")="Yes",$E103=""),"Item needed",IF(AND(IFERROR(INDEX(tblMoveTypes[Item?],MATCH($C103,tblMoveTypes[Movement],0)),"?")="No",$E103&lt;&gt;""),"Leave Item blank",IF(AND(IFERROR(INDEX(tblMoveTypes[In / Out],MATCH($C103,tblMoveTypes[Movement],0)),"?")="IN",$G103&lt;&gt;""),"Use the In column, not Out",IF(AND(IFERROR(INDEX(tblMoveTypes[In / Out],MATCH($C103,tblMoveTypes[Movement],0)),"?")="OUT",$F103&lt;&gt;""),"Use the Out column, not In",IF(AND(IFERROR(INDEX(tblMoveTypes[Qty?],MATCH($C103,tblMoveTypes[Movement],0)),"?")="Yes",N($F103)+N($G103)&lt;=0),"Qty needed",IF(AND(IFERROR(INDEX(tblMoveTypes[Qty?],MATCH($C103,tblMoveTypes[Movement],0)),"?")="No",N($F103)+N($G103)&gt;0),"Leave In and Out blank",IF(AND(IFERROR(INDEX(tblMoveTypes[Courier?],MATCH($C103,tblMoveTypes[Movement],0)),"?")="Yes",$I103=""),"Courier needed",IF(AND(IFERROR(INDEX(tblMoveTypes[Courier?],MATCH($C103,tblMoveTypes[Movement],0)),"?")="No",$I103&lt;&gt;""),"Leave Courier blank",IF(AND(IFERROR(INDEX(tblMoveTypes[Orders?],MATCH($C103,tblMoveTypes[Movement],0)),"?")="Yes",$H103=""),"Orders needed",IF(AND(IFERROR(INDEX(tblMoveTypes[Orders?],MATCH($C103,tblMoveTypes[Movement],0)),"?")="No",$H103&lt;&gt;""),"Leave Orders blank",IF(AND(IFERROR(INDEX(tblMoveTypes[Reason?],MATCH($C103,tblMoveTypes[Movement],0)),"?")="Yes",$J103=""),"Reason needed",IF($A103&lt;_xlfn.MINIFS(tblShipment[Arrival Date],tblShipment[Shipment No],$B103),"Date before arrival",IF(AND($E103&lt;&gt;"",COUNTIFS(tblShipment[Shipment No],$B103,tblShipment[Item Name],$E103)=0),"Item not in this shipment","OK")))))))))))))))))</f>
        <v>OK</v>
      </c>
    </row>
    <row r="104" customFormat="false" ht="15" hidden="false" customHeight="false" outlineLevel="0" collapsed="false">
      <c r="A104" s="32" t="n">
        <v>46232</v>
      </c>
      <c r="B104" s="31" t="s">
        <v>160</v>
      </c>
      <c r="C104" s="31" t="s">
        <v>98</v>
      </c>
      <c r="D104" s="34" t="str">
        <f aca="false">IF($C104="","",IFERROR(IF(IFERROR(INDEX(tblMoveTypes[In / Out],MATCH($C104,tblMoveTypes[Movement],0)),"?")="IN","IN   ",IF(IFERROR(INDEX(tblMoveTypes[In / Out],MATCH($C104,tblMoveTypes[Movement],0)),"?")="OUT","OUT   ","--   "))&amp;"fill: "&amp;IF(IFERROR(INDEX(tblMoveTypes[Item?],MATCH($C104,tblMoveTypes[Movement],0)),"?")="Yes","Item  ","")&amp;IF(AND(IFERROR(INDEX(tblMoveTypes[Qty?],MATCH($C104,tblMoveTypes[Movement],0)),"?")="Yes",IFERROR(INDEX(tblMoveTypes[In / Out],MATCH($C104,tblMoveTypes[Movement],0)),"?")="IN"),"In  ","")&amp;IF(AND(IFERROR(INDEX(tblMoveTypes[Qty?],MATCH($C104,tblMoveTypes[Movement],0)),"?")="Yes",IFERROR(INDEX(tblMoveTypes[In / Out],MATCH($C104,tblMoveTypes[Movement],0)),"?")="OUT"),"Out  ","")&amp;IF(IFERROR(INDEX(tblMoveTypes[Orders?],MATCH($C104,tblMoveTypes[Movement],0)),"?")="Yes","Orders  ","")&amp;IF(IFERROR(INDEX(tblMoveTypes[Courier?],MATCH($C104,tblMoveTypes[Movement],0)),"?")="Yes","Courier  ","")&amp;IF(IFERROR(INDEX(tblMoveTypes[Reason?],MATCH($C104,tblMoveTypes[Movement],0)),"?")="Yes","Reason",""),"unknown movement"))</f>
        <v>OUT   fill: Item  Out  Courier  </v>
      </c>
      <c r="E104" s="31" t="s">
        <v>100</v>
      </c>
      <c r="F104" s="33"/>
      <c r="G104" s="33" t="n">
        <v>34</v>
      </c>
      <c r="H104" s="33"/>
      <c r="I104" s="31" t="s">
        <v>76</v>
      </c>
      <c r="J104" s="31"/>
      <c r="K104" s="31"/>
      <c r="L104" s="31"/>
      <c r="M104" s="34" t="str">
        <f aca="false">IF($E104="","",IFERROR(INDEX(tblItems[Item Code],MATCH($E104,tblItems[Item Name],0)),"?"))</f>
        <v>EG-FG-MNG-18-02-01-01</v>
      </c>
      <c r="N104" s="34" t="str">
        <f aca="false">IF($B104="","",IFERROR(INDEX(tblShipment[Market],MATCH($B104,tblShipment[Shipment No],0)),"?"))</f>
        <v>Qatar</v>
      </c>
      <c r="O104" s="35" t="n">
        <f aca="false">N($F104)+N($G104)</f>
        <v>34</v>
      </c>
      <c r="P104" s="34" t="str">
        <f aca="false">IF($A104="","",IF($L104="Yes","VOID",IF(COUNTIFS(tblMoveTypes[Movement],$C104)=0,"Unknown movement",IF(COUNTIF(tblShipment[Shipment No],$B104)=0,"Unknown shipment",IF(AND(IFERROR(INDEX(tblMoveTypes[Item?],MATCH($C104,tblMoveTypes[Movement],0)),"?")="Yes",$E104=""),"Item needed",IF(AND(IFERROR(INDEX(tblMoveTypes[Item?],MATCH($C104,tblMoveTypes[Movement],0)),"?")="No",$E104&lt;&gt;""),"Leave Item blank",IF(AND(IFERROR(INDEX(tblMoveTypes[In / Out],MATCH($C104,tblMoveTypes[Movement],0)),"?")="IN",$G104&lt;&gt;""),"Use the In column, not Out",IF(AND(IFERROR(INDEX(tblMoveTypes[In / Out],MATCH($C104,tblMoveTypes[Movement],0)),"?")="OUT",$F104&lt;&gt;""),"Use the Out column, not In",IF(AND(IFERROR(INDEX(tblMoveTypes[Qty?],MATCH($C104,tblMoveTypes[Movement],0)),"?")="Yes",N($F104)+N($G104)&lt;=0),"Qty needed",IF(AND(IFERROR(INDEX(tblMoveTypes[Qty?],MATCH($C104,tblMoveTypes[Movement],0)),"?")="No",N($F104)+N($G104)&gt;0),"Leave In and Out blank",IF(AND(IFERROR(INDEX(tblMoveTypes[Courier?],MATCH($C104,tblMoveTypes[Movement],0)),"?")="Yes",$I104=""),"Courier needed",IF(AND(IFERROR(INDEX(tblMoveTypes[Courier?],MATCH($C104,tblMoveTypes[Movement],0)),"?")="No",$I104&lt;&gt;""),"Leave Courier blank",IF(AND(IFERROR(INDEX(tblMoveTypes[Orders?],MATCH($C104,tblMoveTypes[Movement],0)),"?")="Yes",$H104=""),"Orders needed",IF(AND(IFERROR(INDEX(tblMoveTypes[Orders?],MATCH($C104,tblMoveTypes[Movement],0)),"?")="No",$H104&lt;&gt;""),"Leave Orders blank",IF(AND(IFERROR(INDEX(tblMoveTypes[Reason?],MATCH($C104,tblMoveTypes[Movement],0)),"?")="Yes",$J104=""),"Reason needed",IF($A104&lt;_xlfn.MINIFS(tblShipment[Arrival Date],tblShipment[Shipment No],$B104),"Date before arrival",IF(AND($E104&lt;&gt;"",COUNTIFS(tblShipment[Shipment No],$B104,tblShipment[Item Name],$E104)=0),"Item not in this shipment","OK")))))))))))))))))</f>
        <v>OK</v>
      </c>
    </row>
    <row r="105" customFormat="false" ht="15" hidden="false" customHeight="false" outlineLevel="0" collapsed="false">
      <c r="A105" s="32" t="n">
        <v>46232</v>
      </c>
      <c r="B105" s="31" t="s">
        <v>160</v>
      </c>
      <c r="C105" s="31" t="s">
        <v>98</v>
      </c>
      <c r="D105" s="34" t="str">
        <f aca="false">IF($C105="","",IFERROR(IF(IFERROR(INDEX(tblMoveTypes[In / Out],MATCH($C105,tblMoveTypes[Movement],0)),"?")="IN","IN   ",IF(IFERROR(INDEX(tblMoveTypes[In / Out],MATCH($C105,tblMoveTypes[Movement],0)),"?")="OUT","OUT   ","--   "))&amp;"fill: "&amp;IF(IFERROR(INDEX(tblMoveTypes[Item?],MATCH($C105,tblMoveTypes[Movement],0)),"?")="Yes","Item  ","")&amp;IF(AND(IFERROR(INDEX(tblMoveTypes[Qty?],MATCH($C105,tblMoveTypes[Movement],0)),"?")="Yes",IFERROR(INDEX(tblMoveTypes[In / Out],MATCH($C105,tblMoveTypes[Movement],0)),"?")="IN"),"In  ","")&amp;IF(AND(IFERROR(INDEX(tblMoveTypes[Qty?],MATCH($C105,tblMoveTypes[Movement],0)),"?")="Yes",IFERROR(INDEX(tblMoveTypes[In / Out],MATCH($C105,tblMoveTypes[Movement],0)),"?")="OUT"),"Out  ","")&amp;IF(IFERROR(INDEX(tblMoveTypes[Orders?],MATCH($C105,tblMoveTypes[Movement],0)),"?")="Yes","Orders  ","")&amp;IF(IFERROR(INDEX(tblMoveTypes[Courier?],MATCH($C105,tblMoveTypes[Movement],0)),"?")="Yes","Courier  ","")&amp;IF(IFERROR(INDEX(tblMoveTypes[Reason?],MATCH($C105,tblMoveTypes[Movement],0)),"?")="Yes","Reason",""),"unknown movement"))</f>
        <v>OUT   fill: Item  Out  Courier  </v>
      </c>
      <c r="E105" s="31" t="s">
        <v>91</v>
      </c>
      <c r="F105" s="33"/>
      <c r="G105" s="33" t="n">
        <v>73</v>
      </c>
      <c r="H105" s="33"/>
      <c r="I105" s="31" t="s">
        <v>76</v>
      </c>
      <c r="J105" s="31"/>
      <c r="K105" s="31"/>
      <c r="L105" s="31"/>
      <c r="M105" s="34" t="str">
        <f aca="false">IF($E105="","",IFERROR(INDEX(tblItems[Item Code],MATCH($E105,tblItems[Item Name],0)),"?"))</f>
        <v>EG-FG-FIG-01-02-01-01</v>
      </c>
      <c r="N105" s="34" t="str">
        <f aca="false">IF($B105="","",IFERROR(INDEX(tblShipment[Market],MATCH($B105,tblShipment[Shipment No],0)),"?"))</f>
        <v>Qatar</v>
      </c>
      <c r="O105" s="35" t="n">
        <f aca="false">N($F105)+N($G105)</f>
        <v>73</v>
      </c>
      <c r="P105" s="34" t="str">
        <f aca="false">IF($A105="","",IF($L105="Yes","VOID",IF(COUNTIFS(tblMoveTypes[Movement],$C105)=0,"Unknown movement",IF(COUNTIF(tblShipment[Shipment No],$B105)=0,"Unknown shipment",IF(AND(IFERROR(INDEX(tblMoveTypes[Item?],MATCH($C105,tblMoveTypes[Movement],0)),"?")="Yes",$E105=""),"Item needed",IF(AND(IFERROR(INDEX(tblMoveTypes[Item?],MATCH($C105,tblMoveTypes[Movement],0)),"?")="No",$E105&lt;&gt;""),"Leave Item blank",IF(AND(IFERROR(INDEX(tblMoveTypes[In / Out],MATCH($C105,tblMoveTypes[Movement],0)),"?")="IN",$G105&lt;&gt;""),"Use the In column, not Out",IF(AND(IFERROR(INDEX(tblMoveTypes[In / Out],MATCH($C105,tblMoveTypes[Movement],0)),"?")="OUT",$F105&lt;&gt;""),"Use the Out column, not In",IF(AND(IFERROR(INDEX(tblMoveTypes[Qty?],MATCH($C105,tblMoveTypes[Movement],0)),"?")="Yes",N($F105)+N($G105)&lt;=0),"Qty needed",IF(AND(IFERROR(INDEX(tblMoveTypes[Qty?],MATCH($C105,tblMoveTypes[Movement],0)),"?")="No",N($F105)+N($G105)&gt;0),"Leave In and Out blank",IF(AND(IFERROR(INDEX(tblMoveTypes[Courier?],MATCH($C105,tblMoveTypes[Movement],0)),"?")="Yes",$I105=""),"Courier needed",IF(AND(IFERROR(INDEX(tblMoveTypes[Courier?],MATCH($C105,tblMoveTypes[Movement],0)),"?")="No",$I105&lt;&gt;""),"Leave Courier blank",IF(AND(IFERROR(INDEX(tblMoveTypes[Orders?],MATCH($C105,tblMoveTypes[Movement],0)),"?")="Yes",$H105=""),"Orders needed",IF(AND(IFERROR(INDEX(tblMoveTypes[Orders?],MATCH($C105,tblMoveTypes[Movement],0)),"?")="No",$H105&lt;&gt;""),"Leave Orders blank",IF(AND(IFERROR(INDEX(tblMoveTypes[Reason?],MATCH($C105,tblMoveTypes[Movement],0)),"?")="Yes",$J105=""),"Reason needed",IF($A105&lt;_xlfn.MINIFS(tblShipment[Arrival Date],tblShipment[Shipment No],$B105),"Date before arrival",IF(AND($E105&lt;&gt;"",COUNTIFS(tblShipment[Shipment No],$B105,tblShipment[Item Name],$E105)=0),"Item not in this shipment","OK")))))))))))))))))</f>
        <v>OK</v>
      </c>
    </row>
    <row r="106" customFormat="false" ht="15" hidden="false" customHeight="false" outlineLevel="0" collapsed="false">
      <c r="A106" s="32" t="n">
        <v>46232</v>
      </c>
      <c r="B106" s="31" t="s">
        <v>160</v>
      </c>
      <c r="C106" s="31" t="s">
        <v>98</v>
      </c>
      <c r="D106" s="34" t="str">
        <f aca="false">IF($C106="","",IFERROR(IF(IFERROR(INDEX(tblMoveTypes[In / Out],MATCH($C106,tblMoveTypes[Movement],0)),"?")="IN","IN   ",IF(IFERROR(INDEX(tblMoveTypes[In / Out],MATCH($C106,tblMoveTypes[Movement],0)),"?")="OUT","OUT   ","--   "))&amp;"fill: "&amp;IF(IFERROR(INDEX(tblMoveTypes[Item?],MATCH($C106,tblMoveTypes[Movement],0)),"?")="Yes","Item  ","")&amp;IF(AND(IFERROR(INDEX(tblMoveTypes[Qty?],MATCH($C106,tblMoveTypes[Movement],0)),"?")="Yes",IFERROR(INDEX(tblMoveTypes[In / Out],MATCH($C106,tblMoveTypes[Movement],0)),"?")="IN"),"In  ","")&amp;IF(AND(IFERROR(INDEX(tblMoveTypes[Qty?],MATCH($C106,tblMoveTypes[Movement],0)),"?")="Yes",IFERROR(INDEX(tblMoveTypes[In / Out],MATCH($C106,tblMoveTypes[Movement],0)),"?")="OUT"),"Out  ","")&amp;IF(IFERROR(INDEX(tblMoveTypes[Orders?],MATCH($C106,tblMoveTypes[Movement],0)),"?")="Yes","Orders  ","")&amp;IF(IFERROR(INDEX(tblMoveTypes[Courier?],MATCH($C106,tblMoveTypes[Movement],0)),"?")="Yes","Courier  ","")&amp;IF(IFERROR(INDEX(tblMoveTypes[Reason?],MATCH($C106,tblMoveTypes[Movement],0)),"?")="Yes","Reason",""),"unknown movement"))</f>
        <v>OUT   fill: Item  Out  Courier  </v>
      </c>
      <c r="E106" s="31" t="s">
        <v>143</v>
      </c>
      <c r="F106" s="33"/>
      <c r="G106" s="33" t="n">
        <v>20</v>
      </c>
      <c r="H106" s="33"/>
      <c r="I106" s="31" t="s">
        <v>76</v>
      </c>
      <c r="J106" s="31"/>
      <c r="K106" s="31"/>
      <c r="L106" s="31"/>
      <c r="M106" s="34" t="str">
        <f aca="false">IF($E106="","",IFERROR(INDEX(tblItems[Item Code],MATCH($E106,tblItems[Item Name],0)),"?"))</f>
        <v>EG-FG-MNG-11-02-01-01</v>
      </c>
      <c r="N106" s="34" t="str">
        <f aca="false">IF($B106="","",IFERROR(INDEX(tblShipment[Market],MATCH($B106,tblShipment[Shipment No],0)),"?"))</f>
        <v>Qatar</v>
      </c>
      <c r="O106" s="35" t="n">
        <f aca="false">N($F106)+N($G106)</f>
        <v>20</v>
      </c>
      <c r="P106" s="34" t="str">
        <f aca="false">IF($A106="","",IF($L106="Yes","VOID",IF(COUNTIFS(tblMoveTypes[Movement],$C106)=0,"Unknown movement",IF(COUNTIF(tblShipment[Shipment No],$B106)=0,"Unknown shipment",IF(AND(IFERROR(INDEX(tblMoveTypes[Item?],MATCH($C106,tblMoveTypes[Movement],0)),"?")="Yes",$E106=""),"Item needed",IF(AND(IFERROR(INDEX(tblMoveTypes[Item?],MATCH($C106,tblMoveTypes[Movement],0)),"?")="No",$E106&lt;&gt;""),"Leave Item blank",IF(AND(IFERROR(INDEX(tblMoveTypes[In / Out],MATCH($C106,tblMoveTypes[Movement],0)),"?")="IN",$G106&lt;&gt;""),"Use the In column, not Out",IF(AND(IFERROR(INDEX(tblMoveTypes[In / Out],MATCH($C106,tblMoveTypes[Movement],0)),"?")="OUT",$F106&lt;&gt;""),"Use the Out column, not In",IF(AND(IFERROR(INDEX(tblMoveTypes[Qty?],MATCH($C106,tblMoveTypes[Movement],0)),"?")="Yes",N($F106)+N($G106)&lt;=0),"Qty needed",IF(AND(IFERROR(INDEX(tblMoveTypes[Qty?],MATCH($C106,tblMoveTypes[Movement],0)),"?")="No",N($F106)+N($G106)&gt;0),"Leave In and Out blank",IF(AND(IFERROR(INDEX(tblMoveTypes[Courier?],MATCH($C106,tblMoveTypes[Movement],0)),"?")="Yes",$I106=""),"Courier needed",IF(AND(IFERROR(INDEX(tblMoveTypes[Courier?],MATCH($C106,tblMoveTypes[Movement],0)),"?")="No",$I106&lt;&gt;""),"Leave Courier blank",IF(AND(IFERROR(INDEX(tblMoveTypes[Orders?],MATCH($C106,tblMoveTypes[Movement],0)),"?")="Yes",$H106=""),"Orders needed",IF(AND(IFERROR(INDEX(tblMoveTypes[Orders?],MATCH($C106,tblMoveTypes[Movement],0)),"?")="No",$H106&lt;&gt;""),"Leave Orders blank",IF(AND(IFERROR(INDEX(tblMoveTypes[Reason?],MATCH($C106,tblMoveTypes[Movement],0)),"?")="Yes",$J106=""),"Reason needed",IF($A106&lt;_xlfn.MINIFS(tblShipment[Arrival Date],tblShipment[Shipment No],$B106),"Date before arrival",IF(AND($E106&lt;&gt;"",COUNTIFS(tblShipment[Shipment No],$B106,tblShipment[Item Name],$E106)=0),"Item not in this shipment","OK")))))))))))))))))</f>
        <v>OK</v>
      </c>
    </row>
    <row r="107" customFormat="false" ht="15" hidden="false" customHeight="false" outlineLevel="0" collapsed="false">
      <c r="A107" s="32" t="n">
        <v>46232</v>
      </c>
      <c r="B107" s="31" t="s">
        <v>160</v>
      </c>
      <c r="C107" s="31" t="s">
        <v>98</v>
      </c>
      <c r="D107" s="34" t="str">
        <f aca="false">IF($C107="","",IFERROR(IF(IFERROR(INDEX(tblMoveTypes[In / Out],MATCH($C107,tblMoveTypes[Movement],0)),"?")="IN","IN   ",IF(IFERROR(INDEX(tblMoveTypes[In / Out],MATCH($C107,tblMoveTypes[Movement],0)),"?")="OUT","OUT   ","--   "))&amp;"fill: "&amp;IF(IFERROR(INDEX(tblMoveTypes[Item?],MATCH($C107,tblMoveTypes[Movement],0)),"?")="Yes","Item  ","")&amp;IF(AND(IFERROR(INDEX(tblMoveTypes[Qty?],MATCH($C107,tblMoveTypes[Movement],0)),"?")="Yes",IFERROR(INDEX(tblMoveTypes[In / Out],MATCH($C107,tblMoveTypes[Movement],0)),"?")="IN"),"In  ","")&amp;IF(AND(IFERROR(INDEX(tblMoveTypes[Qty?],MATCH($C107,tblMoveTypes[Movement],0)),"?")="Yes",IFERROR(INDEX(tblMoveTypes[In / Out],MATCH($C107,tblMoveTypes[Movement],0)),"?")="OUT"),"Out  ","")&amp;IF(IFERROR(INDEX(tblMoveTypes[Orders?],MATCH($C107,tblMoveTypes[Movement],0)),"?")="Yes","Orders  ","")&amp;IF(IFERROR(INDEX(tblMoveTypes[Courier?],MATCH($C107,tblMoveTypes[Movement],0)),"?")="Yes","Courier  ","")&amp;IF(IFERROR(INDEX(tblMoveTypes[Reason?],MATCH($C107,tblMoveTypes[Movement],0)),"?")="Yes","Reason",""),"unknown movement"))</f>
        <v>OUT   fill: Item  Out  Courier  </v>
      </c>
      <c r="E107" s="31" t="s">
        <v>132</v>
      </c>
      <c r="F107" s="33"/>
      <c r="G107" s="33" t="n">
        <v>20</v>
      </c>
      <c r="H107" s="33"/>
      <c r="I107" s="31" t="s">
        <v>76</v>
      </c>
      <c r="J107" s="31"/>
      <c r="K107" s="31"/>
      <c r="L107" s="31"/>
      <c r="M107" s="34" t="str">
        <f aca="false">IF($E107="","",IFERROR(INDEX(tblItems[Item Code],MATCH($E107,tblItems[Item Name],0)),"?"))</f>
        <v>EG-FG-MNG-15-02-01-01</v>
      </c>
      <c r="N107" s="34" t="str">
        <f aca="false">IF($B107="","",IFERROR(INDEX(tblShipment[Market],MATCH($B107,tblShipment[Shipment No],0)),"?"))</f>
        <v>Qatar</v>
      </c>
      <c r="O107" s="35" t="n">
        <f aca="false">N($F107)+N($G107)</f>
        <v>20</v>
      </c>
      <c r="P107" s="34" t="str">
        <f aca="false">IF($A107="","",IF($L107="Yes","VOID",IF(COUNTIFS(tblMoveTypes[Movement],$C107)=0,"Unknown movement",IF(COUNTIF(tblShipment[Shipment No],$B107)=0,"Unknown shipment",IF(AND(IFERROR(INDEX(tblMoveTypes[Item?],MATCH($C107,tblMoveTypes[Movement],0)),"?")="Yes",$E107=""),"Item needed",IF(AND(IFERROR(INDEX(tblMoveTypes[Item?],MATCH($C107,tblMoveTypes[Movement],0)),"?")="No",$E107&lt;&gt;""),"Leave Item blank",IF(AND(IFERROR(INDEX(tblMoveTypes[In / Out],MATCH($C107,tblMoveTypes[Movement],0)),"?")="IN",$G107&lt;&gt;""),"Use the In column, not Out",IF(AND(IFERROR(INDEX(tblMoveTypes[In / Out],MATCH($C107,tblMoveTypes[Movement],0)),"?")="OUT",$F107&lt;&gt;""),"Use the Out column, not In",IF(AND(IFERROR(INDEX(tblMoveTypes[Qty?],MATCH($C107,tblMoveTypes[Movement],0)),"?")="Yes",N($F107)+N($G107)&lt;=0),"Qty needed",IF(AND(IFERROR(INDEX(tblMoveTypes[Qty?],MATCH($C107,tblMoveTypes[Movement],0)),"?")="No",N($F107)+N($G107)&gt;0),"Leave In and Out blank",IF(AND(IFERROR(INDEX(tblMoveTypes[Courier?],MATCH($C107,tblMoveTypes[Movement],0)),"?")="Yes",$I107=""),"Courier needed",IF(AND(IFERROR(INDEX(tblMoveTypes[Courier?],MATCH($C107,tblMoveTypes[Movement],0)),"?")="No",$I107&lt;&gt;""),"Leave Courier blank",IF(AND(IFERROR(INDEX(tblMoveTypes[Orders?],MATCH($C107,tblMoveTypes[Movement],0)),"?")="Yes",$H107=""),"Orders needed",IF(AND(IFERROR(INDEX(tblMoveTypes[Orders?],MATCH($C107,tblMoveTypes[Movement],0)),"?")="No",$H107&lt;&gt;""),"Leave Orders blank",IF(AND(IFERROR(INDEX(tblMoveTypes[Reason?],MATCH($C107,tblMoveTypes[Movement],0)),"?")="Yes",$J107=""),"Reason needed",IF($A107&lt;_xlfn.MINIFS(tblShipment[Arrival Date],tblShipment[Shipment No],$B107),"Date before arrival",IF(AND($E107&lt;&gt;"",COUNTIFS(tblShipment[Shipment No],$B107,tblShipment[Item Name],$E107)=0),"Item not in this shipment","OK")))))))))))))))))</f>
        <v>OK</v>
      </c>
    </row>
    <row r="108" customFormat="false" ht="15" hidden="false" customHeight="false" outlineLevel="0" collapsed="false">
      <c r="A108" s="32" t="n">
        <v>46232</v>
      </c>
      <c r="B108" s="31" t="s">
        <v>160</v>
      </c>
      <c r="C108" s="31" t="s">
        <v>110</v>
      </c>
      <c r="D108" s="34" t="str">
        <f aca="false">IF($C108="","",IFERROR(IF(IFERROR(INDEX(tblMoveTypes[In / Out],MATCH($C108,tblMoveTypes[Movement],0)),"?")="IN","IN   ",IF(IFERROR(INDEX(tblMoveTypes[In / Out],MATCH($C108,tblMoveTypes[Movement],0)),"?")="OUT","OUT   ","--   "))&amp;"fill: "&amp;IF(IFERROR(INDEX(tblMoveTypes[Item?],MATCH($C108,tblMoveTypes[Movement],0)),"?")="Yes","Item  ","")&amp;IF(AND(IFERROR(INDEX(tblMoveTypes[Qty?],MATCH($C108,tblMoveTypes[Movement],0)),"?")="Yes",IFERROR(INDEX(tblMoveTypes[In / Out],MATCH($C108,tblMoveTypes[Movement],0)),"?")="IN"),"In  ","")&amp;IF(AND(IFERROR(INDEX(tblMoveTypes[Qty?],MATCH($C108,tblMoveTypes[Movement],0)),"?")="Yes",IFERROR(INDEX(tblMoveTypes[In / Out],MATCH($C108,tblMoveTypes[Movement],0)),"?")="OUT"),"Out  ","")&amp;IF(IFERROR(INDEX(tblMoveTypes[Orders?],MATCH($C108,tblMoveTypes[Movement],0)),"?")="Yes","Orders  ","")&amp;IF(IFERROR(INDEX(tblMoveTypes[Courier?],MATCH($C108,tblMoveTypes[Movement],0)),"?")="Yes","Courier  ","")&amp;IF(IFERROR(INDEX(tblMoveTypes[Reason?],MATCH($C108,tblMoveTypes[Movement],0)),"?")="Yes","Reason",""),"unknown movement"))</f>
        <v>--   fill: Orders  Courier  </v>
      </c>
      <c r="E108" s="31"/>
      <c r="F108" s="33"/>
      <c r="G108" s="33"/>
      <c r="H108" s="33" t="n">
        <v>189</v>
      </c>
      <c r="I108" s="31" t="s">
        <v>76</v>
      </c>
      <c r="J108" s="31"/>
      <c r="K108" s="31"/>
      <c r="L108" s="31"/>
      <c r="M108" s="34" t="str">
        <f aca="false">IF($E108="","",IFERROR(INDEX(tblItems[Item Code],MATCH($E108,tblItems[Item Name],0)),"?"))</f>
        <v/>
      </c>
      <c r="N108" s="34" t="str">
        <f aca="false">IF($B108="","",IFERROR(INDEX(tblShipment[Market],MATCH($B108,tblShipment[Shipment No],0)),"?"))</f>
        <v>Qatar</v>
      </c>
      <c r="O108" s="35" t="n">
        <f aca="false">N($F108)+N($G108)</f>
        <v>0</v>
      </c>
      <c r="P108" s="34" t="str">
        <f aca="false">IF($A108="","",IF($L108="Yes","VOID",IF(COUNTIFS(tblMoveTypes[Movement],$C108)=0,"Unknown movement",IF(COUNTIF(tblShipment[Shipment No],$B108)=0,"Unknown shipment",IF(AND(IFERROR(INDEX(tblMoveTypes[Item?],MATCH($C108,tblMoveTypes[Movement],0)),"?")="Yes",$E108=""),"Item needed",IF(AND(IFERROR(INDEX(tblMoveTypes[Item?],MATCH($C108,tblMoveTypes[Movement],0)),"?")="No",$E108&lt;&gt;""),"Leave Item blank",IF(AND(IFERROR(INDEX(tblMoveTypes[In / Out],MATCH($C108,tblMoveTypes[Movement],0)),"?")="IN",$G108&lt;&gt;""),"Use the In column, not Out",IF(AND(IFERROR(INDEX(tblMoveTypes[In / Out],MATCH($C108,tblMoveTypes[Movement],0)),"?")="OUT",$F108&lt;&gt;""),"Use the Out column, not In",IF(AND(IFERROR(INDEX(tblMoveTypes[Qty?],MATCH($C108,tblMoveTypes[Movement],0)),"?")="Yes",N($F108)+N($G108)&lt;=0),"Qty needed",IF(AND(IFERROR(INDEX(tblMoveTypes[Qty?],MATCH($C108,tblMoveTypes[Movement],0)),"?")="No",N($F108)+N($G108)&gt;0),"Leave In and Out blank",IF(AND(IFERROR(INDEX(tblMoveTypes[Courier?],MATCH($C108,tblMoveTypes[Movement],0)),"?")="Yes",$I108=""),"Courier needed",IF(AND(IFERROR(INDEX(tblMoveTypes[Courier?],MATCH($C108,tblMoveTypes[Movement],0)),"?")="No",$I108&lt;&gt;""),"Leave Courier blank",IF(AND(IFERROR(INDEX(tblMoveTypes[Orders?],MATCH($C108,tblMoveTypes[Movement],0)),"?")="Yes",$H108=""),"Orders needed",IF(AND(IFERROR(INDEX(tblMoveTypes[Orders?],MATCH($C108,tblMoveTypes[Movement],0)),"?")="No",$H108&lt;&gt;""),"Leave Orders blank",IF(AND(IFERROR(INDEX(tblMoveTypes[Reason?],MATCH($C108,tblMoveTypes[Movement],0)),"?")="Yes",$J108=""),"Reason needed",IF($A108&lt;_xlfn.MINIFS(tblShipment[Arrival Date],tblShipment[Shipment No],$B108),"Date before arrival",IF(AND($E108&lt;&gt;"",COUNTIFS(tblShipment[Shipment No],$B108,tblShipment[Item Name],$E108)=0),"Item not in this shipment","OK")))))))))))))))))</f>
        <v>OK</v>
      </c>
    </row>
    <row r="109" customFormat="false" ht="15" hidden="false" customHeight="false" outlineLevel="0" collapsed="false">
      <c r="A109" s="32" t="n">
        <v>46233</v>
      </c>
      <c r="B109" s="31" t="s">
        <v>159</v>
      </c>
      <c r="C109" s="31" t="s">
        <v>98</v>
      </c>
      <c r="D109" s="34" t="str">
        <f aca="false">IF($C109="","",IFERROR(IF(IFERROR(INDEX(tblMoveTypes[In / Out],MATCH($C109,tblMoveTypes[Movement],0)),"?")="IN","IN   ",IF(IFERROR(INDEX(tblMoveTypes[In / Out],MATCH($C109,tblMoveTypes[Movement],0)),"?")="OUT","OUT   ","--   "))&amp;"fill: "&amp;IF(IFERROR(INDEX(tblMoveTypes[Item?],MATCH($C109,tblMoveTypes[Movement],0)),"?")="Yes","Item  ","")&amp;IF(AND(IFERROR(INDEX(tblMoveTypes[Qty?],MATCH($C109,tblMoveTypes[Movement],0)),"?")="Yes",IFERROR(INDEX(tblMoveTypes[In / Out],MATCH($C109,tblMoveTypes[Movement],0)),"?")="IN"),"In  ","")&amp;IF(AND(IFERROR(INDEX(tblMoveTypes[Qty?],MATCH($C109,tblMoveTypes[Movement],0)),"?")="Yes",IFERROR(INDEX(tblMoveTypes[In / Out],MATCH($C109,tblMoveTypes[Movement],0)),"?")="OUT"),"Out  ","")&amp;IF(IFERROR(INDEX(tblMoveTypes[Orders?],MATCH($C109,tblMoveTypes[Movement],0)),"?")="Yes","Orders  ","")&amp;IF(IFERROR(INDEX(tblMoveTypes[Courier?],MATCH($C109,tblMoveTypes[Movement],0)),"?")="Yes","Courier  ","")&amp;IF(IFERROR(INDEX(tblMoveTypes[Reason?],MATCH($C109,tblMoveTypes[Movement],0)),"?")="Yes","Reason",""),"unknown movement"))</f>
        <v>OUT   fill: Item  Out  Courier  </v>
      </c>
      <c r="E109" s="31" t="s">
        <v>137</v>
      </c>
      <c r="F109" s="33"/>
      <c r="G109" s="33" t="n">
        <v>12</v>
      </c>
      <c r="H109" s="33"/>
      <c r="I109" s="31" t="s">
        <v>76</v>
      </c>
      <c r="J109" s="31"/>
      <c r="K109" s="31"/>
      <c r="L109" s="31"/>
      <c r="M109" s="34" t="str">
        <f aca="false">IF($E109="","",IFERROR(INDEX(tblItems[Item Code],MATCH($E109,tblItems[Item Name],0)),"?"))</f>
        <v>EG-FG-PER-01-02-01-01</v>
      </c>
      <c r="N109" s="34" t="str">
        <f aca="false">IF($B109="","",IFERROR(INDEX(tblShipment[Market],MATCH($B109,tblShipment[Shipment No],0)),"?"))</f>
        <v>Qatar</v>
      </c>
      <c r="O109" s="35" t="n">
        <f aca="false">N($F109)+N($G109)</f>
        <v>12</v>
      </c>
      <c r="P109" s="34" t="str">
        <f aca="false">IF($A109="","",IF($L109="Yes","VOID",IF(COUNTIFS(tblMoveTypes[Movement],$C109)=0,"Unknown movement",IF(COUNTIF(tblShipment[Shipment No],$B109)=0,"Unknown shipment",IF(AND(IFERROR(INDEX(tblMoveTypes[Item?],MATCH($C109,tblMoveTypes[Movement],0)),"?")="Yes",$E109=""),"Item needed",IF(AND(IFERROR(INDEX(tblMoveTypes[Item?],MATCH($C109,tblMoveTypes[Movement],0)),"?")="No",$E109&lt;&gt;""),"Leave Item blank",IF(AND(IFERROR(INDEX(tblMoveTypes[In / Out],MATCH($C109,tblMoveTypes[Movement],0)),"?")="IN",$G109&lt;&gt;""),"Use the In column, not Out",IF(AND(IFERROR(INDEX(tblMoveTypes[In / Out],MATCH($C109,tblMoveTypes[Movement],0)),"?")="OUT",$F109&lt;&gt;""),"Use the Out column, not In",IF(AND(IFERROR(INDEX(tblMoveTypes[Qty?],MATCH($C109,tblMoveTypes[Movement],0)),"?")="Yes",N($F109)+N($G109)&lt;=0),"Qty needed",IF(AND(IFERROR(INDEX(tblMoveTypes[Qty?],MATCH($C109,tblMoveTypes[Movement],0)),"?")="No",N($F109)+N($G109)&gt;0),"Leave In and Out blank",IF(AND(IFERROR(INDEX(tblMoveTypes[Courier?],MATCH($C109,tblMoveTypes[Movement],0)),"?")="Yes",$I109=""),"Courier needed",IF(AND(IFERROR(INDEX(tblMoveTypes[Courier?],MATCH($C109,tblMoveTypes[Movement],0)),"?")="No",$I109&lt;&gt;""),"Leave Courier blank",IF(AND(IFERROR(INDEX(tblMoveTypes[Orders?],MATCH($C109,tblMoveTypes[Movement],0)),"?")="Yes",$H109=""),"Orders needed",IF(AND(IFERROR(INDEX(tblMoveTypes[Orders?],MATCH($C109,tblMoveTypes[Movement],0)),"?")="No",$H109&lt;&gt;""),"Leave Orders blank",IF(AND(IFERROR(INDEX(tblMoveTypes[Reason?],MATCH($C109,tblMoveTypes[Movement],0)),"?")="Yes",$J109=""),"Reason needed",IF($A109&lt;_xlfn.MINIFS(tblShipment[Arrival Date],tblShipment[Shipment No],$B109),"Date before arrival",IF(AND($E109&lt;&gt;"",COUNTIFS(tblShipment[Shipment No],$B109,tblShipment[Item Name],$E109)=0),"Item not in this shipment","OK")))))))))))))))))</f>
        <v>OK</v>
      </c>
    </row>
    <row r="110" customFormat="false" ht="15" hidden="false" customHeight="false" outlineLevel="0" collapsed="false">
      <c r="A110" s="32" t="n">
        <v>46233</v>
      </c>
      <c r="B110" s="31" t="s">
        <v>159</v>
      </c>
      <c r="C110" s="31" t="s">
        <v>110</v>
      </c>
      <c r="D110" s="34" t="str">
        <f aca="false">IF($C110="","",IFERROR(IF(IFERROR(INDEX(tblMoveTypes[In / Out],MATCH($C110,tblMoveTypes[Movement],0)),"?")="IN","IN   ",IF(IFERROR(INDEX(tblMoveTypes[In / Out],MATCH($C110,tblMoveTypes[Movement],0)),"?")="OUT","OUT   ","--   "))&amp;"fill: "&amp;IF(IFERROR(INDEX(tblMoveTypes[Item?],MATCH($C110,tblMoveTypes[Movement],0)),"?")="Yes","Item  ","")&amp;IF(AND(IFERROR(INDEX(tblMoveTypes[Qty?],MATCH($C110,tblMoveTypes[Movement],0)),"?")="Yes",IFERROR(INDEX(tblMoveTypes[In / Out],MATCH($C110,tblMoveTypes[Movement],0)),"?")="IN"),"In  ","")&amp;IF(AND(IFERROR(INDEX(tblMoveTypes[Qty?],MATCH($C110,tblMoveTypes[Movement],0)),"?")="Yes",IFERROR(INDEX(tblMoveTypes[In / Out],MATCH($C110,tblMoveTypes[Movement],0)),"?")="OUT"),"Out  ","")&amp;IF(IFERROR(INDEX(tblMoveTypes[Orders?],MATCH($C110,tblMoveTypes[Movement],0)),"?")="Yes","Orders  ","")&amp;IF(IFERROR(INDEX(tblMoveTypes[Courier?],MATCH($C110,tblMoveTypes[Movement],0)),"?")="Yes","Courier  ","")&amp;IF(IFERROR(INDEX(tblMoveTypes[Reason?],MATCH($C110,tblMoveTypes[Movement],0)),"?")="Yes","Reason",""),"unknown movement"))</f>
        <v>--   fill: Orders  Courier  </v>
      </c>
      <c r="E110" s="31"/>
      <c r="F110" s="33"/>
      <c r="G110" s="33"/>
      <c r="H110" s="33" t="n">
        <v>5</v>
      </c>
      <c r="I110" s="31" t="s">
        <v>76</v>
      </c>
      <c r="J110" s="31"/>
      <c r="K110" s="31"/>
      <c r="L110" s="31"/>
      <c r="M110" s="34" t="str">
        <f aca="false">IF($E110="","",IFERROR(INDEX(tblItems[Item Code],MATCH($E110,tblItems[Item Name],0)),"?"))</f>
        <v/>
      </c>
      <c r="N110" s="34" t="str">
        <f aca="false">IF($B110="","",IFERROR(INDEX(tblShipment[Market],MATCH($B110,tblShipment[Shipment No],0)),"?"))</f>
        <v>Qatar</v>
      </c>
      <c r="O110" s="35" t="n">
        <f aca="false">N($F110)+N($G110)</f>
        <v>0</v>
      </c>
      <c r="P110" s="34" t="str">
        <f aca="false">IF($A110="","",IF($L110="Yes","VOID",IF(COUNTIFS(tblMoveTypes[Movement],$C110)=0,"Unknown movement",IF(COUNTIF(tblShipment[Shipment No],$B110)=0,"Unknown shipment",IF(AND(IFERROR(INDEX(tblMoveTypes[Item?],MATCH($C110,tblMoveTypes[Movement],0)),"?")="Yes",$E110=""),"Item needed",IF(AND(IFERROR(INDEX(tblMoveTypes[Item?],MATCH($C110,tblMoveTypes[Movement],0)),"?")="No",$E110&lt;&gt;""),"Leave Item blank",IF(AND(IFERROR(INDEX(tblMoveTypes[In / Out],MATCH($C110,tblMoveTypes[Movement],0)),"?")="IN",$G110&lt;&gt;""),"Use the In column, not Out",IF(AND(IFERROR(INDEX(tblMoveTypes[In / Out],MATCH($C110,tblMoveTypes[Movement],0)),"?")="OUT",$F110&lt;&gt;""),"Use the Out column, not In",IF(AND(IFERROR(INDEX(tblMoveTypes[Qty?],MATCH($C110,tblMoveTypes[Movement],0)),"?")="Yes",N($F110)+N($G110)&lt;=0),"Qty needed",IF(AND(IFERROR(INDEX(tblMoveTypes[Qty?],MATCH($C110,tblMoveTypes[Movement],0)),"?")="No",N($F110)+N($G110)&gt;0),"Leave In and Out blank",IF(AND(IFERROR(INDEX(tblMoveTypes[Courier?],MATCH($C110,tblMoveTypes[Movement],0)),"?")="Yes",$I110=""),"Courier needed",IF(AND(IFERROR(INDEX(tblMoveTypes[Courier?],MATCH($C110,tblMoveTypes[Movement],0)),"?")="No",$I110&lt;&gt;""),"Leave Courier blank",IF(AND(IFERROR(INDEX(tblMoveTypes[Orders?],MATCH($C110,tblMoveTypes[Movement],0)),"?")="Yes",$H110=""),"Orders needed",IF(AND(IFERROR(INDEX(tblMoveTypes[Orders?],MATCH($C110,tblMoveTypes[Movement],0)),"?")="No",$H110&lt;&gt;""),"Leave Orders blank",IF(AND(IFERROR(INDEX(tblMoveTypes[Reason?],MATCH($C110,tblMoveTypes[Movement],0)),"?")="Yes",$J110=""),"Reason needed",IF($A110&lt;_xlfn.MINIFS(tblShipment[Arrival Date],tblShipment[Shipment No],$B110),"Date before arrival",IF(AND($E110&lt;&gt;"",COUNTIFS(tblShipment[Shipment No],$B110,tblShipment[Item Name],$E110)=0),"Item not in this shipment","OK")))))))))))))))))</f>
        <v>OK</v>
      </c>
    </row>
    <row r="111" customFormat="false" ht="15" hidden="false" customHeight="false" outlineLevel="0" collapsed="false">
      <c r="A111" s="32" t="n">
        <v>46233</v>
      </c>
      <c r="B111" s="31" t="s">
        <v>159</v>
      </c>
      <c r="C111" s="31" t="s">
        <v>115</v>
      </c>
      <c r="D111" s="34" t="str">
        <f aca="false">IF($C111="","",IFERROR(IF(IFERROR(INDEX(tblMoveTypes[In / Out],MATCH($C111,tblMoveTypes[Movement],0)),"?")="IN","IN   ",IF(IFERROR(INDEX(tblMoveTypes[In / Out],MATCH($C111,tblMoveTypes[Movement],0)),"?")="OUT","OUT   ","--   "))&amp;"fill: "&amp;IF(IFERROR(INDEX(tblMoveTypes[Item?],MATCH($C111,tblMoveTypes[Movement],0)),"?")="Yes","Item  ","")&amp;IF(AND(IFERROR(INDEX(tblMoveTypes[Qty?],MATCH($C111,tblMoveTypes[Movement],0)),"?")="Yes",IFERROR(INDEX(tblMoveTypes[In / Out],MATCH($C111,tblMoveTypes[Movement],0)),"?")="IN"),"In  ","")&amp;IF(AND(IFERROR(INDEX(tblMoveTypes[Qty?],MATCH($C111,tblMoveTypes[Movement],0)),"?")="Yes",IFERROR(INDEX(tblMoveTypes[In / Out],MATCH($C111,tblMoveTypes[Movement],0)),"?")="OUT"),"Out  ","")&amp;IF(IFERROR(INDEX(tblMoveTypes[Orders?],MATCH($C111,tblMoveTypes[Movement],0)),"?")="Yes","Orders  ","")&amp;IF(IFERROR(INDEX(tblMoveTypes[Courier?],MATCH($C111,tblMoveTypes[Movement],0)),"?")="Yes","Courier  ","")&amp;IF(IFERROR(INDEX(tblMoveTypes[Reason?],MATCH($C111,tblMoveTypes[Movement],0)),"?")="Yes","Reason",""),"unknown movement"))</f>
        <v>OUT   fill: Out  Orders  Courier  </v>
      </c>
      <c r="E111" s="31"/>
      <c r="F111" s="33"/>
      <c r="G111" s="33" t="n">
        <v>12</v>
      </c>
      <c r="H111" s="33" t="n">
        <v>5</v>
      </c>
      <c r="I111" s="31" t="s">
        <v>76</v>
      </c>
      <c r="J111" s="31"/>
      <c r="K111" s="31"/>
      <c r="L111" s="31"/>
      <c r="M111" s="34" t="str">
        <f aca="false">IF($E111="","",IFERROR(INDEX(tblItems[Item Code],MATCH($E111,tblItems[Item Name],0)),"?"))</f>
        <v/>
      </c>
      <c r="N111" s="34" t="str">
        <f aca="false">IF($B111="","",IFERROR(INDEX(tblShipment[Market],MATCH($B111,tblShipment[Shipment No],0)),"?"))</f>
        <v>Qatar</v>
      </c>
      <c r="O111" s="35" t="n">
        <f aca="false">N($F111)+N($G111)</f>
        <v>12</v>
      </c>
      <c r="P111" s="34" t="str">
        <f aca="false">IF($A111="","",IF($L111="Yes","VOID",IF(COUNTIFS(tblMoveTypes[Movement],$C111)=0,"Unknown movement",IF(COUNTIF(tblShipment[Shipment No],$B111)=0,"Unknown shipment",IF(AND(IFERROR(INDEX(tblMoveTypes[Item?],MATCH($C111,tblMoveTypes[Movement],0)),"?")="Yes",$E111=""),"Item needed",IF(AND(IFERROR(INDEX(tblMoveTypes[Item?],MATCH($C111,tblMoveTypes[Movement],0)),"?")="No",$E111&lt;&gt;""),"Leave Item blank",IF(AND(IFERROR(INDEX(tblMoveTypes[In / Out],MATCH($C111,tblMoveTypes[Movement],0)),"?")="IN",$G111&lt;&gt;""),"Use the In column, not Out",IF(AND(IFERROR(INDEX(tblMoveTypes[In / Out],MATCH($C111,tblMoveTypes[Movement],0)),"?")="OUT",$F111&lt;&gt;""),"Use the Out column, not In",IF(AND(IFERROR(INDEX(tblMoveTypes[Qty?],MATCH($C111,tblMoveTypes[Movement],0)),"?")="Yes",N($F111)+N($G111)&lt;=0),"Qty needed",IF(AND(IFERROR(INDEX(tblMoveTypes[Qty?],MATCH($C111,tblMoveTypes[Movement],0)),"?")="No",N($F111)+N($G111)&gt;0),"Leave In and Out blank",IF(AND(IFERROR(INDEX(tblMoveTypes[Courier?],MATCH($C111,tblMoveTypes[Movement],0)),"?")="Yes",$I111=""),"Courier needed",IF(AND(IFERROR(INDEX(tblMoveTypes[Courier?],MATCH($C111,tblMoveTypes[Movement],0)),"?")="No",$I111&lt;&gt;""),"Leave Courier blank",IF(AND(IFERROR(INDEX(tblMoveTypes[Orders?],MATCH($C111,tblMoveTypes[Movement],0)),"?")="Yes",$H111=""),"Orders needed",IF(AND(IFERROR(INDEX(tblMoveTypes[Orders?],MATCH($C111,tblMoveTypes[Movement],0)),"?")="No",$H111&lt;&gt;""),"Leave Orders blank",IF(AND(IFERROR(INDEX(tblMoveTypes[Reason?],MATCH($C111,tblMoveTypes[Movement],0)),"?")="Yes",$J111=""),"Reason needed",IF($A111&lt;_xlfn.MINIFS(tblShipment[Arrival Date],tblShipment[Shipment No],$B111),"Date before arrival",IF(AND($E111&lt;&gt;"",COUNTIFS(tblShipment[Shipment No],$B111,tblShipment[Item Name],$E111)=0),"Item not in this shipment","OK")))))))))))))))))</f>
        <v>OK</v>
      </c>
    </row>
    <row r="112" customFormat="false" ht="15" hidden="false" customHeight="false" outlineLevel="0" collapsed="false">
      <c r="A112" s="32" t="n">
        <v>46233</v>
      </c>
      <c r="B112" s="31" t="s">
        <v>160</v>
      </c>
      <c r="C112" s="31" t="s">
        <v>115</v>
      </c>
      <c r="D112" s="34" t="str">
        <f aca="false">IF($C112="","",IFERROR(IF(IFERROR(INDEX(tblMoveTypes[In / Out],MATCH($C112,tblMoveTypes[Movement],0)),"?")="IN","IN   ",IF(IFERROR(INDEX(tblMoveTypes[In / Out],MATCH($C112,tblMoveTypes[Movement],0)),"?")="OUT","OUT   ","--   "))&amp;"fill: "&amp;IF(IFERROR(INDEX(tblMoveTypes[Item?],MATCH($C112,tblMoveTypes[Movement],0)),"?")="Yes","Item  ","")&amp;IF(AND(IFERROR(INDEX(tblMoveTypes[Qty?],MATCH($C112,tblMoveTypes[Movement],0)),"?")="Yes",IFERROR(INDEX(tblMoveTypes[In / Out],MATCH($C112,tblMoveTypes[Movement],0)),"?")="IN"),"In  ","")&amp;IF(AND(IFERROR(INDEX(tblMoveTypes[Qty?],MATCH($C112,tblMoveTypes[Movement],0)),"?")="Yes",IFERROR(INDEX(tblMoveTypes[In / Out],MATCH($C112,tblMoveTypes[Movement],0)),"?")="OUT"),"Out  ","")&amp;IF(IFERROR(INDEX(tblMoveTypes[Orders?],MATCH($C112,tblMoveTypes[Movement],0)),"?")="Yes","Orders  ","")&amp;IF(IFERROR(INDEX(tblMoveTypes[Courier?],MATCH($C112,tblMoveTypes[Movement],0)),"?")="Yes","Courier  ","")&amp;IF(IFERROR(INDEX(tblMoveTypes[Reason?],MATCH($C112,tblMoveTypes[Movement],0)),"?")="Yes","Reason",""),"unknown movement"))</f>
        <v>OUT   fill: Out  Orders  Courier  </v>
      </c>
      <c r="E112" s="31"/>
      <c r="F112" s="33"/>
      <c r="G112" s="33" t="n">
        <v>243</v>
      </c>
      <c r="H112" s="33" t="n">
        <v>98</v>
      </c>
      <c r="I112" s="31" t="s">
        <v>76</v>
      </c>
      <c r="J112" s="31"/>
      <c r="K112" s="31"/>
      <c r="L112" s="31"/>
      <c r="M112" s="34" t="str">
        <f aca="false">IF($E112="","",IFERROR(INDEX(tblItems[Item Code],MATCH($E112,tblItems[Item Name],0)),"?"))</f>
        <v/>
      </c>
      <c r="N112" s="34" t="str">
        <f aca="false">IF($B112="","",IFERROR(INDEX(tblShipment[Market],MATCH($B112,tblShipment[Shipment No],0)),"?"))</f>
        <v>Qatar</v>
      </c>
      <c r="O112" s="35" t="n">
        <f aca="false">N($F112)+N($G112)</f>
        <v>243</v>
      </c>
      <c r="P112" s="34" t="str">
        <f aca="false">IF($A112="","",IF($L112="Yes","VOID",IF(COUNTIFS(tblMoveTypes[Movement],$C112)=0,"Unknown movement",IF(COUNTIF(tblShipment[Shipment No],$B112)=0,"Unknown shipment",IF(AND(IFERROR(INDEX(tblMoveTypes[Item?],MATCH($C112,tblMoveTypes[Movement],0)),"?")="Yes",$E112=""),"Item needed",IF(AND(IFERROR(INDEX(tblMoveTypes[Item?],MATCH($C112,tblMoveTypes[Movement],0)),"?")="No",$E112&lt;&gt;""),"Leave Item blank",IF(AND(IFERROR(INDEX(tblMoveTypes[In / Out],MATCH($C112,tblMoveTypes[Movement],0)),"?")="IN",$G112&lt;&gt;""),"Use the In column, not Out",IF(AND(IFERROR(INDEX(tblMoveTypes[In / Out],MATCH($C112,tblMoveTypes[Movement],0)),"?")="OUT",$F112&lt;&gt;""),"Use the Out column, not In",IF(AND(IFERROR(INDEX(tblMoveTypes[Qty?],MATCH($C112,tblMoveTypes[Movement],0)),"?")="Yes",N($F112)+N($G112)&lt;=0),"Qty needed",IF(AND(IFERROR(INDEX(tblMoveTypes[Qty?],MATCH($C112,tblMoveTypes[Movement],0)),"?")="No",N($F112)+N($G112)&gt;0),"Leave In and Out blank",IF(AND(IFERROR(INDEX(tblMoveTypes[Courier?],MATCH($C112,tblMoveTypes[Movement],0)),"?")="Yes",$I112=""),"Courier needed",IF(AND(IFERROR(INDEX(tblMoveTypes[Courier?],MATCH($C112,tblMoveTypes[Movement],0)),"?")="No",$I112&lt;&gt;""),"Leave Courier blank",IF(AND(IFERROR(INDEX(tblMoveTypes[Orders?],MATCH($C112,tblMoveTypes[Movement],0)),"?")="Yes",$H112=""),"Orders needed",IF(AND(IFERROR(INDEX(tblMoveTypes[Orders?],MATCH($C112,tblMoveTypes[Movement],0)),"?")="No",$H112&lt;&gt;""),"Leave Orders blank",IF(AND(IFERROR(INDEX(tblMoveTypes[Reason?],MATCH($C112,tblMoveTypes[Movement],0)),"?")="Yes",$J112=""),"Reason needed",IF($A112&lt;_xlfn.MINIFS(tblShipment[Arrival Date],tblShipment[Shipment No],$B112),"Date before arrival",IF(AND($E112&lt;&gt;"",COUNTIFS(tblShipment[Shipment No],$B112,tblShipment[Item Name],$E112)=0),"Item not in this shipment","OK")))))))))))))))))</f>
        <v>OK</v>
      </c>
    </row>
    <row r="113" customFormat="false" ht="15" hidden="false" customHeight="false" outlineLevel="0" collapsed="false">
      <c r="A113" s="32" t="n">
        <v>46234</v>
      </c>
      <c r="B113" s="31" t="s">
        <v>160</v>
      </c>
      <c r="C113" s="31" t="s">
        <v>115</v>
      </c>
      <c r="D113" s="34" t="str">
        <f aca="false">IF($C113="","",IFERROR(IF(IFERROR(INDEX(tblMoveTypes[In / Out],MATCH($C113,tblMoveTypes[Movement],0)),"?")="IN","IN   ",IF(IFERROR(INDEX(tblMoveTypes[In / Out],MATCH($C113,tblMoveTypes[Movement],0)),"?")="OUT","OUT   ","--   "))&amp;"fill: "&amp;IF(IFERROR(INDEX(tblMoveTypes[Item?],MATCH($C113,tblMoveTypes[Movement],0)),"?")="Yes","Item  ","")&amp;IF(AND(IFERROR(INDEX(tblMoveTypes[Qty?],MATCH($C113,tblMoveTypes[Movement],0)),"?")="Yes",IFERROR(INDEX(tblMoveTypes[In / Out],MATCH($C113,tblMoveTypes[Movement],0)),"?")="IN"),"In  ","")&amp;IF(AND(IFERROR(INDEX(tblMoveTypes[Qty?],MATCH($C113,tblMoveTypes[Movement],0)),"?")="Yes",IFERROR(INDEX(tblMoveTypes[In / Out],MATCH($C113,tblMoveTypes[Movement],0)),"?")="OUT"),"Out  ","")&amp;IF(IFERROR(INDEX(tblMoveTypes[Orders?],MATCH($C113,tblMoveTypes[Movement],0)),"?")="Yes","Orders  ","")&amp;IF(IFERROR(INDEX(tblMoveTypes[Courier?],MATCH($C113,tblMoveTypes[Movement],0)),"?")="Yes","Courier  ","")&amp;IF(IFERROR(INDEX(tblMoveTypes[Reason?],MATCH($C113,tblMoveTypes[Movement],0)),"?")="Yes","Reason",""),"unknown movement"))</f>
        <v>OUT   fill: Out  Orders  Courier  </v>
      </c>
      <c r="E113" s="31"/>
      <c r="F113" s="33"/>
      <c r="G113" s="33" t="n">
        <v>135</v>
      </c>
      <c r="H113" s="33" t="n">
        <v>54</v>
      </c>
      <c r="I113" s="31" t="s">
        <v>76</v>
      </c>
      <c r="J113" s="31"/>
      <c r="K113" s="31"/>
      <c r="L113" s="31"/>
      <c r="M113" s="34" t="str">
        <f aca="false">IF($E113="","",IFERROR(INDEX(tblItems[Item Code],MATCH($E113,tblItems[Item Name],0)),"?"))</f>
        <v/>
      </c>
      <c r="N113" s="34" t="str">
        <f aca="false">IF($B113="","",IFERROR(INDEX(tblShipment[Market],MATCH($B113,tblShipment[Shipment No],0)),"?"))</f>
        <v>Qatar</v>
      </c>
      <c r="O113" s="35" t="n">
        <f aca="false">N($F113)+N($G113)</f>
        <v>135</v>
      </c>
      <c r="P113" s="34" t="str">
        <f aca="false">IF($A113="","",IF($L113="Yes","VOID",IF(COUNTIFS(tblMoveTypes[Movement],$C113)=0,"Unknown movement",IF(COUNTIF(tblShipment[Shipment No],$B113)=0,"Unknown shipment",IF(AND(IFERROR(INDEX(tblMoveTypes[Item?],MATCH($C113,tblMoveTypes[Movement],0)),"?")="Yes",$E113=""),"Item needed",IF(AND(IFERROR(INDEX(tblMoveTypes[Item?],MATCH($C113,tblMoveTypes[Movement],0)),"?")="No",$E113&lt;&gt;""),"Leave Item blank",IF(AND(IFERROR(INDEX(tblMoveTypes[In / Out],MATCH($C113,tblMoveTypes[Movement],0)),"?")="IN",$G113&lt;&gt;""),"Use the In column, not Out",IF(AND(IFERROR(INDEX(tblMoveTypes[In / Out],MATCH($C113,tblMoveTypes[Movement],0)),"?")="OUT",$F113&lt;&gt;""),"Use the Out column, not In",IF(AND(IFERROR(INDEX(tblMoveTypes[Qty?],MATCH($C113,tblMoveTypes[Movement],0)),"?")="Yes",N($F113)+N($G113)&lt;=0),"Qty needed",IF(AND(IFERROR(INDEX(tblMoveTypes[Qty?],MATCH($C113,tblMoveTypes[Movement],0)),"?")="No",N($F113)+N($G113)&gt;0),"Leave In and Out blank",IF(AND(IFERROR(INDEX(tblMoveTypes[Courier?],MATCH($C113,tblMoveTypes[Movement],0)),"?")="Yes",$I113=""),"Courier needed",IF(AND(IFERROR(INDEX(tblMoveTypes[Courier?],MATCH($C113,tblMoveTypes[Movement],0)),"?")="No",$I113&lt;&gt;""),"Leave Courier blank",IF(AND(IFERROR(INDEX(tblMoveTypes[Orders?],MATCH($C113,tblMoveTypes[Movement],0)),"?")="Yes",$H113=""),"Orders needed",IF(AND(IFERROR(INDEX(tblMoveTypes[Orders?],MATCH($C113,tblMoveTypes[Movement],0)),"?")="No",$H113&lt;&gt;""),"Leave Orders blank",IF(AND(IFERROR(INDEX(tblMoveTypes[Reason?],MATCH($C113,tblMoveTypes[Movement],0)),"?")="Yes",$J113=""),"Reason needed",IF($A113&lt;_xlfn.MINIFS(tblShipment[Arrival Date],tblShipment[Shipment No],$B113),"Date before arrival",IF(AND($E113&lt;&gt;"",COUNTIFS(tblShipment[Shipment No],$B113,tblShipment[Item Name],$E113)=0),"Item not in this shipment","OK")))))))))))))))))</f>
        <v>OK</v>
      </c>
    </row>
    <row r="114" customFormat="false" ht="15" hidden="false" customHeight="false" outlineLevel="0" collapsed="false">
      <c r="A114" s="32" t="n">
        <v>46234</v>
      </c>
      <c r="B114" s="31" t="s">
        <v>161</v>
      </c>
      <c r="C114" s="31" t="s">
        <v>79</v>
      </c>
      <c r="D114" s="34" t="str">
        <f aca="false">IF($C114="","",IFERROR(IF(IFERROR(INDEX(tblMoveTypes[In / Out],MATCH($C114,tblMoveTypes[Movement],0)),"?")="IN","IN   ",IF(IFERROR(INDEX(tblMoveTypes[In / Out],MATCH($C114,tblMoveTypes[Movement],0)),"?")="OUT","OUT   ","--   "))&amp;"fill: "&amp;IF(IFERROR(INDEX(tblMoveTypes[Item?],MATCH($C114,tblMoveTypes[Movement],0)),"?")="Yes","Item  ","")&amp;IF(AND(IFERROR(INDEX(tblMoveTypes[Qty?],MATCH($C114,tblMoveTypes[Movement],0)),"?")="Yes",IFERROR(INDEX(tblMoveTypes[In / Out],MATCH($C114,tblMoveTypes[Movement],0)),"?")="IN"),"In  ","")&amp;IF(AND(IFERROR(INDEX(tblMoveTypes[Qty?],MATCH($C114,tblMoveTypes[Movement],0)),"?")="Yes",IFERROR(INDEX(tblMoveTypes[In / Out],MATCH($C114,tblMoveTypes[Movement],0)),"?")="OUT"),"Out  ","")&amp;IF(IFERROR(INDEX(tblMoveTypes[Orders?],MATCH($C114,tblMoveTypes[Movement],0)),"?")="Yes","Orders  ","")&amp;IF(IFERROR(INDEX(tblMoveTypes[Courier?],MATCH($C114,tblMoveTypes[Movement],0)),"?")="Yes","Courier  ","")&amp;IF(IFERROR(INDEX(tblMoveTypes[Reason?],MATCH($C114,tblMoveTypes[Movement],0)),"?")="Yes","Reason",""),"unknown movement"))</f>
        <v>IN   fill: Item  In  </v>
      </c>
      <c r="E114" s="31" t="s">
        <v>84</v>
      </c>
      <c r="F114" s="33" t="n">
        <v>100</v>
      </c>
      <c r="G114" s="33"/>
      <c r="H114" s="33"/>
      <c r="I114" s="31"/>
      <c r="J114" s="31"/>
      <c r="K114" s="31"/>
      <c r="L114" s="31"/>
      <c r="M114" s="34" t="str">
        <f aca="false">IF($E114="","",IFERROR(INDEX(tblItems[Item Code],MATCH($E114,tblItems[Item Name],0)),"?"))</f>
        <v>EG-FG-MNG-12-02-01-01</v>
      </c>
      <c r="N114" s="34" t="str">
        <f aca="false">IF($B114="","",IFERROR(INDEX(tblShipment[Market],MATCH($B114,tblShipment[Shipment No],0)),"?"))</f>
        <v>Qatar</v>
      </c>
      <c r="O114" s="35" t="n">
        <f aca="false">N($F114)+N($G114)</f>
        <v>100</v>
      </c>
      <c r="P114" s="34" t="str">
        <f aca="false">IF($A114="","",IF($L114="Yes","VOID",IF(COUNTIFS(tblMoveTypes[Movement],$C114)=0,"Unknown movement",IF(COUNTIF(tblShipment[Shipment No],$B114)=0,"Unknown shipment",IF(AND(IFERROR(INDEX(tblMoveTypes[Item?],MATCH($C114,tblMoveTypes[Movement],0)),"?")="Yes",$E114=""),"Item needed",IF(AND(IFERROR(INDEX(tblMoveTypes[Item?],MATCH($C114,tblMoveTypes[Movement],0)),"?")="No",$E114&lt;&gt;""),"Leave Item blank",IF(AND(IFERROR(INDEX(tblMoveTypes[In / Out],MATCH($C114,tblMoveTypes[Movement],0)),"?")="IN",$G114&lt;&gt;""),"Use the In column, not Out",IF(AND(IFERROR(INDEX(tblMoveTypes[In / Out],MATCH($C114,tblMoveTypes[Movement],0)),"?")="OUT",$F114&lt;&gt;""),"Use the Out column, not In",IF(AND(IFERROR(INDEX(tblMoveTypes[Qty?],MATCH($C114,tblMoveTypes[Movement],0)),"?")="Yes",N($F114)+N($G114)&lt;=0),"Qty needed",IF(AND(IFERROR(INDEX(tblMoveTypes[Qty?],MATCH($C114,tblMoveTypes[Movement],0)),"?")="No",N($F114)+N($G114)&gt;0),"Leave In and Out blank",IF(AND(IFERROR(INDEX(tblMoveTypes[Courier?],MATCH($C114,tblMoveTypes[Movement],0)),"?")="Yes",$I114=""),"Courier needed",IF(AND(IFERROR(INDEX(tblMoveTypes[Courier?],MATCH($C114,tblMoveTypes[Movement],0)),"?")="No",$I114&lt;&gt;""),"Leave Courier blank",IF(AND(IFERROR(INDEX(tblMoveTypes[Orders?],MATCH($C114,tblMoveTypes[Movement],0)),"?")="Yes",$H114=""),"Orders needed",IF(AND(IFERROR(INDEX(tblMoveTypes[Orders?],MATCH($C114,tblMoveTypes[Movement],0)),"?")="No",$H114&lt;&gt;""),"Leave Orders blank",IF(AND(IFERROR(INDEX(tblMoveTypes[Reason?],MATCH($C114,tblMoveTypes[Movement],0)),"?")="Yes",$J114=""),"Reason needed",IF($A114&lt;_xlfn.MINIFS(tblShipment[Arrival Date],tblShipment[Shipment No],$B114),"Date before arrival",IF(AND($E114&lt;&gt;"",COUNTIFS(tblShipment[Shipment No],$B114,tblShipment[Item Name],$E114)=0),"Item not in this shipment","OK")))))))))))))))))</f>
        <v>OK</v>
      </c>
    </row>
    <row r="115" customFormat="false" ht="15" hidden="false" customHeight="false" outlineLevel="0" collapsed="false">
      <c r="A115" s="32" t="n">
        <v>46234</v>
      </c>
      <c r="B115" s="31" t="s">
        <v>161</v>
      </c>
      <c r="C115" s="31" t="s">
        <v>78</v>
      </c>
      <c r="D115" s="34" t="str">
        <f aca="false">IF($C115="","",IFERROR(IF(IFERROR(INDEX(tblMoveTypes[In / Out],MATCH($C115,tblMoveTypes[Movement],0)),"?")="IN","IN   ",IF(IFERROR(INDEX(tblMoveTypes[In / Out],MATCH($C115,tblMoveTypes[Movement],0)),"?")="OUT","OUT   ","--   "))&amp;"fill: "&amp;IF(IFERROR(INDEX(tblMoveTypes[Item?],MATCH($C115,tblMoveTypes[Movement],0)),"?")="Yes","Item  ","")&amp;IF(AND(IFERROR(INDEX(tblMoveTypes[Qty?],MATCH($C115,tblMoveTypes[Movement],0)),"?")="Yes",IFERROR(INDEX(tblMoveTypes[In / Out],MATCH($C115,tblMoveTypes[Movement],0)),"?")="IN"),"In  ","")&amp;IF(AND(IFERROR(INDEX(tblMoveTypes[Qty?],MATCH($C115,tblMoveTypes[Movement],0)),"?")="Yes",IFERROR(INDEX(tblMoveTypes[In / Out],MATCH($C115,tblMoveTypes[Movement],0)),"?")="OUT"),"Out  ","")&amp;IF(IFERROR(INDEX(tblMoveTypes[Orders?],MATCH($C115,tblMoveTypes[Movement],0)),"?")="Yes","Orders  ","")&amp;IF(IFERROR(INDEX(tblMoveTypes[Courier?],MATCH($C115,tblMoveTypes[Movement],0)),"?")="Yes","Courier  ","")&amp;IF(IFERROR(INDEX(tblMoveTypes[Reason?],MATCH($C115,tblMoveTypes[Movement],0)),"?")="Yes","Reason",""),"unknown movement"))</f>
        <v>OUT   fill: Item  Out  Reason</v>
      </c>
      <c r="E115" s="31" t="s">
        <v>84</v>
      </c>
      <c r="F115" s="33"/>
      <c r="G115" s="33" t="n">
        <v>2</v>
      </c>
      <c r="H115" s="33"/>
      <c r="I115" s="31"/>
      <c r="J115" s="31" t="s">
        <v>77</v>
      </c>
      <c r="K115" s="31"/>
      <c r="L115" s="31"/>
      <c r="M115" s="34" t="str">
        <f aca="false">IF($E115="","",IFERROR(INDEX(tblItems[Item Code],MATCH($E115,tblItems[Item Name],0)),"?"))</f>
        <v>EG-FG-MNG-12-02-01-01</v>
      </c>
      <c r="N115" s="34" t="str">
        <f aca="false">IF($B115="","",IFERROR(INDEX(tblShipment[Market],MATCH($B115,tblShipment[Shipment No],0)),"?"))</f>
        <v>Qatar</v>
      </c>
      <c r="O115" s="35" t="n">
        <f aca="false">N($F115)+N($G115)</f>
        <v>2</v>
      </c>
      <c r="P115" s="34" t="str">
        <f aca="false">IF($A115="","",IF($L115="Yes","VOID",IF(COUNTIFS(tblMoveTypes[Movement],$C115)=0,"Unknown movement",IF(COUNTIF(tblShipment[Shipment No],$B115)=0,"Unknown shipment",IF(AND(IFERROR(INDEX(tblMoveTypes[Item?],MATCH($C115,tblMoveTypes[Movement],0)),"?")="Yes",$E115=""),"Item needed",IF(AND(IFERROR(INDEX(tblMoveTypes[Item?],MATCH($C115,tblMoveTypes[Movement],0)),"?")="No",$E115&lt;&gt;""),"Leave Item blank",IF(AND(IFERROR(INDEX(tblMoveTypes[In / Out],MATCH($C115,tblMoveTypes[Movement],0)),"?")="IN",$G115&lt;&gt;""),"Use the In column, not Out",IF(AND(IFERROR(INDEX(tblMoveTypes[In / Out],MATCH($C115,tblMoveTypes[Movement],0)),"?")="OUT",$F115&lt;&gt;""),"Use the Out column, not In",IF(AND(IFERROR(INDEX(tblMoveTypes[Qty?],MATCH($C115,tblMoveTypes[Movement],0)),"?")="Yes",N($F115)+N($G115)&lt;=0),"Qty needed",IF(AND(IFERROR(INDEX(tblMoveTypes[Qty?],MATCH($C115,tblMoveTypes[Movement],0)),"?")="No",N($F115)+N($G115)&gt;0),"Leave In and Out blank",IF(AND(IFERROR(INDEX(tblMoveTypes[Courier?],MATCH($C115,tblMoveTypes[Movement],0)),"?")="Yes",$I115=""),"Courier needed",IF(AND(IFERROR(INDEX(tblMoveTypes[Courier?],MATCH($C115,tblMoveTypes[Movement],0)),"?")="No",$I115&lt;&gt;""),"Leave Courier blank",IF(AND(IFERROR(INDEX(tblMoveTypes[Orders?],MATCH($C115,tblMoveTypes[Movement],0)),"?")="Yes",$H115=""),"Orders needed",IF(AND(IFERROR(INDEX(tblMoveTypes[Orders?],MATCH($C115,tblMoveTypes[Movement],0)),"?")="No",$H115&lt;&gt;""),"Leave Orders blank",IF(AND(IFERROR(INDEX(tblMoveTypes[Reason?],MATCH($C115,tblMoveTypes[Movement],0)),"?")="Yes",$J115=""),"Reason needed",IF($A115&lt;_xlfn.MINIFS(tblShipment[Arrival Date],tblShipment[Shipment No],$B115),"Date before arrival",IF(AND($E115&lt;&gt;"",COUNTIFS(tblShipment[Shipment No],$B115,tblShipment[Item Name],$E115)=0),"Item not in this shipment","OK")))))))))))))))))</f>
        <v>OK</v>
      </c>
    </row>
    <row r="116" customFormat="false" ht="15" hidden="false" customHeight="false" outlineLevel="0" collapsed="false">
      <c r="A116" s="32" t="n">
        <v>46234</v>
      </c>
      <c r="B116" s="31" t="s">
        <v>161</v>
      </c>
      <c r="C116" s="31" t="s">
        <v>79</v>
      </c>
      <c r="D116" s="34" t="str">
        <f aca="false">IF($C116="","",IFERROR(IF(IFERROR(INDEX(tblMoveTypes[In / Out],MATCH($C116,tblMoveTypes[Movement],0)),"?")="IN","IN   ",IF(IFERROR(INDEX(tblMoveTypes[In / Out],MATCH($C116,tblMoveTypes[Movement],0)),"?")="OUT","OUT   ","--   "))&amp;"fill: "&amp;IF(IFERROR(INDEX(tblMoveTypes[Item?],MATCH($C116,tblMoveTypes[Movement],0)),"?")="Yes","Item  ","")&amp;IF(AND(IFERROR(INDEX(tblMoveTypes[Qty?],MATCH($C116,tblMoveTypes[Movement],0)),"?")="Yes",IFERROR(INDEX(tblMoveTypes[In / Out],MATCH($C116,tblMoveTypes[Movement],0)),"?")="IN"),"In  ","")&amp;IF(AND(IFERROR(INDEX(tblMoveTypes[Qty?],MATCH($C116,tblMoveTypes[Movement],0)),"?")="Yes",IFERROR(INDEX(tblMoveTypes[In / Out],MATCH($C116,tblMoveTypes[Movement],0)),"?")="OUT"),"Out  ","")&amp;IF(IFERROR(INDEX(tblMoveTypes[Orders?],MATCH($C116,tblMoveTypes[Movement],0)),"?")="Yes","Orders  ","")&amp;IF(IFERROR(INDEX(tblMoveTypes[Courier?],MATCH($C116,tblMoveTypes[Movement],0)),"?")="Yes","Courier  ","")&amp;IF(IFERROR(INDEX(tblMoveTypes[Reason?],MATCH($C116,tblMoveTypes[Movement],0)),"?")="Yes","Reason",""),"unknown movement"))</f>
        <v>IN   fill: Item  In  </v>
      </c>
      <c r="E116" s="31" t="s">
        <v>148</v>
      </c>
      <c r="F116" s="33" t="n">
        <v>20</v>
      </c>
      <c r="G116" s="33"/>
      <c r="H116" s="33"/>
      <c r="I116" s="31"/>
      <c r="J116" s="31"/>
      <c r="K116" s="31"/>
      <c r="L116" s="31"/>
      <c r="M116" s="34" t="str">
        <f aca="false">IF($E116="","",IFERROR(INDEX(tblItems[Item Code],MATCH($E116,tblItems[Item Name],0)),"?"))</f>
        <v>EG-FG-MNG-99-02-01-01</v>
      </c>
      <c r="N116" s="34" t="str">
        <f aca="false">IF($B116="","",IFERROR(INDEX(tblShipment[Market],MATCH($B116,tblShipment[Shipment No],0)),"?"))</f>
        <v>Qatar</v>
      </c>
      <c r="O116" s="35" t="n">
        <f aca="false">N($F116)+N($G116)</f>
        <v>20</v>
      </c>
      <c r="P116" s="34" t="str">
        <f aca="false">IF($A116="","",IF($L116="Yes","VOID",IF(COUNTIFS(tblMoveTypes[Movement],$C116)=0,"Unknown movement",IF(COUNTIF(tblShipment[Shipment No],$B116)=0,"Unknown shipment",IF(AND(IFERROR(INDEX(tblMoveTypes[Item?],MATCH($C116,tblMoveTypes[Movement],0)),"?")="Yes",$E116=""),"Item needed",IF(AND(IFERROR(INDEX(tblMoveTypes[Item?],MATCH($C116,tblMoveTypes[Movement],0)),"?")="No",$E116&lt;&gt;""),"Leave Item blank",IF(AND(IFERROR(INDEX(tblMoveTypes[In / Out],MATCH($C116,tblMoveTypes[Movement],0)),"?")="IN",$G116&lt;&gt;""),"Use the In column, not Out",IF(AND(IFERROR(INDEX(tblMoveTypes[In / Out],MATCH($C116,tblMoveTypes[Movement],0)),"?")="OUT",$F116&lt;&gt;""),"Use the Out column, not In",IF(AND(IFERROR(INDEX(tblMoveTypes[Qty?],MATCH($C116,tblMoveTypes[Movement],0)),"?")="Yes",N($F116)+N($G116)&lt;=0),"Qty needed",IF(AND(IFERROR(INDEX(tblMoveTypes[Qty?],MATCH($C116,tblMoveTypes[Movement],0)),"?")="No",N($F116)+N($G116)&gt;0),"Leave In and Out blank",IF(AND(IFERROR(INDEX(tblMoveTypes[Courier?],MATCH($C116,tblMoveTypes[Movement],0)),"?")="Yes",$I116=""),"Courier needed",IF(AND(IFERROR(INDEX(tblMoveTypes[Courier?],MATCH($C116,tblMoveTypes[Movement],0)),"?")="No",$I116&lt;&gt;""),"Leave Courier blank",IF(AND(IFERROR(INDEX(tblMoveTypes[Orders?],MATCH($C116,tblMoveTypes[Movement],0)),"?")="Yes",$H116=""),"Orders needed",IF(AND(IFERROR(INDEX(tblMoveTypes[Orders?],MATCH($C116,tblMoveTypes[Movement],0)),"?")="No",$H116&lt;&gt;""),"Leave Orders blank",IF(AND(IFERROR(INDEX(tblMoveTypes[Reason?],MATCH($C116,tblMoveTypes[Movement],0)),"?")="Yes",$J116=""),"Reason needed",IF($A116&lt;_xlfn.MINIFS(tblShipment[Arrival Date],tblShipment[Shipment No],$B116),"Date before arrival",IF(AND($E116&lt;&gt;"",COUNTIFS(tblShipment[Shipment No],$B116,tblShipment[Item Name],$E116)=0),"Item not in this shipment","OK")))))))))))))))))</f>
        <v>OK</v>
      </c>
    </row>
    <row r="117" customFormat="false" ht="15" hidden="false" customHeight="false" outlineLevel="0" collapsed="false">
      <c r="A117" s="32" t="n">
        <v>46234</v>
      </c>
      <c r="B117" s="31" t="s">
        <v>161</v>
      </c>
      <c r="C117" s="31" t="s">
        <v>79</v>
      </c>
      <c r="D117" s="34" t="str">
        <f aca="false">IF($C117="","",IFERROR(IF(IFERROR(INDEX(tblMoveTypes[In / Out],MATCH($C117,tblMoveTypes[Movement],0)),"?")="IN","IN   ",IF(IFERROR(INDEX(tblMoveTypes[In / Out],MATCH($C117,tblMoveTypes[Movement],0)),"?")="OUT","OUT   ","--   "))&amp;"fill: "&amp;IF(IFERROR(INDEX(tblMoveTypes[Item?],MATCH($C117,tblMoveTypes[Movement],0)),"?")="Yes","Item  ","")&amp;IF(AND(IFERROR(INDEX(tblMoveTypes[Qty?],MATCH($C117,tblMoveTypes[Movement],0)),"?")="Yes",IFERROR(INDEX(tblMoveTypes[In / Out],MATCH($C117,tblMoveTypes[Movement],0)),"?")="IN"),"In  ","")&amp;IF(AND(IFERROR(INDEX(tblMoveTypes[Qty?],MATCH($C117,tblMoveTypes[Movement],0)),"?")="Yes",IFERROR(INDEX(tblMoveTypes[In / Out],MATCH($C117,tblMoveTypes[Movement],0)),"?")="OUT"),"Out  ","")&amp;IF(IFERROR(INDEX(tblMoveTypes[Orders?],MATCH($C117,tblMoveTypes[Movement],0)),"?")="Yes","Orders  ","")&amp;IF(IFERROR(INDEX(tblMoveTypes[Courier?],MATCH($C117,tblMoveTypes[Movement],0)),"?")="Yes","Courier  ","")&amp;IF(IFERROR(INDEX(tblMoveTypes[Reason?],MATCH($C117,tblMoveTypes[Movement],0)),"?")="Yes","Reason",""),"unknown movement"))</f>
        <v>IN   fill: Item  In  </v>
      </c>
      <c r="E117" s="31" t="s">
        <v>72</v>
      </c>
      <c r="F117" s="33" t="n">
        <v>110</v>
      </c>
      <c r="G117" s="33"/>
      <c r="H117" s="33"/>
      <c r="I117" s="31"/>
      <c r="J117" s="31"/>
      <c r="K117" s="31"/>
      <c r="L117" s="31"/>
      <c r="M117" s="34" t="str">
        <f aca="false">IF($E117="","",IFERROR(INDEX(tblItems[Item Code],MATCH($E117,tblItems[Item Name],0)),"?"))</f>
        <v>EG-FG-MNG-05-02-01-01</v>
      </c>
      <c r="N117" s="34" t="str">
        <f aca="false">IF($B117="","",IFERROR(INDEX(tblShipment[Market],MATCH($B117,tblShipment[Shipment No],0)),"?"))</f>
        <v>Qatar</v>
      </c>
      <c r="O117" s="35" t="n">
        <f aca="false">N($F117)+N($G117)</f>
        <v>110</v>
      </c>
      <c r="P117" s="34" t="str">
        <f aca="false">IF($A117="","",IF($L117="Yes","VOID",IF(COUNTIFS(tblMoveTypes[Movement],$C117)=0,"Unknown movement",IF(COUNTIF(tblShipment[Shipment No],$B117)=0,"Unknown shipment",IF(AND(IFERROR(INDEX(tblMoveTypes[Item?],MATCH($C117,tblMoveTypes[Movement],0)),"?")="Yes",$E117=""),"Item needed",IF(AND(IFERROR(INDEX(tblMoveTypes[Item?],MATCH($C117,tblMoveTypes[Movement],0)),"?")="No",$E117&lt;&gt;""),"Leave Item blank",IF(AND(IFERROR(INDEX(tblMoveTypes[In / Out],MATCH($C117,tblMoveTypes[Movement],0)),"?")="IN",$G117&lt;&gt;""),"Use the In column, not Out",IF(AND(IFERROR(INDEX(tblMoveTypes[In / Out],MATCH($C117,tblMoveTypes[Movement],0)),"?")="OUT",$F117&lt;&gt;""),"Use the Out column, not In",IF(AND(IFERROR(INDEX(tblMoveTypes[Qty?],MATCH($C117,tblMoveTypes[Movement],0)),"?")="Yes",N($F117)+N($G117)&lt;=0),"Qty needed",IF(AND(IFERROR(INDEX(tblMoveTypes[Qty?],MATCH($C117,tblMoveTypes[Movement],0)),"?")="No",N($F117)+N($G117)&gt;0),"Leave In and Out blank",IF(AND(IFERROR(INDEX(tblMoveTypes[Courier?],MATCH($C117,tblMoveTypes[Movement],0)),"?")="Yes",$I117=""),"Courier needed",IF(AND(IFERROR(INDEX(tblMoveTypes[Courier?],MATCH($C117,tblMoveTypes[Movement],0)),"?")="No",$I117&lt;&gt;""),"Leave Courier blank",IF(AND(IFERROR(INDEX(tblMoveTypes[Orders?],MATCH($C117,tblMoveTypes[Movement],0)),"?")="Yes",$H117=""),"Orders needed",IF(AND(IFERROR(INDEX(tblMoveTypes[Orders?],MATCH($C117,tblMoveTypes[Movement],0)),"?")="No",$H117&lt;&gt;""),"Leave Orders blank",IF(AND(IFERROR(INDEX(tblMoveTypes[Reason?],MATCH($C117,tblMoveTypes[Movement],0)),"?")="Yes",$J117=""),"Reason needed",IF($A117&lt;_xlfn.MINIFS(tblShipment[Arrival Date],tblShipment[Shipment No],$B117),"Date before arrival",IF(AND($E117&lt;&gt;"",COUNTIFS(tblShipment[Shipment No],$B117,tblShipment[Item Name],$E117)=0),"Item not in this shipment","OK")))))))))))))))))</f>
        <v>OK</v>
      </c>
    </row>
    <row r="118" customFormat="false" ht="15" hidden="false" customHeight="false" outlineLevel="0" collapsed="false">
      <c r="A118" s="32" t="n">
        <v>46234</v>
      </c>
      <c r="B118" s="31" t="s">
        <v>161</v>
      </c>
      <c r="C118" s="31" t="s">
        <v>78</v>
      </c>
      <c r="D118" s="34" t="str">
        <f aca="false">IF($C118="","",IFERROR(IF(IFERROR(INDEX(tblMoveTypes[In / Out],MATCH($C118,tblMoveTypes[Movement],0)),"?")="IN","IN   ",IF(IFERROR(INDEX(tblMoveTypes[In / Out],MATCH($C118,tblMoveTypes[Movement],0)),"?")="OUT","OUT   ","--   "))&amp;"fill: "&amp;IF(IFERROR(INDEX(tblMoveTypes[Item?],MATCH($C118,tblMoveTypes[Movement],0)),"?")="Yes","Item  ","")&amp;IF(AND(IFERROR(INDEX(tblMoveTypes[Qty?],MATCH($C118,tblMoveTypes[Movement],0)),"?")="Yes",IFERROR(INDEX(tblMoveTypes[In / Out],MATCH($C118,tblMoveTypes[Movement],0)),"?")="IN"),"In  ","")&amp;IF(AND(IFERROR(INDEX(tblMoveTypes[Qty?],MATCH($C118,tblMoveTypes[Movement],0)),"?")="Yes",IFERROR(INDEX(tblMoveTypes[In / Out],MATCH($C118,tblMoveTypes[Movement],0)),"?")="OUT"),"Out  ","")&amp;IF(IFERROR(INDEX(tblMoveTypes[Orders?],MATCH($C118,tblMoveTypes[Movement],0)),"?")="Yes","Orders  ","")&amp;IF(IFERROR(INDEX(tblMoveTypes[Courier?],MATCH($C118,tblMoveTypes[Movement],0)),"?")="Yes","Courier  ","")&amp;IF(IFERROR(INDEX(tblMoveTypes[Reason?],MATCH($C118,tblMoveTypes[Movement],0)),"?")="Yes","Reason",""),"unknown movement"))</f>
        <v>OUT   fill: Item  Out  Reason</v>
      </c>
      <c r="E118" s="31" t="s">
        <v>72</v>
      </c>
      <c r="F118" s="33"/>
      <c r="G118" s="33" t="n">
        <v>2</v>
      </c>
      <c r="H118" s="33"/>
      <c r="I118" s="31"/>
      <c r="J118" s="31" t="s">
        <v>77</v>
      </c>
      <c r="K118" s="31"/>
      <c r="L118" s="31"/>
      <c r="M118" s="34" t="str">
        <f aca="false">IF($E118="","",IFERROR(INDEX(tblItems[Item Code],MATCH($E118,tblItems[Item Name],0)),"?"))</f>
        <v>EG-FG-MNG-05-02-01-01</v>
      </c>
      <c r="N118" s="34" t="str">
        <f aca="false">IF($B118="","",IFERROR(INDEX(tblShipment[Market],MATCH($B118,tblShipment[Shipment No],0)),"?"))</f>
        <v>Qatar</v>
      </c>
      <c r="O118" s="35" t="n">
        <f aca="false">N($F118)+N($G118)</f>
        <v>2</v>
      </c>
      <c r="P118" s="34" t="str">
        <f aca="false">IF($A118="","",IF($L118="Yes","VOID",IF(COUNTIFS(tblMoveTypes[Movement],$C118)=0,"Unknown movement",IF(COUNTIF(tblShipment[Shipment No],$B118)=0,"Unknown shipment",IF(AND(IFERROR(INDEX(tblMoveTypes[Item?],MATCH($C118,tblMoveTypes[Movement],0)),"?")="Yes",$E118=""),"Item needed",IF(AND(IFERROR(INDEX(tblMoveTypes[Item?],MATCH($C118,tblMoveTypes[Movement],0)),"?")="No",$E118&lt;&gt;""),"Leave Item blank",IF(AND(IFERROR(INDEX(tblMoveTypes[In / Out],MATCH($C118,tblMoveTypes[Movement],0)),"?")="IN",$G118&lt;&gt;""),"Use the In column, not Out",IF(AND(IFERROR(INDEX(tblMoveTypes[In / Out],MATCH($C118,tblMoveTypes[Movement],0)),"?")="OUT",$F118&lt;&gt;""),"Use the Out column, not In",IF(AND(IFERROR(INDEX(tblMoveTypes[Qty?],MATCH($C118,tblMoveTypes[Movement],0)),"?")="Yes",N($F118)+N($G118)&lt;=0),"Qty needed",IF(AND(IFERROR(INDEX(tblMoveTypes[Qty?],MATCH($C118,tblMoveTypes[Movement],0)),"?")="No",N($F118)+N($G118)&gt;0),"Leave In and Out blank",IF(AND(IFERROR(INDEX(tblMoveTypes[Courier?],MATCH($C118,tblMoveTypes[Movement],0)),"?")="Yes",$I118=""),"Courier needed",IF(AND(IFERROR(INDEX(tblMoveTypes[Courier?],MATCH($C118,tblMoveTypes[Movement],0)),"?")="No",$I118&lt;&gt;""),"Leave Courier blank",IF(AND(IFERROR(INDEX(tblMoveTypes[Orders?],MATCH($C118,tblMoveTypes[Movement],0)),"?")="Yes",$H118=""),"Orders needed",IF(AND(IFERROR(INDEX(tblMoveTypes[Orders?],MATCH($C118,tblMoveTypes[Movement],0)),"?")="No",$H118&lt;&gt;""),"Leave Orders blank",IF(AND(IFERROR(INDEX(tblMoveTypes[Reason?],MATCH($C118,tblMoveTypes[Movement],0)),"?")="Yes",$J118=""),"Reason needed",IF($A118&lt;_xlfn.MINIFS(tblShipment[Arrival Date],tblShipment[Shipment No],$B118),"Date before arrival",IF(AND($E118&lt;&gt;"",COUNTIFS(tblShipment[Shipment No],$B118,tblShipment[Item Name],$E118)=0),"Item not in this shipment","OK")))))))))))))))))</f>
        <v>OK</v>
      </c>
    </row>
    <row r="119" customFormat="false" ht="15" hidden="false" customHeight="false" outlineLevel="0" collapsed="false">
      <c r="A119" s="32" t="n">
        <v>46234</v>
      </c>
      <c r="B119" s="31" t="s">
        <v>161</v>
      </c>
      <c r="C119" s="31" t="s">
        <v>79</v>
      </c>
      <c r="D119" s="34" t="str">
        <f aca="false">IF($C119="","",IFERROR(IF(IFERROR(INDEX(tblMoveTypes[In / Out],MATCH($C119,tblMoveTypes[Movement],0)),"?")="IN","IN   ",IF(IFERROR(INDEX(tblMoveTypes[In / Out],MATCH($C119,tblMoveTypes[Movement],0)),"?")="OUT","OUT   ","--   "))&amp;"fill: "&amp;IF(IFERROR(INDEX(tblMoveTypes[Item?],MATCH($C119,tblMoveTypes[Movement],0)),"?")="Yes","Item  ","")&amp;IF(AND(IFERROR(INDEX(tblMoveTypes[Qty?],MATCH($C119,tblMoveTypes[Movement],0)),"?")="Yes",IFERROR(INDEX(tblMoveTypes[In / Out],MATCH($C119,tblMoveTypes[Movement],0)),"?")="IN"),"In  ","")&amp;IF(AND(IFERROR(INDEX(tblMoveTypes[Qty?],MATCH($C119,tblMoveTypes[Movement],0)),"?")="Yes",IFERROR(INDEX(tblMoveTypes[In / Out],MATCH($C119,tblMoveTypes[Movement],0)),"?")="OUT"),"Out  ","")&amp;IF(IFERROR(INDEX(tblMoveTypes[Orders?],MATCH($C119,tblMoveTypes[Movement],0)),"?")="Yes","Orders  ","")&amp;IF(IFERROR(INDEX(tblMoveTypes[Courier?],MATCH($C119,tblMoveTypes[Movement],0)),"?")="Yes","Courier  ","")&amp;IF(IFERROR(INDEX(tblMoveTypes[Reason?],MATCH($C119,tblMoveTypes[Movement],0)),"?")="Yes","Reason",""),"unknown movement"))</f>
        <v>IN   fill: Item  In  </v>
      </c>
      <c r="E119" s="31" t="s">
        <v>122</v>
      </c>
      <c r="F119" s="33" t="n">
        <v>20</v>
      </c>
      <c r="G119" s="33"/>
      <c r="H119" s="33"/>
      <c r="I119" s="31"/>
      <c r="J119" s="31"/>
      <c r="K119" s="31"/>
      <c r="L119" s="31"/>
      <c r="M119" s="34" t="str">
        <f aca="false">IF($E119="","",IFERROR(INDEX(tblItems[Item Code],MATCH($E119,tblItems[Item Name],0)),"?"))</f>
        <v>EG-FG-GRP-01-02-01-01</v>
      </c>
      <c r="N119" s="34" t="str">
        <f aca="false">IF($B119="","",IFERROR(INDEX(tblShipment[Market],MATCH($B119,tblShipment[Shipment No],0)),"?"))</f>
        <v>Qatar</v>
      </c>
      <c r="O119" s="35" t="n">
        <f aca="false">N($F119)+N($G119)</f>
        <v>20</v>
      </c>
      <c r="P119" s="34" t="str">
        <f aca="false">IF($A119="","",IF($L119="Yes","VOID",IF(COUNTIFS(tblMoveTypes[Movement],$C119)=0,"Unknown movement",IF(COUNTIF(tblShipment[Shipment No],$B119)=0,"Unknown shipment",IF(AND(IFERROR(INDEX(tblMoveTypes[Item?],MATCH($C119,tblMoveTypes[Movement],0)),"?")="Yes",$E119=""),"Item needed",IF(AND(IFERROR(INDEX(tblMoveTypes[Item?],MATCH($C119,tblMoveTypes[Movement],0)),"?")="No",$E119&lt;&gt;""),"Leave Item blank",IF(AND(IFERROR(INDEX(tblMoveTypes[In / Out],MATCH($C119,tblMoveTypes[Movement],0)),"?")="IN",$G119&lt;&gt;""),"Use the In column, not Out",IF(AND(IFERROR(INDEX(tblMoveTypes[In / Out],MATCH($C119,tblMoveTypes[Movement],0)),"?")="OUT",$F119&lt;&gt;""),"Use the Out column, not In",IF(AND(IFERROR(INDEX(tblMoveTypes[Qty?],MATCH($C119,tblMoveTypes[Movement],0)),"?")="Yes",N($F119)+N($G119)&lt;=0),"Qty needed",IF(AND(IFERROR(INDEX(tblMoveTypes[Qty?],MATCH($C119,tblMoveTypes[Movement],0)),"?")="No",N($F119)+N($G119)&gt;0),"Leave In and Out blank",IF(AND(IFERROR(INDEX(tblMoveTypes[Courier?],MATCH($C119,tblMoveTypes[Movement],0)),"?")="Yes",$I119=""),"Courier needed",IF(AND(IFERROR(INDEX(tblMoveTypes[Courier?],MATCH($C119,tblMoveTypes[Movement],0)),"?")="No",$I119&lt;&gt;""),"Leave Courier blank",IF(AND(IFERROR(INDEX(tblMoveTypes[Orders?],MATCH($C119,tblMoveTypes[Movement],0)),"?")="Yes",$H119=""),"Orders needed",IF(AND(IFERROR(INDEX(tblMoveTypes[Orders?],MATCH($C119,tblMoveTypes[Movement],0)),"?")="No",$H119&lt;&gt;""),"Leave Orders blank",IF(AND(IFERROR(INDEX(tblMoveTypes[Reason?],MATCH($C119,tblMoveTypes[Movement],0)),"?")="Yes",$J119=""),"Reason needed",IF($A119&lt;_xlfn.MINIFS(tblShipment[Arrival Date],tblShipment[Shipment No],$B119),"Date before arrival",IF(AND($E119&lt;&gt;"",COUNTIFS(tblShipment[Shipment No],$B119,tblShipment[Item Name],$E119)=0),"Item not in this shipment","OK")))))))))))))))))</f>
        <v>OK</v>
      </c>
    </row>
    <row r="120" customFormat="false" ht="15" hidden="false" customHeight="false" outlineLevel="0" collapsed="false">
      <c r="A120" s="32" t="n">
        <v>46234</v>
      </c>
      <c r="B120" s="31" t="s">
        <v>161</v>
      </c>
      <c r="C120" s="31" t="s">
        <v>79</v>
      </c>
      <c r="D120" s="34" t="str">
        <f aca="false">IF($C120="","",IFERROR(IF(IFERROR(INDEX(tblMoveTypes[In / Out],MATCH($C120,tblMoveTypes[Movement],0)),"?")="IN","IN   ",IF(IFERROR(INDEX(tblMoveTypes[In / Out],MATCH($C120,tblMoveTypes[Movement],0)),"?")="OUT","OUT   ","--   "))&amp;"fill: "&amp;IF(IFERROR(INDEX(tblMoveTypes[Item?],MATCH($C120,tblMoveTypes[Movement],0)),"?")="Yes","Item  ","")&amp;IF(AND(IFERROR(INDEX(tblMoveTypes[Qty?],MATCH($C120,tblMoveTypes[Movement],0)),"?")="Yes",IFERROR(INDEX(tblMoveTypes[In / Out],MATCH($C120,tblMoveTypes[Movement],0)),"?")="IN"),"In  ","")&amp;IF(AND(IFERROR(INDEX(tblMoveTypes[Qty?],MATCH($C120,tblMoveTypes[Movement],0)),"?")="Yes",IFERROR(INDEX(tblMoveTypes[In / Out],MATCH($C120,tblMoveTypes[Movement],0)),"?")="OUT"),"Out  ","")&amp;IF(IFERROR(INDEX(tblMoveTypes[Orders?],MATCH($C120,tblMoveTypes[Movement],0)),"?")="Yes","Orders  ","")&amp;IF(IFERROR(INDEX(tblMoveTypes[Courier?],MATCH($C120,tblMoveTypes[Movement],0)),"?")="Yes","Courier  ","")&amp;IF(IFERROR(INDEX(tblMoveTypes[Reason?],MATCH($C120,tblMoveTypes[Movement],0)),"?")="Yes","Reason",""),"unknown movement"))</f>
        <v>IN   fill: Item  In  </v>
      </c>
      <c r="E120" s="31" t="s">
        <v>112</v>
      </c>
      <c r="F120" s="33" t="n">
        <v>30</v>
      </c>
      <c r="G120" s="33"/>
      <c r="H120" s="33"/>
      <c r="I120" s="31"/>
      <c r="J120" s="31"/>
      <c r="K120" s="31"/>
      <c r="L120" s="31"/>
      <c r="M120" s="34" t="str">
        <f aca="false">IF($E120="","",IFERROR(INDEX(tblItems[Item Code],MATCH($E120,tblItems[Item Name],0)),"?"))</f>
        <v>BOX-TRIO-01</v>
      </c>
      <c r="N120" s="34" t="str">
        <f aca="false">IF($B120="","",IFERROR(INDEX(tblShipment[Market],MATCH($B120,tblShipment[Shipment No],0)),"?"))</f>
        <v>Qatar</v>
      </c>
      <c r="O120" s="35" t="n">
        <f aca="false">N($F120)+N($G120)</f>
        <v>30</v>
      </c>
      <c r="P120" s="34" t="str">
        <f aca="false">IF($A120="","",IF($L120="Yes","VOID",IF(COUNTIFS(tblMoveTypes[Movement],$C120)=0,"Unknown movement",IF(COUNTIF(tblShipment[Shipment No],$B120)=0,"Unknown shipment",IF(AND(IFERROR(INDEX(tblMoveTypes[Item?],MATCH($C120,tblMoveTypes[Movement],0)),"?")="Yes",$E120=""),"Item needed",IF(AND(IFERROR(INDEX(tblMoveTypes[Item?],MATCH($C120,tblMoveTypes[Movement],0)),"?")="No",$E120&lt;&gt;""),"Leave Item blank",IF(AND(IFERROR(INDEX(tblMoveTypes[In / Out],MATCH($C120,tblMoveTypes[Movement],0)),"?")="IN",$G120&lt;&gt;""),"Use the In column, not Out",IF(AND(IFERROR(INDEX(tblMoveTypes[In / Out],MATCH($C120,tblMoveTypes[Movement],0)),"?")="OUT",$F120&lt;&gt;""),"Use the Out column, not In",IF(AND(IFERROR(INDEX(tblMoveTypes[Qty?],MATCH($C120,tblMoveTypes[Movement],0)),"?")="Yes",N($F120)+N($G120)&lt;=0),"Qty needed",IF(AND(IFERROR(INDEX(tblMoveTypes[Qty?],MATCH($C120,tblMoveTypes[Movement],0)),"?")="No",N($F120)+N($G120)&gt;0),"Leave In and Out blank",IF(AND(IFERROR(INDEX(tblMoveTypes[Courier?],MATCH($C120,tblMoveTypes[Movement],0)),"?")="Yes",$I120=""),"Courier needed",IF(AND(IFERROR(INDEX(tblMoveTypes[Courier?],MATCH($C120,tblMoveTypes[Movement],0)),"?")="No",$I120&lt;&gt;""),"Leave Courier blank",IF(AND(IFERROR(INDEX(tblMoveTypes[Orders?],MATCH($C120,tblMoveTypes[Movement],0)),"?")="Yes",$H120=""),"Orders needed",IF(AND(IFERROR(INDEX(tblMoveTypes[Orders?],MATCH($C120,tblMoveTypes[Movement],0)),"?")="No",$H120&lt;&gt;""),"Leave Orders blank",IF(AND(IFERROR(INDEX(tblMoveTypes[Reason?],MATCH($C120,tblMoveTypes[Movement],0)),"?")="Yes",$J120=""),"Reason needed",IF($A120&lt;_xlfn.MINIFS(tblShipment[Arrival Date],tblShipment[Shipment No],$B120),"Date before arrival",IF(AND($E120&lt;&gt;"",COUNTIFS(tblShipment[Shipment No],$B120,tblShipment[Item Name],$E120)=0),"Item not in this shipment","OK")))))))))))))))))</f>
        <v>OK</v>
      </c>
    </row>
    <row r="121" customFormat="false" ht="15" hidden="false" customHeight="false" outlineLevel="0" collapsed="false">
      <c r="A121" s="32" t="n">
        <v>46234</v>
      </c>
      <c r="B121" s="31" t="s">
        <v>161</v>
      </c>
      <c r="C121" s="31" t="s">
        <v>78</v>
      </c>
      <c r="D121" s="34" t="str">
        <f aca="false">IF($C121="","",IFERROR(IF(IFERROR(INDEX(tblMoveTypes[In / Out],MATCH($C121,tblMoveTypes[Movement],0)),"?")="IN","IN   ",IF(IFERROR(INDEX(tblMoveTypes[In / Out],MATCH($C121,tblMoveTypes[Movement],0)),"?")="OUT","OUT   ","--   "))&amp;"fill: "&amp;IF(IFERROR(INDEX(tblMoveTypes[Item?],MATCH($C121,tblMoveTypes[Movement],0)),"?")="Yes","Item  ","")&amp;IF(AND(IFERROR(INDEX(tblMoveTypes[Qty?],MATCH($C121,tblMoveTypes[Movement],0)),"?")="Yes",IFERROR(INDEX(tblMoveTypes[In / Out],MATCH($C121,tblMoveTypes[Movement],0)),"?")="IN"),"In  ","")&amp;IF(AND(IFERROR(INDEX(tblMoveTypes[Qty?],MATCH($C121,tblMoveTypes[Movement],0)),"?")="Yes",IFERROR(INDEX(tblMoveTypes[In / Out],MATCH($C121,tblMoveTypes[Movement],0)),"?")="OUT"),"Out  ","")&amp;IF(IFERROR(INDEX(tblMoveTypes[Orders?],MATCH($C121,tblMoveTypes[Movement],0)),"?")="Yes","Orders  ","")&amp;IF(IFERROR(INDEX(tblMoveTypes[Courier?],MATCH($C121,tblMoveTypes[Movement],0)),"?")="Yes","Courier  ","")&amp;IF(IFERROR(INDEX(tblMoveTypes[Reason?],MATCH($C121,tblMoveTypes[Movement],0)),"?")="Yes","Reason",""),"unknown movement"))</f>
        <v>OUT   fill: Item  Out  Reason</v>
      </c>
      <c r="E121" s="31" t="s">
        <v>112</v>
      </c>
      <c r="F121" s="33"/>
      <c r="G121" s="33" t="n">
        <v>1</v>
      </c>
      <c r="H121" s="33"/>
      <c r="I121" s="31"/>
      <c r="J121" s="31" t="s">
        <v>86</v>
      </c>
      <c r="K121" s="31"/>
      <c r="L121" s="31"/>
      <c r="M121" s="34" t="str">
        <f aca="false">IF($E121="","",IFERROR(INDEX(tblItems[Item Code],MATCH($E121,tblItems[Item Name],0)),"?"))</f>
        <v>BOX-TRIO-01</v>
      </c>
      <c r="N121" s="34" t="str">
        <f aca="false">IF($B121="","",IFERROR(INDEX(tblShipment[Market],MATCH($B121,tblShipment[Shipment No],0)),"?"))</f>
        <v>Qatar</v>
      </c>
      <c r="O121" s="35" t="n">
        <f aca="false">N($F121)+N($G121)</f>
        <v>1</v>
      </c>
      <c r="P121" s="34" t="str">
        <f aca="false">IF($A121="","",IF($L121="Yes","VOID",IF(COUNTIFS(tblMoveTypes[Movement],$C121)=0,"Unknown movement",IF(COUNTIF(tblShipment[Shipment No],$B121)=0,"Unknown shipment",IF(AND(IFERROR(INDEX(tblMoveTypes[Item?],MATCH($C121,tblMoveTypes[Movement],0)),"?")="Yes",$E121=""),"Item needed",IF(AND(IFERROR(INDEX(tblMoveTypes[Item?],MATCH($C121,tblMoveTypes[Movement],0)),"?")="No",$E121&lt;&gt;""),"Leave Item blank",IF(AND(IFERROR(INDEX(tblMoveTypes[In / Out],MATCH($C121,tblMoveTypes[Movement],0)),"?")="IN",$G121&lt;&gt;""),"Use the In column, not Out",IF(AND(IFERROR(INDEX(tblMoveTypes[In / Out],MATCH($C121,tblMoveTypes[Movement],0)),"?")="OUT",$F121&lt;&gt;""),"Use the Out column, not In",IF(AND(IFERROR(INDEX(tblMoveTypes[Qty?],MATCH($C121,tblMoveTypes[Movement],0)),"?")="Yes",N($F121)+N($G121)&lt;=0),"Qty needed",IF(AND(IFERROR(INDEX(tblMoveTypes[Qty?],MATCH($C121,tblMoveTypes[Movement],0)),"?")="No",N($F121)+N($G121)&gt;0),"Leave In and Out blank",IF(AND(IFERROR(INDEX(tblMoveTypes[Courier?],MATCH($C121,tblMoveTypes[Movement],0)),"?")="Yes",$I121=""),"Courier needed",IF(AND(IFERROR(INDEX(tblMoveTypes[Courier?],MATCH($C121,tblMoveTypes[Movement],0)),"?")="No",$I121&lt;&gt;""),"Leave Courier blank",IF(AND(IFERROR(INDEX(tblMoveTypes[Orders?],MATCH($C121,tblMoveTypes[Movement],0)),"?")="Yes",$H121=""),"Orders needed",IF(AND(IFERROR(INDEX(tblMoveTypes[Orders?],MATCH($C121,tblMoveTypes[Movement],0)),"?")="No",$H121&lt;&gt;""),"Leave Orders blank",IF(AND(IFERROR(INDEX(tblMoveTypes[Reason?],MATCH($C121,tblMoveTypes[Movement],0)),"?")="Yes",$J121=""),"Reason needed",IF($A121&lt;_xlfn.MINIFS(tblShipment[Arrival Date],tblShipment[Shipment No],$B121),"Date before arrival",IF(AND($E121&lt;&gt;"",COUNTIFS(tblShipment[Shipment No],$B121,tblShipment[Item Name],$E121)=0),"Item not in this shipment","OK")))))))))))))))))</f>
        <v>OK</v>
      </c>
    </row>
    <row r="122" customFormat="false" ht="15" hidden="false" customHeight="false" outlineLevel="0" collapsed="false">
      <c r="A122" s="32" t="n">
        <v>46234</v>
      </c>
      <c r="B122" s="31" t="s">
        <v>161</v>
      </c>
      <c r="C122" s="31" t="s">
        <v>79</v>
      </c>
      <c r="D122" s="34" t="str">
        <f aca="false">IF($C122="","",IFERROR(IF(IFERROR(INDEX(tblMoveTypes[In / Out],MATCH($C122,tblMoveTypes[Movement],0)),"?")="IN","IN   ",IF(IFERROR(INDEX(tblMoveTypes[In / Out],MATCH($C122,tblMoveTypes[Movement],0)),"?")="OUT","OUT   ","--   "))&amp;"fill: "&amp;IF(IFERROR(INDEX(tblMoveTypes[Item?],MATCH($C122,tblMoveTypes[Movement],0)),"?")="Yes","Item  ","")&amp;IF(AND(IFERROR(INDEX(tblMoveTypes[Qty?],MATCH($C122,tblMoveTypes[Movement],0)),"?")="Yes",IFERROR(INDEX(tblMoveTypes[In / Out],MATCH($C122,tblMoveTypes[Movement],0)),"?")="IN"),"In  ","")&amp;IF(AND(IFERROR(INDEX(tblMoveTypes[Qty?],MATCH($C122,tblMoveTypes[Movement],0)),"?")="Yes",IFERROR(INDEX(tblMoveTypes[In / Out],MATCH($C122,tblMoveTypes[Movement],0)),"?")="OUT"),"Out  ","")&amp;IF(IFERROR(INDEX(tblMoveTypes[Orders?],MATCH($C122,tblMoveTypes[Movement],0)),"?")="Yes","Orders  ","")&amp;IF(IFERROR(INDEX(tblMoveTypes[Courier?],MATCH($C122,tblMoveTypes[Movement],0)),"?")="Yes","Courier  ","")&amp;IF(IFERROR(INDEX(tblMoveTypes[Reason?],MATCH($C122,tblMoveTypes[Movement],0)),"?")="Yes","Reason",""),"unknown movement"))</f>
        <v>IN   fill: Item  In  </v>
      </c>
      <c r="E122" s="31" t="s">
        <v>91</v>
      </c>
      <c r="F122" s="33" t="n">
        <v>85</v>
      </c>
      <c r="G122" s="33"/>
      <c r="H122" s="33"/>
      <c r="I122" s="31"/>
      <c r="J122" s="31"/>
      <c r="K122" s="31"/>
      <c r="L122" s="31"/>
      <c r="M122" s="34" t="str">
        <f aca="false">IF($E122="","",IFERROR(INDEX(tblItems[Item Code],MATCH($E122,tblItems[Item Name],0)),"?"))</f>
        <v>EG-FG-FIG-01-02-01-01</v>
      </c>
      <c r="N122" s="34" t="str">
        <f aca="false">IF($B122="","",IFERROR(INDEX(tblShipment[Market],MATCH($B122,tblShipment[Shipment No],0)),"?"))</f>
        <v>Qatar</v>
      </c>
      <c r="O122" s="35" t="n">
        <f aca="false">N($F122)+N($G122)</f>
        <v>85</v>
      </c>
      <c r="P122" s="34" t="str">
        <f aca="false">IF($A122="","",IF($L122="Yes","VOID",IF(COUNTIFS(tblMoveTypes[Movement],$C122)=0,"Unknown movement",IF(COUNTIF(tblShipment[Shipment No],$B122)=0,"Unknown shipment",IF(AND(IFERROR(INDEX(tblMoveTypes[Item?],MATCH($C122,tblMoveTypes[Movement],0)),"?")="Yes",$E122=""),"Item needed",IF(AND(IFERROR(INDEX(tblMoveTypes[Item?],MATCH($C122,tblMoveTypes[Movement],0)),"?")="No",$E122&lt;&gt;""),"Leave Item blank",IF(AND(IFERROR(INDEX(tblMoveTypes[In / Out],MATCH($C122,tblMoveTypes[Movement],0)),"?")="IN",$G122&lt;&gt;""),"Use the In column, not Out",IF(AND(IFERROR(INDEX(tblMoveTypes[In / Out],MATCH($C122,tblMoveTypes[Movement],0)),"?")="OUT",$F122&lt;&gt;""),"Use the Out column, not In",IF(AND(IFERROR(INDEX(tblMoveTypes[Qty?],MATCH($C122,tblMoveTypes[Movement],0)),"?")="Yes",N($F122)+N($G122)&lt;=0),"Qty needed",IF(AND(IFERROR(INDEX(tblMoveTypes[Qty?],MATCH($C122,tblMoveTypes[Movement],0)),"?")="No",N($F122)+N($G122)&gt;0),"Leave In and Out blank",IF(AND(IFERROR(INDEX(tblMoveTypes[Courier?],MATCH($C122,tblMoveTypes[Movement],0)),"?")="Yes",$I122=""),"Courier needed",IF(AND(IFERROR(INDEX(tblMoveTypes[Courier?],MATCH($C122,tblMoveTypes[Movement],0)),"?")="No",$I122&lt;&gt;""),"Leave Courier blank",IF(AND(IFERROR(INDEX(tblMoveTypes[Orders?],MATCH($C122,tblMoveTypes[Movement],0)),"?")="Yes",$H122=""),"Orders needed",IF(AND(IFERROR(INDEX(tblMoveTypes[Orders?],MATCH($C122,tblMoveTypes[Movement],0)),"?")="No",$H122&lt;&gt;""),"Leave Orders blank",IF(AND(IFERROR(INDEX(tblMoveTypes[Reason?],MATCH($C122,tblMoveTypes[Movement],0)),"?")="Yes",$J122=""),"Reason needed",IF($A122&lt;_xlfn.MINIFS(tblShipment[Arrival Date],tblShipment[Shipment No],$B122),"Date before arrival",IF(AND($E122&lt;&gt;"",COUNTIFS(tblShipment[Shipment No],$B122,tblShipment[Item Name],$E122)=0),"Item not in this shipment","OK")))))))))))))))))</f>
        <v>OK</v>
      </c>
    </row>
    <row r="123" customFormat="false" ht="15" hidden="false" customHeight="false" outlineLevel="0" collapsed="false">
      <c r="A123" s="32" t="n">
        <v>46234</v>
      </c>
      <c r="B123" s="31" t="s">
        <v>161</v>
      </c>
      <c r="C123" s="31" t="s">
        <v>78</v>
      </c>
      <c r="D123" s="34" t="str">
        <f aca="false">IF($C123="","",IFERROR(IF(IFERROR(INDEX(tblMoveTypes[In / Out],MATCH($C123,tblMoveTypes[Movement],0)),"?")="IN","IN   ",IF(IFERROR(INDEX(tblMoveTypes[In / Out],MATCH($C123,tblMoveTypes[Movement],0)),"?")="OUT","OUT   ","--   "))&amp;"fill: "&amp;IF(IFERROR(INDEX(tblMoveTypes[Item?],MATCH($C123,tblMoveTypes[Movement],0)),"?")="Yes","Item  ","")&amp;IF(AND(IFERROR(INDEX(tblMoveTypes[Qty?],MATCH($C123,tblMoveTypes[Movement],0)),"?")="Yes",IFERROR(INDEX(tblMoveTypes[In / Out],MATCH($C123,tblMoveTypes[Movement],0)),"?")="IN"),"In  ","")&amp;IF(AND(IFERROR(INDEX(tblMoveTypes[Qty?],MATCH($C123,tblMoveTypes[Movement],0)),"?")="Yes",IFERROR(INDEX(tblMoveTypes[In / Out],MATCH($C123,tblMoveTypes[Movement],0)),"?")="OUT"),"Out  ","")&amp;IF(IFERROR(INDEX(tblMoveTypes[Orders?],MATCH($C123,tblMoveTypes[Movement],0)),"?")="Yes","Orders  ","")&amp;IF(IFERROR(INDEX(tblMoveTypes[Courier?],MATCH($C123,tblMoveTypes[Movement],0)),"?")="Yes","Courier  ","")&amp;IF(IFERROR(INDEX(tblMoveTypes[Reason?],MATCH($C123,tblMoveTypes[Movement],0)),"?")="Yes","Reason",""),"unknown movement"))</f>
        <v>OUT   fill: Item  Out  Reason</v>
      </c>
      <c r="E123" s="31" t="s">
        <v>91</v>
      </c>
      <c r="F123" s="33"/>
      <c r="G123" s="33" t="n">
        <v>1</v>
      </c>
      <c r="H123" s="33"/>
      <c r="I123" s="31"/>
      <c r="J123" s="31" t="s">
        <v>77</v>
      </c>
      <c r="K123" s="31"/>
      <c r="L123" s="31"/>
      <c r="M123" s="34" t="str">
        <f aca="false">IF($E123="","",IFERROR(INDEX(tblItems[Item Code],MATCH($E123,tblItems[Item Name],0)),"?"))</f>
        <v>EG-FG-FIG-01-02-01-01</v>
      </c>
      <c r="N123" s="34" t="str">
        <f aca="false">IF($B123="","",IFERROR(INDEX(tblShipment[Market],MATCH($B123,tblShipment[Shipment No],0)),"?"))</f>
        <v>Qatar</v>
      </c>
      <c r="O123" s="35" t="n">
        <f aca="false">N($F123)+N($G123)</f>
        <v>1</v>
      </c>
      <c r="P123" s="34" t="str">
        <f aca="false">IF($A123="","",IF($L123="Yes","VOID",IF(COUNTIFS(tblMoveTypes[Movement],$C123)=0,"Unknown movement",IF(COUNTIF(tblShipment[Shipment No],$B123)=0,"Unknown shipment",IF(AND(IFERROR(INDEX(tblMoveTypes[Item?],MATCH($C123,tblMoveTypes[Movement],0)),"?")="Yes",$E123=""),"Item needed",IF(AND(IFERROR(INDEX(tblMoveTypes[Item?],MATCH($C123,tblMoveTypes[Movement],0)),"?")="No",$E123&lt;&gt;""),"Leave Item blank",IF(AND(IFERROR(INDEX(tblMoveTypes[In / Out],MATCH($C123,tblMoveTypes[Movement],0)),"?")="IN",$G123&lt;&gt;""),"Use the In column, not Out",IF(AND(IFERROR(INDEX(tblMoveTypes[In / Out],MATCH($C123,tblMoveTypes[Movement],0)),"?")="OUT",$F123&lt;&gt;""),"Use the Out column, not In",IF(AND(IFERROR(INDEX(tblMoveTypes[Qty?],MATCH($C123,tblMoveTypes[Movement],0)),"?")="Yes",N($F123)+N($G123)&lt;=0),"Qty needed",IF(AND(IFERROR(INDEX(tblMoveTypes[Qty?],MATCH($C123,tblMoveTypes[Movement],0)),"?")="No",N($F123)+N($G123)&gt;0),"Leave In and Out blank",IF(AND(IFERROR(INDEX(tblMoveTypes[Courier?],MATCH($C123,tblMoveTypes[Movement],0)),"?")="Yes",$I123=""),"Courier needed",IF(AND(IFERROR(INDEX(tblMoveTypes[Courier?],MATCH($C123,tblMoveTypes[Movement],0)),"?")="No",$I123&lt;&gt;""),"Leave Courier blank",IF(AND(IFERROR(INDEX(tblMoveTypes[Orders?],MATCH($C123,tblMoveTypes[Movement],0)),"?")="Yes",$H123=""),"Orders needed",IF(AND(IFERROR(INDEX(tblMoveTypes[Orders?],MATCH($C123,tblMoveTypes[Movement],0)),"?")="No",$H123&lt;&gt;""),"Leave Orders blank",IF(AND(IFERROR(INDEX(tblMoveTypes[Reason?],MATCH($C123,tblMoveTypes[Movement],0)),"?")="Yes",$J123=""),"Reason needed",IF($A123&lt;_xlfn.MINIFS(tblShipment[Arrival Date],tblShipment[Shipment No],$B123),"Date before arrival",IF(AND($E123&lt;&gt;"",COUNTIFS(tblShipment[Shipment No],$B123,tblShipment[Item Name],$E123)=0),"Item not in this shipment","OK")))))))))))))))))</f>
        <v>OK</v>
      </c>
    </row>
    <row r="124" customFormat="false" ht="15" hidden="false" customHeight="false" outlineLevel="0" collapsed="false">
      <c r="A124" s="32" t="n">
        <v>46234</v>
      </c>
      <c r="B124" s="31" t="s">
        <v>161</v>
      </c>
      <c r="C124" s="31" t="s">
        <v>87</v>
      </c>
      <c r="D124" s="34" t="str">
        <f aca="false">IF($C124="","",IFERROR(IF(IFERROR(INDEX(tblMoveTypes[In / Out],MATCH($C124,tblMoveTypes[Movement],0)),"?")="IN","IN   ",IF(IFERROR(INDEX(tblMoveTypes[In / Out],MATCH($C124,tblMoveTypes[Movement],0)),"?")="OUT","OUT   ","--   "))&amp;"fill: "&amp;IF(IFERROR(INDEX(tblMoveTypes[Item?],MATCH($C124,tblMoveTypes[Movement],0)),"?")="Yes","Item  ","")&amp;IF(AND(IFERROR(INDEX(tblMoveTypes[Qty?],MATCH($C124,tblMoveTypes[Movement],0)),"?")="Yes",IFERROR(INDEX(tblMoveTypes[In / Out],MATCH($C124,tblMoveTypes[Movement],0)),"?")="IN"),"In  ","")&amp;IF(AND(IFERROR(INDEX(tblMoveTypes[Qty?],MATCH($C124,tblMoveTypes[Movement],0)),"?")="Yes",IFERROR(INDEX(tblMoveTypes[In / Out],MATCH($C124,tblMoveTypes[Movement],0)),"?")="OUT"),"Out  ","")&amp;IF(IFERROR(INDEX(tblMoveTypes[Orders?],MATCH($C124,tblMoveTypes[Movement],0)),"?")="Yes","Orders  ","")&amp;IF(IFERROR(INDEX(tblMoveTypes[Courier?],MATCH($C124,tblMoveTypes[Movement],0)),"?")="Yes","Courier  ","")&amp;IF(IFERROR(INDEX(tblMoveTypes[Reason?],MATCH($C124,tblMoveTypes[Movement],0)),"?")="Yes","Reason",""),"unknown movement"))</f>
        <v>OUT   fill: Item  Out  </v>
      </c>
      <c r="E124" s="31" t="s">
        <v>100</v>
      </c>
      <c r="F124" s="33"/>
      <c r="G124" s="33" t="n">
        <v>1</v>
      </c>
      <c r="H124" s="33"/>
      <c r="I124" s="31"/>
      <c r="J124" s="31"/>
      <c r="K124" s="31" t="s">
        <v>179</v>
      </c>
      <c r="L124" s="31"/>
      <c r="M124" s="34" t="str">
        <f aca="false">IF($E124="","",IFERROR(INDEX(tblItems[Item Code],MATCH($E124,tblItems[Item Name],0)),"?"))</f>
        <v>EG-FG-MNG-18-02-01-01</v>
      </c>
      <c r="N124" s="34" t="str">
        <f aca="false">IF($B124="","",IFERROR(INDEX(tblShipment[Market],MATCH($B124,tblShipment[Shipment No],0)),"?"))</f>
        <v>Qatar</v>
      </c>
      <c r="O124" s="35" t="n">
        <f aca="false">N($F124)+N($G124)</f>
        <v>1</v>
      </c>
      <c r="P124" s="34" t="str">
        <f aca="false">IF($A124="","",IF($L124="Yes","VOID",IF(COUNTIFS(tblMoveTypes[Movement],$C124)=0,"Unknown movement",IF(COUNTIF(tblShipment[Shipment No],$B124)=0,"Unknown shipment",IF(AND(IFERROR(INDEX(tblMoveTypes[Item?],MATCH($C124,tblMoveTypes[Movement],0)),"?")="Yes",$E124=""),"Item needed",IF(AND(IFERROR(INDEX(tblMoveTypes[Item?],MATCH($C124,tblMoveTypes[Movement],0)),"?")="No",$E124&lt;&gt;""),"Leave Item blank",IF(AND(IFERROR(INDEX(tblMoveTypes[In / Out],MATCH($C124,tblMoveTypes[Movement],0)),"?")="IN",$G124&lt;&gt;""),"Use the In column, not Out",IF(AND(IFERROR(INDEX(tblMoveTypes[In / Out],MATCH($C124,tblMoveTypes[Movement],0)),"?")="OUT",$F124&lt;&gt;""),"Use the Out column, not In",IF(AND(IFERROR(INDEX(tblMoveTypes[Qty?],MATCH($C124,tblMoveTypes[Movement],0)),"?")="Yes",N($F124)+N($G124)&lt;=0),"Qty needed",IF(AND(IFERROR(INDEX(tblMoveTypes[Qty?],MATCH($C124,tblMoveTypes[Movement],0)),"?")="No",N($F124)+N($G124)&gt;0),"Leave In and Out blank",IF(AND(IFERROR(INDEX(tblMoveTypes[Courier?],MATCH($C124,tblMoveTypes[Movement],0)),"?")="Yes",$I124=""),"Courier needed",IF(AND(IFERROR(INDEX(tblMoveTypes[Courier?],MATCH($C124,tblMoveTypes[Movement],0)),"?")="No",$I124&lt;&gt;""),"Leave Courier blank",IF(AND(IFERROR(INDEX(tblMoveTypes[Orders?],MATCH($C124,tblMoveTypes[Movement],0)),"?")="Yes",$H124=""),"Orders needed",IF(AND(IFERROR(INDEX(tblMoveTypes[Orders?],MATCH($C124,tblMoveTypes[Movement],0)),"?")="No",$H124&lt;&gt;""),"Leave Orders blank",IF(AND(IFERROR(INDEX(tblMoveTypes[Reason?],MATCH($C124,tblMoveTypes[Movement],0)),"?")="Yes",$J124=""),"Reason needed",IF($A124&lt;_xlfn.MINIFS(tblShipment[Arrival Date],tblShipment[Shipment No],$B124),"Date before arrival",IF(AND($E124&lt;&gt;"",COUNTIFS(tblShipment[Shipment No],$B124,tblShipment[Item Name],$E124)=0),"Item not in this shipment","OK")))))))))))))))))</f>
        <v>OK</v>
      </c>
    </row>
    <row r="125" customFormat="false" ht="15" hidden="false" customHeight="false" outlineLevel="0" collapsed="false">
      <c r="A125" s="32" t="n">
        <v>46234</v>
      </c>
      <c r="B125" s="31" t="s">
        <v>161</v>
      </c>
      <c r="C125" s="31" t="s">
        <v>79</v>
      </c>
      <c r="D125" s="34" t="str">
        <f aca="false">IF($C125="","",IFERROR(IF(IFERROR(INDEX(tblMoveTypes[In / Out],MATCH($C125,tblMoveTypes[Movement],0)),"?")="IN","IN   ",IF(IFERROR(INDEX(tblMoveTypes[In / Out],MATCH($C125,tblMoveTypes[Movement],0)),"?")="OUT","OUT   ","--   "))&amp;"fill: "&amp;IF(IFERROR(INDEX(tblMoveTypes[Item?],MATCH($C125,tblMoveTypes[Movement],0)),"?")="Yes","Item  ","")&amp;IF(AND(IFERROR(INDEX(tblMoveTypes[Qty?],MATCH($C125,tblMoveTypes[Movement],0)),"?")="Yes",IFERROR(INDEX(tblMoveTypes[In / Out],MATCH($C125,tblMoveTypes[Movement],0)),"?")="IN"),"In  ","")&amp;IF(AND(IFERROR(INDEX(tblMoveTypes[Qty?],MATCH($C125,tblMoveTypes[Movement],0)),"?")="Yes",IFERROR(INDEX(tblMoveTypes[In / Out],MATCH($C125,tblMoveTypes[Movement],0)),"?")="OUT"),"Out  ","")&amp;IF(IFERROR(INDEX(tblMoveTypes[Orders?],MATCH($C125,tblMoveTypes[Movement],0)),"?")="Yes","Orders  ","")&amp;IF(IFERROR(INDEX(tblMoveTypes[Courier?],MATCH($C125,tblMoveTypes[Movement],0)),"?")="Yes","Courier  ","")&amp;IF(IFERROR(INDEX(tblMoveTypes[Reason?],MATCH($C125,tblMoveTypes[Movement],0)),"?")="Yes","Reason",""),"unknown movement"))</f>
        <v>IN   fill: Item  In  </v>
      </c>
      <c r="E125" s="31" t="s">
        <v>100</v>
      </c>
      <c r="F125" s="33" t="n">
        <v>24</v>
      </c>
      <c r="G125" s="33"/>
      <c r="H125" s="33"/>
      <c r="I125" s="31"/>
      <c r="J125" s="31"/>
      <c r="K125" s="31"/>
      <c r="L125" s="31"/>
      <c r="M125" s="34" t="str">
        <f aca="false">IF($E125="","",IFERROR(INDEX(tblItems[Item Code],MATCH($E125,tblItems[Item Name],0)),"?"))</f>
        <v>EG-FG-MNG-18-02-01-01</v>
      </c>
      <c r="N125" s="34" t="str">
        <f aca="false">IF($B125="","",IFERROR(INDEX(tblShipment[Market],MATCH($B125,tblShipment[Shipment No],0)),"?"))</f>
        <v>Qatar</v>
      </c>
      <c r="O125" s="35" t="n">
        <f aca="false">N($F125)+N($G125)</f>
        <v>24</v>
      </c>
      <c r="P125" s="34" t="str">
        <f aca="false">IF($A125="","",IF($L125="Yes","VOID",IF(COUNTIFS(tblMoveTypes[Movement],$C125)=0,"Unknown movement",IF(COUNTIF(tblShipment[Shipment No],$B125)=0,"Unknown shipment",IF(AND(IFERROR(INDEX(tblMoveTypes[Item?],MATCH($C125,tblMoveTypes[Movement],0)),"?")="Yes",$E125=""),"Item needed",IF(AND(IFERROR(INDEX(tblMoveTypes[Item?],MATCH($C125,tblMoveTypes[Movement],0)),"?")="No",$E125&lt;&gt;""),"Leave Item blank",IF(AND(IFERROR(INDEX(tblMoveTypes[In / Out],MATCH($C125,tblMoveTypes[Movement],0)),"?")="IN",$G125&lt;&gt;""),"Use the In column, not Out",IF(AND(IFERROR(INDEX(tblMoveTypes[In / Out],MATCH($C125,tblMoveTypes[Movement],0)),"?")="OUT",$F125&lt;&gt;""),"Use the Out column, not In",IF(AND(IFERROR(INDEX(tblMoveTypes[Qty?],MATCH($C125,tblMoveTypes[Movement],0)),"?")="Yes",N($F125)+N($G125)&lt;=0),"Qty needed",IF(AND(IFERROR(INDEX(tblMoveTypes[Qty?],MATCH($C125,tblMoveTypes[Movement],0)),"?")="No",N($F125)+N($G125)&gt;0),"Leave In and Out blank",IF(AND(IFERROR(INDEX(tblMoveTypes[Courier?],MATCH($C125,tblMoveTypes[Movement],0)),"?")="Yes",$I125=""),"Courier needed",IF(AND(IFERROR(INDEX(tblMoveTypes[Courier?],MATCH($C125,tblMoveTypes[Movement],0)),"?")="No",$I125&lt;&gt;""),"Leave Courier blank",IF(AND(IFERROR(INDEX(tblMoveTypes[Orders?],MATCH($C125,tblMoveTypes[Movement],0)),"?")="Yes",$H125=""),"Orders needed",IF(AND(IFERROR(INDEX(tblMoveTypes[Orders?],MATCH($C125,tblMoveTypes[Movement],0)),"?")="No",$H125&lt;&gt;""),"Leave Orders blank",IF(AND(IFERROR(INDEX(tblMoveTypes[Reason?],MATCH($C125,tblMoveTypes[Movement],0)),"?")="Yes",$J125=""),"Reason needed",IF($A125&lt;_xlfn.MINIFS(tblShipment[Arrival Date],tblShipment[Shipment No],$B125),"Date before arrival",IF(AND($E125&lt;&gt;"",COUNTIFS(tblShipment[Shipment No],$B125,tblShipment[Item Name],$E125)=0),"Item not in this shipment","OK")))))))))))))))))</f>
        <v>OK</v>
      </c>
    </row>
    <row r="126" customFormat="false" ht="15" hidden="false" customHeight="false" outlineLevel="0" collapsed="false">
      <c r="A126" s="32" t="n">
        <v>46234</v>
      </c>
      <c r="B126" s="31" t="s">
        <v>161</v>
      </c>
      <c r="C126" s="31" t="s">
        <v>79</v>
      </c>
      <c r="D126" s="34" t="str">
        <f aca="false">IF($C126="","",IFERROR(IF(IFERROR(INDEX(tblMoveTypes[In / Out],MATCH($C126,tblMoveTypes[Movement],0)),"?")="IN","IN   ",IF(IFERROR(INDEX(tblMoveTypes[In / Out],MATCH($C126,tblMoveTypes[Movement],0)),"?")="OUT","OUT   ","--   "))&amp;"fill: "&amp;IF(IFERROR(INDEX(tblMoveTypes[Item?],MATCH($C126,tblMoveTypes[Movement],0)),"?")="Yes","Item  ","")&amp;IF(AND(IFERROR(INDEX(tblMoveTypes[Qty?],MATCH($C126,tblMoveTypes[Movement],0)),"?")="Yes",IFERROR(INDEX(tblMoveTypes[In / Out],MATCH($C126,tblMoveTypes[Movement],0)),"?")="IN"),"In  ","")&amp;IF(AND(IFERROR(INDEX(tblMoveTypes[Qty?],MATCH($C126,tblMoveTypes[Movement],0)),"?")="Yes",IFERROR(INDEX(tblMoveTypes[In / Out],MATCH($C126,tblMoveTypes[Movement],0)),"?")="OUT"),"Out  ","")&amp;IF(IFERROR(INDEX(tblMoveTypes[Orders?],MATCH($C126,tblMoveTypes[Movement],0)),"?")="Yes","Orders  ","")&amp;IF(IFERROR(INDEX(tblMoveTypes[Courier?],MATCH($C126,tblMoveTypes[Movement],0)),"?")="Yes","Courier  ","")&amp;IF(IFERROR(INDEX(tblMoveTypes[Reason?],MATCH($C126,tblMoveTypes[Movement],0)),"?")="Yes","Reason",""),"unknown movement"))</f>
        <v>IN   fill: Item  In  </v>
      </c>
      <c r="E126" s="31" t="s">
        <v>106</v>
      </c>
      <c r="F126" s="33" t="n">
        <v>30</v>
      </c>
      <c r="G126" s="33"/>
      <c r="H126" s="33"/>
      <c r="I126" s="31"/>
      <c r="J126" s="31"/>
      <c r="K126" s="31"/>
      <c r="L126" s="31"/>
      <c r="M126" s="34" t="str">
        <f aca="false">IF($E126="","",IFERROR(INDEX(tblItems[Item Code],MATCH($E126,tblItems[Item Name],0)),"?"))</f>
        <v>EG-FG-DAT-01-02-01-01</v>
      </c>
      <c r="N126" s="34" t="str">
        <f aca="false">IF($B126="","",IFERROR(INDEX(tblShipment[Market],MATCH($B126,tblShipment[Shipment No],0)),"?"))</f>
        <v>Qatar</v>
      </c>
      <c r="O126" s="35" t="n">
        <f aca="false">N($F126)+N($G126)</f>
        <v>30</v>
      </c>
      <c r="P126" s="34" t="str">
        <f aca="false">IF($A126="","",IF($L126="Yes","VOID",IF(COUNTIFS(tblMoveTypes[Movement],$C126)=0,"Unknown movement",IF(COUNTIF(tblShipment[Shipment No],$B126)=0,"Unknown shipment",IF(AND(IFERROR(INDEX(tblMoveTypes[Item?],MATCH($C126,tblMoveTypes[Movement],0)),"?")="Yes",$E126=""),"Item needed",IF(AND(IFERROR(INDEX(tblMoveTypes[Item?],MATCH($C126,tblMoveTypes[Movement],0)),"?")="No",$E126&lt;&gt;""),"Leave Item blank",IF(AND(IFERROR(INDEX(tblMoveTypes[In / Out],MATCH($C126,tblMoveTypes[Movement],0)),"?")="IN",$G126&lt;&gt;""),"Use the In column, not Out",IF(AND(IFERROR(INDEX(tblMoveTypes[In / Out],MATCH($C126,tblMoveTypes[Movement],0)),"?")="OUT",$F126&lt;&gt;""),"Use the Out column, not In",IF(AND(IFERROR(INDEX(tblMoveTypes[Qty?],MATCH($C126,tblMoveTypes[Movement],0)),"?")="Yes",N($F126)+N($G126)&lt;=0),"Qty needed",IF(AND(IFERROR(INDEX(tblMoveTypes[Qty?],MATCH($C126,tblMoveTypes[Movement],0)),"?")="No",N($F126)+N($G126)&gt;0),"Leave In and Out blank",IF(AND(IFERROR(INDEX(tblMoveTypes[Courier?],MATCH($C126,tblMoveTypes[Movement],0)),"?")="Yes",$I126=""),"Courier needed",IF(AND(IFERROR(INDEX(tblMoveTypes[Courier?],MATCH($C126,tblMoveTypes[Movement],0)),"?")="No",$I126&lt;&gt;""),"Leave Courier blank",IF(AND(IFERROR(INDEX(tblMoveTypes[Orders?],MATCH($C126,tblMoveTypes[Movement],0)),"?")="Yes",$H126=""),"Orders needed",IF(AND(IFERROR(INDEX(tblMoveTypes[Orders?],MATCH($C126,tblMoveTypes[Movement],0)),"?")="No",$H126&lt;&gt;""),"Leave Orders blank",IF(AND(IFERROR(INDEX(tblMoveTypes[Reason?],MATCH($C126,tblMoveTypes[Movement],0)),"?")="Yes",$J126=""),"Reason needed",IF($A126&lt;_xlfn.MINIFS(tblShipment[Arrival Date],tblShipment[Shipment No],$B126),"Date before arrival",IF(AND($E126&lt;&gt;"",COUNTIFS(tblShipment[Shipment No],$B126,tblShipment[Item Name],$E126)=0),"Item not in this shipment","OK")))))))))))))))))</f>
        <v>OK</v>
      </c>
    </row>
    <row r="127" customFormat="false" ht="15" hidden="false" customHeight="false" outlineLevel="0" collapsed="false">
      <c r="A127" s="32" t="n">
        <v>46234</v>
      </c>
      <c r="B127" s="31" t="s">
        <v>161</v>
      </c>
      <c r="C127" s="31" t="s">
        <v>103</v>
      </c>
      <c r="D127" s="34" t="str">
        <f aca="false">IF($C127="","",IFERROR(IF(IFERROR(INDEX(tblMoveTypes[In / Out],MATCH($C127,tblMoveTypes[Movement],0)),"?")="IN","IN   ",IF(IFERROR(INDEX(tblMoveTypes[In / Out],MATCH($C127,tblMoveTypes[Movement],0)),"?")="OUT","OUT   ","--   "))&amp;"fill: "&amp;IF(IFERROR(INDEX(tblMoveTypes[Item?],MATCH($C127,tblMoveTypes[Movement],0)),"?")="Yes","Item  ","")&amp;IF(AND(IFERROR(INDEX(tblMoveTypes[Qty?],MATCH($C127,tblMoveTypes[Movement],0)),"?")="Yes",IFERROR(INDEX(tblMoveTypes[In / Out],MATCH($C127,tblMoveTypes[Movement],0)),"?")="IN"),"In  ","")&amp;IF(AND(IFERROR(INDEX(tblMoveTypes[Qty?],MATCH($C127,tblMoveTypes[Movement],0)),"?")="Yes",IFERROR(INDEX(tblMoveTypes[In / Out],MATCH($C127,tblMoveTypes[Movement],0)),"?")="OUT"),"Out  ","")&amp;IF(IFERROR(INDEX(tblMoveTypes[Orders?],MATCH($C127,tblMoveTypes[Movement],0)),"?")="Yes","Orders  ","")&amp;IF(IFERROR(INDEX(tblMoveTypes[Courier?],MATCH($C127,tblMoveTypes[Movement],0)),"?")="Yes","Courier  ","")&amp;IF(IFERROR(INDEX(tblMoveTypes[Reason?],MATCH($C127,tblMoveTypes[Movement],0)),"?")="Yes","Reason",""),"unknown movement"))</f>
        <v>--   fill: Orders  </v>
      </c>
      <c r="E127" s="31"/>
      <c r="F127" s="33"/>
      <c r="G127" s="33"/>
      <c r="H127" s="33" t="n">
        <v>175</v>
      </c>
      <c r="I127" s="31"/>
      <c r="J127" s="31"/>
      <c r="K127" s="31"/>
      <c r="L127" s="31"/>
      <c r="M127" s="34" t="str">
        <f aca="false">IF($E127="","",IFERROR(INDEX(tblItems[Item Code],MATCH($E127,tblItems[Item Name],0)),"?"))</f>
        <v/>
      </c>
      <c r="N127" s="34" t="str">
        <f aca="false">IF($B127="","",IFERROR(INDEX(tblShipment[Market],MATCH($B127,tblShipment[Shipment No],0)),"?"))</f>
        <v>Qatar</v>
      </c>
      <c r="O127" s="35" t="n">
        <f aca="false">N($F127)+N($G127)</f>
        <v>0</v>
      </c>
      <c r="P127" s="34" t="str">
        <f aca="false">IF($A127="","",IF($L127="Yes","VOID",IF(COUNTIFS(tblMoveTypes[Movement],$C127)=0,"Unknown movement",IF(COUNTIF(tblShipment[Shipment No],$B127)=0,"Unknown shipment",IF(AND(IFERROR(INDEX(tblMoveTypes[Item?],MATCH($C127,tblMoveTypes[Movement],0)),"?")="Yes",$E127=""),"Item needed",IF(AND(IFERROR(INDEX(tblMoveTypes[Item?],MATCH($C127,tblMoveTypes[Movement],0)),"?")="No",$E127&lt;&gt;""),"Leave Item blank",IF(AND(IFERROR(INDEX(tblMoveTypes[In / Out],MATCH($C127,tblMoveTypes[Movement],0)),"?")="IN",$G127&lt;&gt;""),"Use the In column, not Out",IF(AND(IFERROR(INDEX(tblMoveTypes[In / Out],MATCH($C127,tblMoveTypes[Movement],0)),"?")="OUT",$F127&lt;&gt;""),"Use the Out column, not In",IF(AND(IFERROR(INDEX(tblMoveTypes[Qty?],MATCH($C127,tblMoveTypes[Movement],0)),"?")="Yes",N($F127)+N($G127)&lt;=0),"Qty needed",IF(AND(IFERROR(INDEX(tblMoveTypes[Qty?],MATCH($C127,tblMoveTypes[Movement],0)),"?")="No",N($F127)+N($G127)&gt;0),"Leave In and Out blank",IF(AND(IFERROR(INDEX(tblMoveTypes[Courier?],MATCH($C127,tblMoveTypes[Movement],0)),"?")="Yes",$I127=""),"Courier needed",IF(AND(IFERROR(INDEX(tblMoveTypes[Courier?],MATCH($C127,tblMoveTypes[Movement],0)),"?")="No",$I127&lt;&gt;""),"Leave Courier blank",IF(AND(IFERROR(INDEX(tblMoveTypes[Orders?],MATCH($C127,tblMoveTypes[Movement],0)),"?")="Yes",$H127=""),"Orders needed",IF(AND(IFERROR(INDEX(tblMoveTypes[Orders?],MATCH($C127,tblMoveTypes[Movement],0)),"?")="No",$H127&lt;&gt;""),"Leave Orders blank",IF(AND(IFERROR(INDEX(tblMoveTypes[Reason?],MATCH($C127,tblMoveTypes[Movement],0)),"?")="Yes",$J127=""),"Reason needed",IF($A127&lt;_xlfn.MINIFS(tblShipment[Arrival Date],tblShipment[Shipment No],$B127),"Date before arrival",IF(AND($E127&lt;&gt;"",COUNTIFS(tblShipment[Shipment No],$B127,tblShipment[Item Name],$E127)=0),"Item not in this shipment","OK")))))))))))))))))</f>
        <v>OK</v>
      </c>
    </row>
    <row r="128" customFormat="false" ht="15" hidden="false" customHeight="false" outlineLevel="0" collapsed="false">
      <c r="A128" s="32" t="n">
        <v>46234</v>
      </c>
      <c r="B128" s="31" t="s">
        <v>161</v>
      </c>
      <c r="C128" s="31" t="s">
        <v>98</v>
      </c>
      <c r="D128" s="34" t="str">
        <f aca="false">IF($C128="","",IFERROR(IF(IFERROR(INDEX(tblMoveTypes[In / Out],MATCH($C128,tblMoveTypes[Movement],0)),"?")="IN","IN   ",IF(IFERROR(INDEX(tblMoveTypes[In / Out],MATCH($C128,tblMoveTypes[Movement],0)),"?")="OUT","OUT   ","--   "))&amp;"fill: "&amp;IF(IFERROR(INDEX(tblMoveTypes[Item?],MATCH($C128,tblMoveTypes[Movement],0)),"?")="Yes","Item  ","")&amp;IF(AND(IFERROR(INDEX(tblMoveTypes[Qty?],MATCH($C128,tblMoveTypes[Movement],0)),"?")="Yes",IFERROR(INDEX(tblMoveTypes[In / Out],MATCH($C128,tblMoveTypes[Movement],0)),"?")="IN"),"In  ","")&amp;IF(AND(IFERROR(INDEX(tblMoveTypes[Qty?],MATCH($C128,tblMoveTypes[Movement],0)),"?")="Yes",IFERROR(INDEX(tblMoveTypes[In / Out],MATCH($C128,tblMoveTypes[Movement],0)),"?")="OUT"),"Out  ","")&amp;IF(IFERROR(INDEX(tblMoveTypes[Orders?],MATCH($C128,tblMoveTypes[Movement],0)),"?")="Yes","Orders  ","")&amp;IF(IFERROR(INDEX(tblMoveTypes[Courier?],MATCH($C128,tblMoveTypes[Movement],0)),"?")="Yes","Courier  ","")&amp;IF(IFERROR(INDEX(tblMoveTypes[Reason?],MATCH($C128,tblMoveTypes[Movement],0)),"?")="Yes","Reason",""),"unknown movement"))</f>
        <v>OUT   fill: Item  Out  Courier  </v>
      </c>
      <c r="E128" s="31" t="s">
        <v>84</v>
      </c>
      <c r="F128" s="33"/>
      <c r="G128" s="33" t="n">
        <v>98</v>
      </c>
      <c r="H128" s="33"/>
      <c r="I128" s="31" t="s">
        <v>76</v>
      </c>
      <c r="J128" s="31"/>
      <c r="K128" s="31"/>
      <c r="L128" s="31"/>
      <c r="M128" s="34" t="str">
        <f aca="false">IF($E128="","",IFERROR(INDEX(tblItems[Item Code],MATCH($E128,tblItems[Item Name],0)),"?"))</f>
        <v>EG-FG-MNG-12-02-01-01</v>
      </c>
      <c r="N128" s="34" t="str">
        <f aca="false">IF($B128="","",IFERROR(INDEX(tblShipment[Market],MATCH($B128,tblShipment[Shipment No],0)),"?"))</f>
        <v>Qatar</v>
      </c>
      <c r="O128" s="35" t="n">
        <f aca="false">N($F128)+N($G128)</f>
        <v>98</v>
      </c>
      <c r="P128" s="34" t="str">
        <f aca="false">IF($A128="","",IF($L128="Yes","VOID",IF(COUNTIFS(tblMoveTypes[Movement],$C128)=0,"Unknown movement",IF(COUNTIF(tblShipment[Shipment No],$B128)=0,"Unknown shipment",IF(AND(IFERROR(INDEX(tblMoveTypes[Item?],MATCH($C128,tblMoveTypes[Movement],0)),"?")="Yes",$E128=""),"Item needed",IF(AND(IFERROR(INDEX(tblMoveTypes[Item?],MATCH($C128,tblMoveTypes[Movement],0)),"?")="No",$E128&lt;&gt;""),"Leave Item blank",IF(AND(IFERROR(INDEX(tblMoveTypes[In / Out],MATCH($C128,tblMoveTypes[Movement],0)),"?")="IN",$G128&lt;&gt;""),"Use the In column, not Out",IF(AND(IFERROR(INDEX(tblMoveTypes[In / Out],MATCH($C128,tblMoveTypes[Movement],0)),"?")="OUT",$F128&lt;&gt;""),"Use the Out column, not In",IF(AND(IFERROR(INDEX(tblMoveTypes[Qty?],MATCH($C128,tblMoveTypes[Movement],0)),"?")="Yes",N($F128)+N($G128)&lt;=0),"Qty needed",IF(AND(IFERROR(INDEX(tblMoveTypes[Qty?],MATCH($C128,tblMoveTypes[Movement],0)),"?")="No",N($F128)+N($G128)&gt;0),"Leave In and Out blank",IF(AND(IFERROR(INDEX(tblMoveTypes[Courier?],MATCH($C128,tblMoveTypes[Movement],0)),"?")="Yes",$I128=""),"Courier needed",IF(AND(IFERROR(INDEX(tblMoveTypes[Courier?],MATCH($C128,tblMoveTypes[Movement],0)),"?")="No",$I128&lt;&gt;""),"Leave Courier blank",IF(AND(IFERROR(INDEX(tblMoveTypes[Orders?],MATCH($C128,tblMoveTypes[Movement],0)),"?")="Yes",$H128=""),"Orders needed",IF(AND(IFERROR(INDEX(tblMoveTypes[Orders?],MATCH($C128,tblMoveTypes[Movement],0)),"?")="No",$H128&lt;&gt;""),"Leave Orders blank",IF(AND(IFERROR(INDEX(tblMoveTypes[Reason?],MATCH($C128,tblMoveTypes[Movement],0)),"?")="Yes",$J128=""),"Reason needed",IF($A128&lt;_xlfn.MINIFS(tblShipment[Arrival Date],tblShipment[Shipment No],$B128),"Date before arrival",IF(AND($E128&lt;&gt;"",COUNTIFS(tblShipment[Shipment No],$B128,tblShipment[Item Name],$E128)=0),"Item not in this shipment","OK")))))))))))))))))</f>
        <v>OK</v>
      </c>
    </row>
    <row r="129" customFormat="false" ht="15" hidden="false" customHeight="false" outlineLevel="0" collapsed="false">
      <c r="A129" s="32" t="n">
        <v>46234</v>
      </c>
      <c r="B129" s="31" t="s">
        <v>161</v>
      </c>
      <c r="C129" s="31" t="s">
        <v>98</v>
      </c>
      <c r="D129" s="34" t="str">
        <f aca="false">IF($C129="","",IFERROR(IF(IFERROR(INDEX(tblMoveTypes[In / Out],MATCH($C129,tblMoveTypes[Movement],0)),"?")="IN","IN   ",IF(IFERROR(INDEX(tblMoveTypes[In / Out],MATCH($C129,tblMoveTypes[Movement],0)),"?")="OUT","OUT   ","--   "))&amp;"fill: "&amp;IF(IFERROR(INDEX(tblMoveTypes[Item?],MATCH($C129,tblMoveTypes[Movement],0)),"?")="Yes","Item  ","")&amp;IF(AND(IFERROR(INDEX(tblMoveTypes[Qty?],MATCH($C129,tblMoveTypes[Movement],0)),"?")="Yes",IFERROR(INDEX(tblMoveTypes[In / Out],MATCH($C129,tblMoveTypes[Movement],0)),"?")="IN"),"In  ","")&amp;IF(AND(IFERROR(INDEX(tblMoveTypes[Qty?],MATCH($C129,tblMoveTypes[Movement],0)),"?")="Yes",IFERROR(INDEX(tblMoveTypes[In / Out],MATCH($C129,tblMoveTypes[Movement],0)),"?")="OUT"),"Out  ","")&amp;IF(IFERROR(INDEX(tblMoveTypes[Orders?],MATCH($C129,tblMoveTypes[Movement],0)),"?")="Yes","Orders  ","")&amp;IF(IFERROR(INDEX(tblMoveTypes[Courier?],MATCH($C129,tblMoveTypes[Movement],0)),"?")="Yes","Courier  ","")&amp;IF(IFERROR(INDEX(tblMoveTypes[Reason?],MATCH($C129,tblMoveTypes[Movement],0)),"?")="Yes","Reason",""),"unknown movement"))</f>
        <v>OUT   fill: Item  Out  Courier  </v>
      </c>
      <c r="E129" s="31" t="s">
        <v>148</v>
      </c>
      <c r="F129" s="33"/>
      <c r="G129" s="33" t="n">
        <v>20</v>
      </c>
      <c r="H129" s="33"/>
      <c r="I129" s="31" t="s">
        <v>76</v>
      </c>
      <c r="J129" s="31"/>
      <c r="K129" s="31"/>
      <c r="L129" s="31"/>
      <c r="M129" s="34" t="str">
        <f aca="false">IF($E129="","",IFERROR(INDEX(tblItems[Item Code],MATCH($E129,tblItems[Item Name],0)),"?"))</f>
        <v>EG-FG-MNG-99-02-01-01</v>
      </c>
      <c r="N129" s="34" t="str">
        <f aca="false">IF($B129="","",IFERROR(INDEX(tblShipment[Market],MATCH($B129,tblShipment[Shipment No],0)),"?"))</f>
        <v>Qatar</v>
      </c>
      <c r="O129" s="35" t="n">
        <f aca="false">N($F129)+N($G129)</f>
        <v>20</v>
      </c>
      <c r="P129" s="34" t="str">
        <f aca="false">IF($A129="","",IF($L129="Yes","VOID",IF(COUNTIFS(tblMoveTypes[Movement],$C129)=0,"Unknown movement",IF(COUNTIF(tblShipment[Shipment No],$B129)=0,"Unknown shipment",IF(AND(IFERROR(INDEX(tblMoveTypes[Item?],MATCH($C129,tblMoveTypes[Movement],0)),"?")="Yes",$E129=""),"Item needed",IF(AND(IFERROR(INDEX(tblMoveTypes[Item?],MATCH($C129,tblMoveTypes[Movement],0)),"?")="No",$E129&lt;&gt;""),"Leave Item blank",IF(AND(IFERROR(INDEX(tblMoveTypes[In / Out],MATCH($C129,tblMoveTypes[Movement],0)),"?")="IN",$G129&lt;&gt;""),"Use the In column, not Out",IF(AND(IFERROR(INDEX(tblMoveTypes[In / Out],MATCH($C129,tblMoveTypes[Movement],0)),"?")="OUT",$F129&lt;&gt;""),"Use the Out column, not In",IF(AND(IFERROR(INDEX(tblMoveTypes[Qty?],MATCH($C129,tblMoveTypes[Movement],0)),"?")="Yes",N($F129)+N($G129)&lt;=0),"Qty needed",IF(AND(IFERROR(INDEX(tblMoveTypes[Qty?],MATCH($C129,tblMoveTypes[Movement],0)),"?")="No",N($F129)+N($G129)&gt;0),"Leave In and Out blank",IF(AND(IFERROR(INDEX(tblMoveTypes[Courier?],MATCH($C129,tblMoveTypes[Movement],0)),"?")="Yes",$I129=""),"Courier needed",IF(AND(IFERROR(INDEX(tblMoveTypes[Courier?],MATCH($C129,tblMoveTypes[Movement],0)),"?")="No",$I129&lt;&gt;""),"Leave Courier blank",IF(AND(IFERROR(INDEX(tblMoveTypes[Orders?],MATCH($C129,tblMoveTypes[Movement],0)),"?")="Yes",$H129=""),"Orders needed",IF(AND(IFERROR(INDEX(tblMoveTypes[Orders?],MATCH($C129,tblMoveTypes[Movement],0)),"?")="No",$H129&lt;&gt;""),"Leave Orders blank",IF(AND(IFERROR(INDEX(tblMoveTypes[Reason?],MATCH($C129,tblMoveTypes[Movement],0)),"?")="Yes",$J129=""),"Reason needed",IF($A129&lt;_xlfn.MINIFS(tblShipment[Arrival Date],tblShipment[Shipment No],$B129),"Date before arrival",IF(AND($E129&lt;&gt;"",COUNTIFS(tblShipment[Shipment No],$B129,tblShipment[Item Name],$E129)=0),"Item not in this shipment","OK")))))))))))))))))</f>
        <v>OK</v>
      </c>
    </row>
    <row r="130" customFormat="false" ht="15" hidden="false" customHeight="false" outlineLevel="0" collapsed="false">
      <c r="A130" s="32" t="n">
        <v>46234</v>
      </c>
      <c r="B130" s="31" t="s">
        <v>161</v>
      </c>
      <c r="C130" s="31" t="s">
        <v>98</v>
      </c>
      <c r="D130" s="34" t="str">
        <f aca="false">IF($C130="","",IFERROR(IF(IFERROR(INDEX(tblMoveTypes[In / Out],MATCH($C130,tblMoveTypes[Movement],0)),"?")="IN","IN   ",IF(IFERROR(INDEX(tblMoveTypes[In / Out],MATCH($C130,tblMoveTypes[Movement],0)),"?")="OUT","OUT   ","--   "))&amp;"fill: "&amp;IF(IFERROR(INDEX(tblMoveTypes[Item?],MATCH($C130,tblMoveTypes[Movement],0)),"?")="Yes","Item  ","")&amp;IF(AND(IFERROR(INDEX(tblMoveTypes[Qty?],MATCH($C130,tblMoveTypes[Movement],0)),"?")="Yes",IFERROR(INDEX(tblMoveTypes[In / Out],MATCH($C130,tblMoveTypes[Movement],0)),"?")="IN"),"In  ","")&amp;IF(AND(IFERROR(INDEX(tblMoveTypes[Qty?],MATCH($C130,tblMoveTypes[Movement],0)),"?")="Yes",IFERROR(INDEX(tblMoveTypes[In / Out],MATCH($C130,tblMoveTypes[Movement],0)),"?")="OUT"),"Out  ","")&amp;IF(IFERROR(INDEX(tblMoveTypes[Orders?],MATCH($C130,tblMoveTypes[Movement],0)),"?")="Yes","Orders  ","")&amp;IF(IFERROR(INDEX(tblMoveTypes[Courier?],MATCH($C130,tblMoveTypes[Movement],0)),"?")="Yes","Courier  ","")&amp;IF(IFERROR(INDEX(tblMoveTypes[Reason?],MATCH($C130,tblMoveTypes[Movement],0)),"?")="Yes","Reason",""),"unknown movement"))</f>
        <v>OUT   fill: Item  Out  Courier  </v>
      </c>
      <c r="E130" s="31" t="s">
        <v>72</v>
      </c>
      <c r="F130" s="33"/>
      <c r="G130" s="33" t="n">
        <v>108</v>
      </c>
      <c r="H130" s="33"/>
      <c r="I130" s="31" t="s">
        <v>76</v>
      </c>
      <c r="J130" s="31"/>
      <c r="K130" s="31"/>
      <c r="L130" s="31"/>
      <c r="M130" s="34" t="str">
        <f aca="false">IF($E130="","",IFERROR(INDEX(tblItems[Item Code],MATCH($E130,tblItems[Item Name],0)),"?"))</f>
        <v>EG-FG-MNG-05-02-01-01</v>
      </c>
      <c r="N130" s="34" t="str">
        <f aca="false">IF($B130="","",IFERROR(INDEX(tblShipment[Market],MATCH($B130,tblShipment[Shipment No],0)),"?"))</f>
        <v>Qatar</v>
      </c>
      <c r="O130" s="35" t="n">
        <f aca="false">N($F130)+N($G130)</f>
        <v>108</v>
      </c>
      <c r="P130" s="34" t="str">
        <f aca="false">IF($A130="","",IF($L130="Yes","VOID",IF(COUNTIFS(tblMoveTypes[Movement],$C130)=0,"Unknown movement",IF(COUNTIF(tblShipment[Shipment No],$B130)=0,"Unknown shipment",IF(AND(IFERROR(INDEX(tblMoveTypes[Item?],MATCH($C130,tblMoveTypes[Movement],0)),"?")="Yes",$E130=""),"Item needed",IF(AND(IFERROR(INDEX(tblMoveTypes[Item?],MATCH($C130,tblMoveTypes[Movement],0)),"?")="No",$E130&lt;&gt;""),"Leave Item blank",IF(AND(IFERROR(INDEX(tblMoveTypes[In / Out],MATCH($C130,tblMoveTypes[Movement],0)),"?")="IN",$G130&lt;&gt;""),"Use the In column, not Out",IF(AND(IFERROR(INDEX(tblMoveTypes[In / Out],MATCH($C130,tblMoveTypes[Movement],0)),"?")="OUT",$F130&lt;&gt;""),"Use the Out column, not In",IF(AND(IFERROR(INDEX(tblMoveTypes[Qty?],MATCH($C130,tblMoveTypes[Movement],0)),"?")="Yes",N($F130)+N($G130)&lt;=0),"Qty needed",IF(AND(IFERROR(INDEX(tblMoveTypes[Qty?],MATCH($C130,tblMoveTypes[Movement],0)),"?")="No",N($F130)+N($G130)&gt;0),"Leave In and Out blank",IF(AND(IFERROR(INDEX(tblMoveTypes[Courier?],MATCH($C130,tblMoveTypes[Movement],0)),"?")="Yes",$I130=""),"Courier needed",IF(AND(IFERROR(INDEX(tblMoveTypes[Courier?],MATCH($C130,tblMoveTypes[Movement],0)),"?")="No",$I130&lt;&gt;""),"Leave Courier blank",IF(AND(IFERROR(INDEX(tblMoveTypes[Orders?],MATCH($C130,tblMoveTypes[Movement],0)),"?")="Yes",$H130=""),"Orders needed",IF(AND(IFERROR(INDEX(tblMoveTypes[Orders?],MATCH($C130,tblMoveTypes[Movement],0)),"?")="No",$H130&lt;&gt;""),"Leave Orders blank",IF(AND(IFERROR(INDEX(tblMoveTypes[Reason?],MATCH($C130,tblMoveTypes[Movement],0)),"?")="Yes",$J130=""),"Reason needed",IF($A130&lt;_xlfn.MINIFS(tblShipment[Arrival Date],tblShipment[Shipment No],$B130),"Date before arrival",IF(AND($E130&lt;&gt;"",COUNTIFS(tblShipment[Shipment No],$B130,tblShipment[Item Name],$E130)=0),"Item not in this shipment","OK")))))))))))))))))</f>
        <v>OK</v>
      </c>
    </row>
    <row r="131" customFormat="false" ht="15" hidden="false" customHeight="false" outlineLevel="0" collapsed="false">
      <c r="A131" s="32" t="n">
        <v>46234</v>
      </c>
      <c r="B131" s="31" t="s">
        <v>161</v>
      </c>
      <c r="C131" s="31" t="s">
        <v>98</v>
      </c>
      <c r="D131" s="34" t="str">
        <f aca="false">IF($C131="","",IFERROR(IF(IFERROR(INDEX(tblMoveTypes[In / Out],MATCH($C131,tblMoveTypes[Movement],0)),"?")="IN","IN   ",IF(IFERROR(INDEX(tblMoveTypes[In / Out],MATCH($C131,tblMoveTypes[Movement],0)),"?")="OUT","OUT   ","--   "))&amp;"fill: "&amp;IF(IFERROR(INDEX(tblMoveTypes[Item?],MATCH($C131,tblMoveTypes[Movement],0)),"?")="Yes","Item  ","")&amp;IF(AND(IFERROR(INDEX(tblMoveTypes[Qty?],MATCH($C131,tblMoveTypes[Movement],0)),"?")="Yes",IFERROR(INDEX(tblMoveTypes[In / Out],MATCH($C131,tblMoveTypes[Movement],0)),"?")="IN"),"In  ","")&amp;IF(AND(IFERROR(INDEX(tblMoveTypes[Qty?],MATCH($C131,tblMoveTypes[Movement],0)),"?")="Yes",IFERROR(INDEX(tblMoveTypes[In / Out],MATCH($C131,tblMoveTypes[Movement],0)),"?")="OUT"),"Out  ","")&amp;IF(IFERROR(INDEX(tblMoveTypes[Orders?],MATCH($C131,tblMoveTypes[Movement],0)),"?")="Yes","Orders  ","")&amp;IF(IFERROR(INDEX(tblMoveTypes[Courier?],MATCH($C131,tblMoveTypes[Movement],0)),"?")="Yes","Courier  ","")&amp;IF(IFERROR(INDEX(tblMoveTypes[Reason?],MATCH($C131,tblMoveTypes[Movement],0)),"?")="Yes","Reason",""),"unknown movement"))</f>
        <v>OUT   fill: Item  Out  Courier  </v>
      </c>
      <c r="E131" s="31" t="s">
        <v>122</v>
      </c>
      <c r="F131" s="33"/>
      <c r="G131" s="33" t="n">
        <v>20</v>
      </c>
      <c r="H131" s="33"/>
      <c r="I131" s="31" t="s">
        <v>76</v>
      </c>
      <c r="J131" s="31"/>
      <c r="K131" s="31"/>
      <c r="L131" s="31"/>
      <c r="M131" s="34" t="str">
        <f aca="false">IF($E131="","",IFERROR(INDEX(tblItems[Item Code],MATCH($E131,tblItems[Item Name],0)),"?"))</f>
        <v>EG-FG-GRP-01-02-01-01</v>
      </c>
      <c r="N131" s="34" t="str">
        <f aca="false">IF($B131="","",IFERROR(INDEX(tblShipment[Market],MATCH($B131,tblShipment[Shipment No],0)),"?"))</f>
        <v>Qatar</v>
      </c>
      <c r="O131" s="35" t="n">
        <f aca="false">N($F131)+N($G131)</f>
        <v>20</v>
      </c>
      <c r="P131" s="34" t="str">
        <f aca="false">IF($A131="","",IF($L131="Yes","VOID",IF(COUNTIFS(tblMoveTypes[Movement],$C131)=0,"Unknown movement",IF(COUNTIF(tblShipment[Shipment No],$B131)=0,"Unknown shipment",IF(AND(IFERROR(INDEX(tblMoveTypes[Item?],MATCH($C131,tblMoveTypes[Movement],0)),"?")="Yes",$E131=""),"Item needed",IF(AND(IFERROR(INDEX(tblMoveTypes[Item?],MATCH($C131,tblMoveTypes[Movement],0)),"?")="No",$E131&lt;&gt;""),"Leave Item blank",IF(AND(IFERROR(INDEX(tblMoveTypes[In / Out],MATCH($C131,tblMoveTypes[Movement],0)),"?")="IN",$G131&lt;&gt;""),"Use the In column, not Out",IF(AND(IFERROR(INDEX(tblMoveTypes[In / Out],MATCH($C131,tblMoveTypes[Movement],0)),"?")="OUT",$F131&lt;&gt;""),"Use the Out column, not In",IF(AND(IFERROR(INDEX(tblMoveTypes[Qty?],MATCH($C131,tblMoveTypes[Movement],0)),"?")="Yes",N($F131)+N($G131)&lt;=0),"Qty needed",IF(AND(IFERROR(INDEX(tblMoveTypes[Qty?],MATCH($C131,tblMoveTypes[Movement],0)),"?")="No",N($F131)+N($G131)&gt;0),"Leave In and Out blank",IF(AND(IFERROR(INDEX(tblMoveTypes[Courier?],MATCH($C131,tblMoveTypes[Movement],0)),"?")="Yes",$I131=""),"Courier needed",IF(AND(IFERROR(INDEX(tblMoveTypes[Courier?],MATCH($C131,tblMoveTypes[Movement],0)),"?")="No",$I131&lt;&gt;""),"Leave Courier blank",IF(AND(IFERROR(INDEX(tblMoveTypes[Orders?],MATCH($C131,tblMoveTypes[Movement],0)),"?")="Yes",$H131=""),"Orders needed",IF(AND(IFERROR(INDEX(tblMoveTypes[Orders?],MATCH($C131,tblMoveTypes[Movement],0)),"?")="No",$H131&lt;&gt;""),"Leave Orders blank",IF(AND(IFERROR(INDEX(tblMoveTypes[Reason?],MATCH($C131,tblMoveTypes[Movement],0)),"?")="Yes",$J131=""),"Reason needed",IF($A131&lt;_xlfn.MINIFS(tblShipment[Arrival Date],tblShipment[Shipment No],$B131),"Date before arrival",IF(AND($E131&lt;&gt;"",COUNTIFS(tblShipment[Shipment No],$B131,tblShipment[Item Name],$E131)=0),"Item not in this shipment","OK")))))))))))))))))</f>
        <v>OK</v>
      </c>
    </row>
    <row r="132" customFormat="false" ht="15" hidden="false" customHeight="false" outlineLevel="0" collapsed="false">
      <c r="A132" s="32" t="n">
        <v>46234</v>
      </c>
      <c r="B132" s="31" t="s">
        <v>161</v>
      </c>
      <c r="C132" s="31" t="s">
        <v>98</v>
      </c>
      <c r="D132" s="34" t="str">
        <f aca="false">IF($C132="","",IFERROR(IF(IFERROR(INDEX(tblMoveTypes[In / Out],MATCH($C132,tblMoveTypes[Movement],0)),"?")="IN","IN   ",IF(IFERROR(INDEX(tblMoveTypes[In / Out],MATCH($C132,tblMoveTypes[Movement],0)),"?")="OUT","OUT   ","--   "))&amp;"fill: "&amp;IF(IFERROR(INDEX(tblMoveTypes[Item?],MATCH($C132,tblMoveTypes[Movement],0)),"?")="Yes","Item  ","")&amp;IF(AND(IFERROR(INDEX(tblMoveTypes[Qty?],MATCH($C132,tblMoveTypes[Movement],0)),"?")="Yes",IFERROR(INDEX(tblMoveTypes[In / Out],MATCH($C132,tblMoveTypes[Movement],0)),"?")="IN"),"In  ","")&amp;IF(AND(IFERROR(INDEX(tblMoveTypes[Qty?],MATCH($C132,tblMoveTypes[Movement],0)),"?")="Yes",IFERROR(INDEX(tblMoveTypes[In / Out],MATCH($C132,tblMoveTypes[Movement],0)),"?")="OUT"),"Out  ","")&amp;IF(IFERROR(INDEX(tblMoveTypes[Orders?],MATCH($C132,tblMoveTypes[Movement],0)),"?")="Yes","Orders  ","")&amp;IF(IFERROR(INDEX(tblMoveTypes[Courier?],MATCH($C132,tblMoveTypes[Movement],0)),"?")="Yes","Courier  ","")&amp;IF(IFERROR(INDEX(tblMoveTypes[Reason?],MATCH($C132,tblMoveTypes[Movement],0)),"?")="Yes","Reason",""),"unknown movement"))</f>
        <v>OUT   fill: Item  Out  Courier  </v>
      </c>
      <c r="E132" s="31" t="s">
        <v>112</v>
      </c>
      <c r="F132" s="33"/>
      <c r="G132" s="33" t="n">
        <v>29</v>
      </c>
      <c r="H132" s="33"/>
      <c r="I132" s="31" t="s">
        <v>76</v>
      </c>
      <c r="J132" s="31"/>
      <c r="K132" s="31"/>
      <c r="L132" s="31"/>
      <c r="M132" s="34" t="str">
        <f aca="false">IF($E132="","",IFERROR(INDEX(tblItems[Item Code],MATCH($E132,tblItems[Item Name],0)),"?"))</f>
        <v>BOX-TRIO-01</v>
      </c>
      <c r="N132" s="34" t="str">
        <f aca="false">IF($B132="","",IFERROR(INDEX(tblShipment[Market],MATCH($B132,tblShipment[Shipment No],0)),"?"))</f>
        <v>Qatar</v>
      </c>
      <c r="O132" s="35" t="n">
        <f aca="false">N($F132)+N($G132)</f>
        <v>29</v>
      </c>
      <c r="P132" s="34" t="str">
        <f aca="false">IF($A132="","",IF($L132="Yes","VOID",IF(COUNTIFS(tblMoveTypes[Movement],$C132)=0,"Unknown movement",IF(COUNTIF(tblShipment[Shipment No],$B132)=0,"Unknown shipment",IF(AND(IFERROR(INDEX(tblMoveTypes[Item?],MATCH($C132,tblMoveTypes[Movement],0)),"?")="Yes",$E132=""),"Item needed",IF(AND(IFERROR(INDEX(tblMoveTypes[Item?],MATCH($C132,tblMoveTypes[Movement],0)),"?")="No",$E132&lt;&gt;""),"Leave Item blank",IF(AND(IFERROR(INDEX(tblMoveTypes[In / Out],MATCH($C132,tblMoveTypes[Movement],0)),"?")="IN",$G132&lt;&gt;""),"Use the In column, not Out",IF(AND(IFERROR(INDEX(tblMoveTypes[In / Out],MATCH($C132,tblMoveTypes[Movement],0)),"?")="OUT",$F132&lt;&gt;""),"Use the Out column, not In",IF(AND(IFERROR(INDEX(tblMoveTypes[Qty?],MATCH($C132,tblMoveTypes[Movement],0)),"?")="Yes",N($F132)+N($G132)&lt;=0),"Qty needed",IF(AND(IFERROR(INDEX(tblMoveTypes[Qty?],MATCH($C132,tblMoveTypes[Movement],0)),"?")="No",N($F132)+N($G132)&gt;0),"Leave In and Out blank",IF(AND(IFERROR(INDEX(tblMoveTypes[Courier?],MATCH($C132,tblMoveTypes[Movement],0)),"?")="Yes",$I132=""),"Courier needed",IF(AND(IFERROR(INDEX(tblMoveTypes[Courier?],MATCH($C132,tblMoveTypes[Movement],0)),"?")="No",$I132&lt;&gt;""),"Leave Courier blank",IF(AND(IFERROR(INDEX(tblMoveTypes[Orders?],MATCH($C132,tblMoveTypes[Movement],0)),"?")="Yes",$H132=""),"Orders needed",IF(AND(IFERROR(INDEX(tblMoveTypes[Orders?],MATCH($C132,tblMoveTypes[Movement],0)),"?")="No",$H132&lt;&gt;""),"Leave Orders blank",IF(AND(IFERROR(INDEX(tblMoveTypes[Reason?],MATCH($C132,tblMoveTypes[Movement],0)),"?")="Yes",$J132=""),"Reason needed",IF($A132&lt;_xlfn.MINIFS(tblShipment[Arrival Date],tblShipment[Shipment No],$B132),"Date before arrival",IF(AND($E132&lt;&gt;"",COUNTIFS(tblShipment[Shipment No],$B132,tblShipment[Item Name],$E132)=0),"Item not in this shipment","OK")))))))))))))))))</f>
        <v>OK</v>
      </c>
    </row>
    <row r="133" customFormat="false" ht="15" hidden="false" customHeight="false" outlineLevel="0" collapsed="false">
      <c r="A133" s="32" t="n">
        <v>46234</v>
      </c>
      <c r="B133" s="31" t="s">
        <v>161</v>
      </c>
      <c r="C133" s="31" t="s">
        <v>98</v>
      </c>
      <c r="D133" s="34" t="str">
        <f aca="false">IF($C133="","",IFERROR(IF(IFERROR(INDEX(tblMoveTypes[In / Out],MATCH($C133,tblMoveTypes[Movement],0)),"?")="IN","IN   ",IF(IFERROR(INDEX(tblMoveTypes[In / Out],MATCH($C133,tblMoveTypes[Movement],0)),"?")="OUT","OUT   ","--   "))&amp;"fill: "&amp;IF(IFERROR(INDEX(tblMoveTypes[Item?],MATCH($C133,tblMoveTypes[Movement],0)),"?")="Yes","Item  ","")&amp;IF(AND(IFERROR(INDEX(tblMoveTypes[Qty?],MATCH($C133,tblMoveTypes[Movement],0)),"?")="Yes",IFERROR(INDEX(tblMoveTypes[In / Out],MATCH($C133,tblMoveTypes[Movement],0)),"?")="IN"),"In  ","")&amp;IF(AND(IFERROR(INDEX(tblMoveTypes[Qty?],MATCH($C133,tblMoveTypes[Movement],0)),"?")="Yes",IFERROR(INDEX(tblMoveTypes[In / Out],MATCH($C133,tblMoveTypes[Movement],0)),"?")="OUT"),"Out  ","")&amp;IF(IFERROR(INDEX(tblMoveTypes[Orders?],MATCH($C133,tblMoveTypes[Movement],0)),"?")="Yes","Orders  ","")&amp;IF(IFERROR(INDEX(tblMoveTypes[Courier?],MATCH($C133,tblMoveTypes[Movement],0)),"?")="Yes","Courier  ","")&amp;IF(IFERROR(INDEX(tblMoveTypes[Reason?],MATCH($C133,tblMoveTypes[Movement],0)),"?")="Yes","Reason",""),"unknown movement"))</f>
        <v>OUT   fill: Item  Out  Courier  </v>
      </c>
      <c r="E133" s="31" t="s">
        <v>91</v>
      </c>
      <c r="F133" s="33"/>
      <c r="G133" s="33" t="n">
        <v>84</v>
      </c>
      <c r="H133" s="33"/>
      <c r="I133" s="31" t="s">
        <v>76</v>
      </c>
      <c r="J133" s="31"/>
      <c r="K133" s="31"/>
      <c r="L133" s="31"/>
      <c r="M133" s="34" t="str">
        <f aca="false">IF($E133="","",IFERROR(INDEX(tblItems[Item Code],MATCH($E133,tblItems[Item Name],0)),"?"))</f>
        <v>EG-FG-FIG-01-02-01-01</v>
      </c>
      <c r="N133" s="34" t="str">
        <f aca="false">IF($B133="","",IFERROR(INDEX(tblShipment[Market],MATCH($B133,tblShipment[Shipment No],0)),"?"))</f>
        <v>Qatar</v>
      </c>
      <c r="O133" s="35" t="n">
        <f aca="false">N($F133)+N($G133)</f>
        <v>84</v>
      </c>
      <c r="P133" s="34" t="str">
        <f aca="false">IF($A133="","",IF($L133="Yes","VOID",IF(COUNTIFS(tblMoveTypes[Movement],$C133)=0,"Unknown movement",IF(COUNTIF(tblShipment[Shipment No],$B133)=0,"Unknown shipment",IF(AND(IFERROR(INDEX(tblMoveTypes[Item?],MATCH($C133,tblMoveTypes[Movement],0)),"?")="Yes",$E133=""),"Item needed",IF(AND(IFERROR(INDEX(tblMoveTypes[Item?],MATCH($C133,tblMoveTypes[Movement],0)),"?")="No",$E133&lt;&gt;""),"Leave Item blank",IF(AND(IFERROR(INDEX(tblMoveTypes[In / Out],MATCH($C133,tblMoveTypes[Movement],0)),"?")="IN",$G133&lt;&gt;""),"Use the In column, not Out",IF(AND(IFERROR(INDEX(tblMoveTypes[In / Out],MATCH($C133,tblMoveTypes[Movement],0)),"?")="OUT",$F133&lt;&gt;""),"Use the Out column, not In",IF(AND(IFERROR(INDEX(tblMoveTypes[Qty?],MATCH($C133,tblMoveTypes[Movement],0)),"?")="Yes",N($F133)+N($G133)&lt;=0),"Qty needed",IF(AND(IFERROR(INDEX(tblMoveTypes[Qty?],MATCH($C133,tblMoveTypes[Movement],0)),"?")="No",N($F133)+N($G133)&gt;0),"Leave In and Out blank",IF(AND(IFERROR(INDEX(tblMoveTypes[Courier?],MATCH($C133,tblMoveTypes[Movement],0)),"?")="Yes",$I133=""),"Courier needed",IF(AND(IFERROR(INDEX(tblMoveTypes[Courier?],MATCH($C133,tblMoveTypes[Movement],0)),"?")="No",$I133&lt;&gt;""),"Leave Courier blank",IF(AND(IFERROR(INDEX(tblMoveTypes[Orders?],MATCH($C133,tblMoveTypes[Movement],0)),"?")="Yes",$H133=""),"Orders needed",IF(AND(IFERROR(INDEX(tblMoveTypes[Orders?],MATCH($C133,tblMoveTypes[Movement],0)),"?")="No",$H133&lt;&gt;""),"Leave Orders blank",IF(AND(IFERROR(INDEX(tblMoveTypes[Reason?],MATCH($C133,tblMoveTypes[Movement],0)),"?")="Yes",$J133=""),"Reason needed",IF($A133&lt;_xlfn.MINIFS(tblShipment[Arrival Date],tblShipment[Shipment No],$B133),"Date before arrival",IF(AND($E133&lt;&gt;"",COUNTIFS(tblShipment[Shipment No],$B133,tblShipment[Item Name],$E133)=0),"Item not in this shipment","OK")))))))))))))))))</f>
        <v>OK</v>
      </c>
    </row>
    <row r="134" customFormat="false" ht="15" hidden="false" customHeight="false" outlineLevel="0" collapsed="false">
      <c r="A134" s="32" t="n">
        <v>46234</v>
      </c>
      <c r="B134" s="31" t="s">
        <v>161</v>
      </c>
      <c r="C134" s="31" t="s">
        <v>98</v>
      </c>
      <c r="D134" s="34" t="str">
        <f aca="false">IF($C134="","",IFERROR(IF(IFERROR(INDEX(tblMoveTypes[In / Out],MATCH($C134,tblMoveTypes[Movement],0)),"?")="IN","IN   ",IF(IFERROR(INDEX(tblMoveTypes[In / Out],MATCH($C134,tblMoveTypes[Movement],0)),"?")="OUT","OUT   ","--   "))&amp;"fill: "&amp;IF(IFERROR(INDEX(tblMoveTypes[Item?],MATCH($C134,tblMoveTypes[Movement],0)),"?")="Yes","Item  ","")&amp;IF(AND(IFERROR(INDEX(tblMoveTypes[Qty?],MATCH($C134,tblMoveTypes[Movement],0)),"?")="Yes",IFERROR(INDEX(tblMoveTypes[In / Out],MATCH($C134,tblMoveTypes[Movement],0)),"?")="IN"),"In  ","")&amp;IF(AND(IFERROR(INDEX(tblMoveTypes[Qty?],MATCH($C134,tblMoveTypes[Movement],0)),"?")="Yes",IFERROR(INDEX(tblMoveTypes[In / Out],MATCH($C134,tblMoveTypes[Movement],0)),"?")="OUT"),"Out  ","")&amp;IF(IFERROR(INDEX(tblMoveTypes[Orders?],MATCH($C134,tblMoveTypes[Movement],0)),"?")="Yes","Orders  ","")&amp;IF(IFERROR(INDEX(tblMoveTypes[Courier?],MATCH($C134,tblMoveTypes[Movement],0)),"?")="Yes","Courier  ","")&amp;IF(IFERROR(INDEX(tblMoveTypes[Reason?],MATCH($C134,tblMoveTypes[Movement],0)),"?")="Yes","Reason",""),"unknown movement"))</f>
        <v>OUT   fill: Item  Out  Courier  </v>
      </c>
      <c r="E134" s="31" t="s">
        <v>100</v>
      </c>
      <c r="F134" s="33"/>
      <c r="G134" s="33" t="n">
        <v>24</v>
      </c>
      <c r="H134" s="33"/>
      <c r="I134" s="31" t="s">
        <v>76</v>
      </c>
      <c r="J134" s="31"/>
      <c r="K134" s="31"/>
      <c r="L134" s="31"/>
      <c r="M134" s="34" t="str">
        <f aca="false">IF($E134="","",IFERROR(INDEX(tblItems[Item Code],MATCH($E134,tblItems[Item Name],0)),"?"))</f>
        <v>EG-FG-MNG-18-02-01-01</v>
      </c>
      <c r="N134" s="34" t="str">
        <f aca="false">IF($B134="","",IFERROR(INDEX(tblShipment[Market],MATCH($B134,tblShipment[Shipment No],0)),"?"))</f>
        <v>Qatar</v>
      </c>
      <c r="O134" s="35" t="n">
        <f aca="false">N($F134)+N($G134)</f>
        <v>24</v>
      </c>
      <c r="P134" s="34" t="str">
        <f aca="false">IF($A134="","",IF($L134="Yes","VOID",IF(COUNTIFS(tblMoveTypes[Movement],$C134)=0,"Unknown movement",IF(COUNTIF(tblShipment[Shipment No],$B134)=0,"Unknown shipment",IF(AND(IFERROR(INDEX(tblMoveTypes[Item?],MATCH($C134,tblMoveTypes[Movement],0)),"?")="Yes",$E134=""),"Item needed",IF(AND(IFERROR(INDEX(tblMoveTypes[Item?],MATCH($C134,tblMoveTypes[Movement],0)),"?")="No",$E134&lt;&gt;""),"Leave Item blank",IF(AND(IFERROR(INDEX(tblMoveTypes[In / Out],MATCH($C134,tblMoveTypes[Movement],0)),"?")="IN",$G134&lt;&gt;""),"Use the In column, not Out",IF(AND(IFERROR(INDEX(tblMoveTypes[In / Out],MATCH($C134,tblMoveTypes[Movement],0)),"?")="OUT",$F134&lt;&gt;""),"Use the Out column, not In",IF(AND(IFERROR(INDEX(tblMoveTypes[Qty?],MATCH($C134,tblMoveTypes[Movement],0)),"?")="Yes",N($F134)+N($G134)&lt;=0),"Qty needed",IF(AND(IFERROR(INDEX(tblMoveTypes[Qty?],MATCH($C134,tblMoveTypes[Movement],0)),"?")="No",N($F134)+N($G134)&gt;0),"Leave In and Out blank",IF(AND(IFERROR(INDEX(tblMoveTypes[Courier?],MATCH($C134,tblMoveTypes[Movement],0)),"?")="Yes",$I134=""),"Courier needed",IF(AND(IFERROR(INDEX(tblMoveTypes[Courier?],MATCH($C134,tblMoveTypes[Movement],0)),"?")="No",$I134&lt;&gt;""),"Leave Courier blank",IF(AND(IFERROR(INDEX(tblMoveTypes[Orders?],MATCH($C134,tblMoveTypes[Movement],0)),"?")="Yes",$H134=""),"Orders needed",IF(AND(IFERROR(INDEX(tblMoveTypes[Orders?],MATCH($C134,tblMoveTypes[Movement],0)),"?")="No",$H134&lt;&gt;""),"Leave Orders blank",IF(AND(IFERROR(INDEX(tblMoveTypes[Reason?],MATCH($C134,tblMoveTypes[Movement],0)),"?")="Yes",$J134=""),"Reason needed",IF($A134&lt;_xlfn.MINIFS(tblShipment[Arrival Date],tblShipment[Shipment No],$B134),"Date before arrival",IF(AND($E134&lt;&gt;"",COUNTIFS(tblShipment[Shipment No],$B134,tblShipment[Item Name],$E134)=0),"Item not in this shipment","OK")))))))))))))))))</f>
        <v>OK</v>
      </c>
    </row>
    <row r="135" customFormat="false" ht="15" hidden="false" customHeight="false" outlineLevel="0" collapsed="false">
      <c r="A135" s="32" t="n">
        <v>46234</v>
      </c>
      <c r="B135" s="31" t="s">
        <v>161</v>
      </c>
      <c r="C135" s="31" t="s">
        <v>98</v>
      </c>
      <c r="D135" s="34" t="str">
        <f aca="false">IF($C135="","",IFERROR(IF(IFERROR(INDEX(tblMoveTypes[In / Out],MATCH($C135,tblMoveTypes[Movement],0)),"?")="IN","IN   ",IF(IFERROR(INDEX(tblMoveTypes[In / Out],MATCH($C135,tblMoveTypes[Movement],0)),"?")="OUT","OUT   ","--   "))&amp;"fill: "&amp;IF(IFERROR(INDEX(tblMoveTypes[Item?],MATCH($C135,tblMoveTypes[Movement],0)),"?")="Yes","Item  ","")&amp;IF(AND(IFERROR(INDEX(tblMoveTypes[Qty?],MATCH($C135,tblMoveTypes[Movement],0)),"?")="Yes",IFERROR(INDEX(tblMoveTypes[In / Out],MATCH($C135,tblMoveTypes[Movement],0)),"?")="IN"),"In  ","")&amp;IF(AND(IFERROR(INDEX(tblMoveTypes[Qty?],MATCH($C135,tblMoveTypes[Movement],0)),"?")="Yes",IFERROR(INDEX(tblMoveTypes[In / Out],MATCH($C135,tblMoveTypes[Movement],0)),"?")="OUT"),"Out  ","")&amp;IF(IFERROR(INDEX(tblMoveTypes[Orders?],MATCH($C135,tblMoveTypes[Movement],0)),"?")="Yes","Orders  ","")&amp;IF(IFERROR(INDEX(tblMoveTypes[Courier?],MATCH($C135,tblMoveTypes[Movement],0)),"?")="Yes","Courier  ","")&amp;IF(IFERROR(INDEX(tblMoveTypes[Reason?],MATCH($C135,tblMoveTypes[Movement],0)),"?")="Yes","Reason",""),"unknown movement"))</f>
        <v>OUT   fill: Item  Out  Courier  </v>
      </c>
      <c r="E135" s="31" t="s">
        <v>106</v>
      </c>
      <c r="F135" s="33"/>
      <c r="G135" s="33" t="n">
        <v>30</v>
      </c>
      <c r="H135" s="33"/>
      <c r="I135" s="31" t="s">
        <v>76</v>
      </c>
      <c r="J135" s="31"/>
      <c r="K135" s="31"/>
      <c r="L135" s="31"/>
      <c r="M135" s="34" t="str">
        <f aca="false">IF($E135="","",IFERROR(INDEX(tblItems[Item Code],MATCH($E135,tblItems[Item Name],0)),"?"))</f>
        <v>EG-FG-DAT-01-02-01-01</v>
      </c>
      <c r="N135" s="34" t="str">
        <f aca="false">IF($B135="","",IFERROR(INDEX(tblShipment[Market],MATCH($B135,tblShipment[Shipment No],0)),"?"))</f>
        <v>Qatar</v>
      </c>
      <c r="O135" s="35" t="n">
        <f aca="false">N($F135)+N($G135)</f>
        <v>30</v>
      </c>
      <c r="P135" s="34" t="str">
        <f aca="false">IF($A135="","",IF($L135="Yes","VOID",IF(COUNTIFS(tblMoveTypes[Movement],$C135)=0,"Unknown movement",IF(COUNTIF(tblShipment[Shipment No],$B135)=0,"Unknown shipment",IF(AND(IFERROR(INDEX(tblMoveTypes[Item?],MATCH($C135,tblMoveTypes[Movement],0)),"?")="Yes",$E135=""),"Item needed",IF(AND(IFERROR(INDEX(tblMoveTypes[Item?],MATCH($C135,tblMoveTypes[Movement],0)),"?")="No",$E135&lt;&gt;""),"Leave Item blank",IF(AND(IFERROR(INDEX(tblMoveTypes[In / Out],MATCH($C135,tblMoveTypes[Movement],0)),"?")="IN",$G135&lt;&gt;""),"Use the In column, not Out",IF(AND(IFERROR(INDEX(tblMoveTypes[In / Out],MATCH($C135,tblMoveTypes[Movement],0)),"?")="OUT",$F135&lt;&gt;""),"Use the Out column, not In",IF(AND(IFERROR(INDEX(tblMoveTypes[Qty?],MATCH($C135,tblMoveTypes[Movement],0)),"?")="Yes",N($F135)+N($G135)&lt;=0),"Qty needed",IF(AND(IFERROR(INDEX(tblMoveTypes[Qty?],MATCH($C135,tblMoveTypes[Movement],0)),"?")="No",N($F135)+N($G135)&gt;0),"Leave In and Out blank",IF(AND(IFERROR(INDEX(tblMoveTypes[Courier?],MATCH($C135,tblMoveTypes[Movement],0)),"?")="Yes",$I135=""),"Courier needed",IF(AND(IFERROR(INDEX(tblMoveTypes[Courier?],MATCH($C135,tblMoveTypes[Movement],0)),"?")="No",$I135&lt;&gt;""),"Leave Courier blank",IF(AND(IFERROR(INDEX(tblMoveTypes[Orders?],MATCH($C135,tblMoveTypes[Movement],0)),"?")="Yes",$H135=""),"Orders needed",IF(AND(IFERROR(INDEX(tblMoveTypes[Orders?],MATCH($C135,tblMoveTypes[Movement],0)),"?")="No",$H135&lt;&gt;""),"Leave Orders blank",IF(AND(IFERROR(INDEX(tblMoveTypes[Reason?],MATCH($C135,tblMoveTypes[Movement],0)),"?")="Yes",$J135=""),"Reason needed",IF($A135&lt;_xlfn.MINIFS(tblShipment[Arrival Date],tblShipment[Shipment No],$B135),"Date before arrival",IF(AND($E135&lt;&gt;"",COUNTIFS(tblShipment[Shipment No],$B135,tblShipment[Item Name],$E135)=0),"Item not in this shipment","OK")))))))))))))))))</f>
        <v>OK</v>
      </c>
    </row>
    <row r="136" customFormat="false" ht="15" hidden="false" customHeight="false" outlineLevel="0" collapsed="false">
      <c r="A136" s="32" t="n">
        <v>46234</v>
      </c>
      <c r="B136" s="31" t="s">
        <v>161</v>
      </c>
      <c r="C136" s="31" t="s">
        <v>110</v>
      </c>
      <c r="D136" s="34" t="str">
        <f aca="false">IF($C136="","",IFERROR(IF(IFERROR(INDEX(tblMoveTypes[In / Out],MATCH($C136,tblMoveTypes[Movement],0)),"?")="IN","IN   ",IF(IFERROR(INDEX(tblMoveTypes[In / Out],MATCH($C136,tblMoveTypes[Movement],0)),"?")="OUT","OUT   ","--   "))&amp;"fill: "&amp;IF(IFERROR(INDEX(tblMoveTypes[Item?],MATCH($C136,tblMoveTypes[Movement],0)),"?")="Yes","Item  ","")&amp;IF(AND(IFERROR(INDEX(tblMoveTypes[Qty?],MATCH($C136,tblMoveTypes[Movement],0)),"?")="Yes",IFERROR(INDEX(tblMoveTypes[In / Out],MATCH($C136,tblMoveTypes[Movement],0)),"?")="IN"),"In  ","")&amp;IF(AND(IFERROR(INDEX(tblMoveTypes[Qty?],MATCH($C136,tblMoveTypes[Movement],0)),"?")="Yes",IFERROR(INDEX(tblMoveTypes[In / Out],MATCH($C136,tblMoveTypes[Movement],0)),"?")="OUT"),"Out  ","")&amp;IF(IFERROR(INDEX(tblMoveTypes[Orders?],MATCH($C136,tblMoveTypes[Movement],0)),"?")="Yes","Orders  ","")&amp;IF(IFERROR(INDEX(tblMoveTypes[Courier?],MATCH($C136,tblMoveTypes[Movement],0)),"?")="Yes","Courier  ","")&amp;IF(IFERROR(INDEX(tblMoveTypes[Reason?],MATCH($C136,tblMoveTypes[Movement],0)),"?")="Yes","Reason",""),"unknown movement"))</f>
        <v>--   fill: Orders  Courier  </v>
      </c>
      <c r="E136" s="31"/>
      <c r="F136" s="33"/>
      <c r="G136" s="33"/>
      <c r="H136" s="33" t="n">
        <v>166</v>
      </c>
      <c r="I136" s="31" t="s">
        <v>76</v>
      </c>
      <c r="J136" s="31"/>
      <c r="K136" s="31"/>
      <c r="L136" s="31"/>
      <c r="M136" s="34" t="str">
        <f aca="false">IF($E136="","",IFERROR(INDEX(tblItems[Item Code],MATCH($E136,tblItems[Item Name],0)),"?"))</f>
        <v/>
      </c>
      <c r="N136" s="34" t="str">
        <f aca="false">IF($B136="","",IFERROR(INDEX(tblShipment[Market],MATCH($B136,tblShipment[Shipment No],0)),"?"))</f>
        <v>Qatar</v>
      </c>
      <c r="O136" s="35" t="n">
        <f aca="false">N($F136)+N($G136)</f>
        <v>0</v>
      </c>
      <c r="P136" s="34" t="str">
        <f aca="false">IF($A136="","",IF($L136="Yes","VOID",IF(COUNTIFS(tblMoveTypes[Movement],$C136)=0,"Unknown movement",IF(COUNTIF(tblShipment[Shipment No],$B136)=0,"Unknown shipment",IF(AND(IFERROR(INDEX(tblMoveTypes[Item?],MATCH($C136,tblMoveTypes[Movement],0)),"?")="Yes",$E136=""),"Item needed",IF(AND(IFERROR(INDEX(tblMoveTypes[Item?],MATCH($C136,tblMoveTypes[Movement],0)),"?")="No",$E136&lt;&gt;""),"Leave Item blank",IF(AND(IFERROR(INDEX(tblMoveTypes[In / Out],MATCH($C136,tblMoveTypes[Movement],0)),"?")="IN",$G136&lt;&gt;""),"Use the In column, not Out",IF(AND(IFERROR(INDEX(tblMoveTypes[In / Out],MATCH($C136,tblMoveTypes[Movement],0)),"?")="OUT",$F136&lt;&gt;""),"Use the Out column, not In",IF(AND(IFERROR(INDEX(tblMoveTypes[Qty?],MATCH($C136,tblMoveTypes[Movement],0)),"?")="Yes",N($F136)+N($G136)&lt;=0),"Qty needed",IF(AND(IFERROR(INDEX(tblMoveTypes[Qty?],MATCH($C136,tblMoveTypes[Movement],0)),"?")="No",N($F136)+N($G136)&gt;0),"Leave In and Out blank",IF(AND(IFERROR(INDEX(tblMoveTypes[Courier?],MATCH($C136,tblMoveTypes[Movement],0)),"?")="Yes",$I136=""),"Courier needed",IF(AND(IFERROR(INDEX(tblMoveTypes[Courier?],MATCH($C136,tblMoveTypes[Movement],0)),"?")="No",$I136&lt;&gt;""),"Leave Courier blank",IF(AND(IFERROR(INDEX(tblMoveTypes[Orders?],MATCH($C136,tblMoveTypes[Movement],0)),"?")="Yes",$H136=""),"Orders needed",IF(AND(IFERROR(INDEX(tblMoveTypes[Orders?],MATCH($C136,tblMoveTypes[Movement],0)),"?")="No",$H136&lt;&gt;""),"Leave Orders blank",IF(AND(IFERROR(INDEX(tblMoveTypes[Reason?],MATCH($C136,tblMoveTypes[Movement],0)),"?")="Yes",$J136=""),"Reason needed",IF($A136&lt;_xlfn.MINIFS(tblShipment[Arrival Date],tblShipment[Shipment No],$B136),"Date before arrival",IF(AND($E136&lt;&gt;"",COUNTIFS(tblShipment[Shipment No],$B136,tblShipment[Item Name],$E136)=0),"Item not in this shipment","OK")))))))))))))))))</f>
        <v>OK</v>
      </c>
    </row>
    <row r="137" customFormat="false" ht="15" hidden="false" customHeight="false" outlineLevel="0" collapsed="false">
      <c r="A137" s="32" t="n">
        <v>46234</v>
      </c>
      <c r="B137" s="31" t="s">
        <v>161</v>
      </c>
      <c r="C137" s="31" t="s">
        <v>115</v>
      </c>
      <c r="D137" s="34" t="str">
        <f aca="false">IF($C137="","",IFERROR(IF(IFERROR(INDEX(tblMoveTypes[In / Out],MATCH($C137,tblMoveTypes[Movement],0)),"?")="IN","IN   ",IF(IFERROR(INDEX(tblMoveTypes[In / Out],MATCH($C137,tblMoveTypes[Movement],0)),"?")="OUT","OUT   ","--   "))&amp;"fill: "&amp;IF(IFERROR(INDEX(tblMoveTypes[Item?],MATCH($C137,tblMoveTypes[Movement],0)),"?")="Yes","Item  ","")&amp;IF(AND(IFERROR(INDEX(tblMoveTypes[Qty?],MATCH($C137,tblMoveTypes[Movement],0)),"?")="Yes",IFERROR(INDEX(tblMoveTypes[In / Out],MATCH($C137,tblMoveTypes[Movement],0)),"?")="IN"),"In  ","")&amp;IF(AND(IFERROR(INDEX(tblMoveTypes[Qty?],MATCH($C137,tblMoveTypes[Movement],0)),"?")="Yes",IFERROR(INDEX(tblMoveTypes[In / Out],MATCH($C137,tblMoveTypes[Movement],0)),"?")="OUT"),"Out  ","")&amp;IF(IFERROR(INDEX(tblMoveTypes[Orders?],MATCH($C137,tblMoveTypes[Movement],0)),"?")="Yes","Orders  ","")&amp;IF(IFERROR(INDEX(tblMoveTypes[Courier?],MATCH($C137,tblMoveTypes[Movement],0)),"?")="Yes","Courier  ","")&amp;IF(IFERROR(INDEX(tblMoveTypes[Reason?],MATCH($C137,tblMoveTypes[Movement],0)),"?")="Yes","Reason",""),"unknown movement"))</f>
        <v>OUT   fill: Out  Orders  Courier  </v>
      </c>
      <c r="E137" s="31"/>
      <c r="F137" s="33"/>
      <c r="G137" s="33" t="n">
        <v>188</v>
      </c>
      <c r="H137" s="33" t="n">
        <v>76</v>
      </c>
      <c r="I137" s="31" t="s">
        <v>76</v>
      </c>
      <c r="J137" s="31"/>
      <c r="K137" s="31"/>
      <c r="L137" s="31"/>
      <c r="M137" s="34" t="str">
        <f aca="false">IF($E137="","",IFERROR(INDEX(tblItems[Item Code],MATCH($E137,tblItems[Item Name],0)),"?"))</f>
        <v/>
      </c>
      <c r="N137" s="34" t="str">
        <f aca="false">IF($B137="","",IFERROR(INDEX(tblShipment[Market],MATCH($B137,tblShipment[Shipment No],0)),"?"))</f>
        <v>Qatar</v>
      </c>
      <c r="O137" s="35" t="n">
        <f aca="false">N($F137)+N($G137)</f>
        <v>188</v>
      </c>
      <c r="P137" s="34" t="str">
        <f aca="false">IF($A137="","",IF($L137="Yes","VOID",IF(COUNTIFS(tblMoveTypes[Movement],$C137)=0,"Unknown movement",IF(COUNTIF(tblShipment[Shipment No],$B137)=0,"Unknown shipment",IF(AND(IFERROR(INDEX(tblMoveTypes[Item?],MATCH($C137,tblMoveTypes[Movement],0)),"?")="Yes",$E137=""),"Item needed",IF(AND(IFERROR(INDEX(tblMoveTypes[Item?],MATCH($C137,tblMoveTypes[Movement],0)),"?")="No",$E137&lt;&gt;""),"Leave Item blank",IF(AND(IFERROR(INDEX(tblMoveTypes[In / Out],MATCH($C137,tblMoveTypes[Movement],0)),"?")="IN",$G137&lt;&gt;""),"Use the In column, not Out",IF(AND(IFERROR(INDEX(tblMoveTypes[In / Out],MATCH($C137,tblMoveTypes[Movement],0)),"?")="OUT",$F137&lt;&gt;""),"Use the Out column, not In",IF(AND(IFERROR(INDEX(tblMoveTypes[Qty?],MATCH($C137,tblMoveTypes[Movement],0)),"?")="Yes",N($F137)+N($G137)&lt;=0),"Qty needed",IF(AND(IFERROR(INDEX(tblMoveTypes[Qty?],MATCH($C137,tblMoveTypes[Movement],0)),"?")="No",N($F137)+N($G137)&gt;0),"Leave In and Out blank",IF(AND(IFERROR(INDEX(tblMoveTypes[Courier?],MATCH($C137,tblMoveTypes[Movement],0)),"?")="Yes",$I137=""),"Courier needed",IF(AND(IFERROR(INDEX(tblMoveTypes[Courier?],MATCH($C137,tblMoveTypes[Movement],0)),"?")="No",$I137&lt;&gt;""),"Leave Courier blank",IF(AND(IFERROR(INDEX(tblMoveTypes[Orders?],MATCH($C137,tblMoveTypes[Movement],0)),"?")="Yes",$H137=""),"Orders needed",IF(AND(IFERROR(INDEX(tblMoveTypes[Orders?],MATCH($C137,tblMoveTypes[Movement],0)),"?")="No",$H137&lt;&gt;""),"Leave Orders blank",IF(AND(IFERROR(INDEX(tblMoveTypes[Reason?],MATCH($C137,tblMoveTypes[Movement],0)),"?")="Yes",$J137=""),"Reason needed",IF($A137&lt;_xlfn.MINIFS(tblShipment[Arrival Date],tblShipment[Shipment No],$B137),"Date before arrival",IF(AND($E137&lt;&gt;"",COUNTIFS(tblShipment[Shipment No],$B137,tblShipment[Item Name],$E137)=0),"Item not in this shipment","OK")))))))))))))))))</f>
        <v>OK</v>
      </c>
    </row>
    <row r="138" customFormat="false" ht="15" hidden="false" customHeight="false" outlineLevel="0" collapsed="false">
      <c r="A138" s="32" t="n">
        <v>46235</v>
      </c>
      <c r="B138" s="31" t="s">
        <v>160</v>
      </c>
      <c r="C138" s="31" t="s">
        <v>115</v>
      </c>
      <c r="D138" s="34" t="str">
        <f aca="false">IF($C138="","",IFERROR(IF(IFERROR(INDEX(tblMoveTypes[In / Out],MATCH($C138,tblMoveTypes[Movement],0)),"?")="IN","IN   ",IF(IFERROR(INDEX(tblMoveTypes[In / Out],MATCH($C138,tblMoveTypes[Movement],0)),"?")="OUT","OUT   ","--   "))&amp;"fill: "&amp;IF(IFERROR(INDEX(tblMoveTypes[Item?],MATCH($C138,tblMoveTypes[Movement],0)),"?")="Yes","Item  ","")&amp;IF(AND(IFERROR(INDEX(tblMoveTypes[Qty?],MATCH($C138,tblMoveTypes[Movement],0)),"?")="Yes",IFERROR(INDEX(tblMoveTypes[In / Out],MATCH($C138,tblMoveTypes[Movement],0)),"?")="IN"),"In  ","")&amp;IF(AND(IFERROR(INDEX(tblMoveTypes[Qty?],MATCH($C138,tblMoveTypes[Movement],0)),"?")="Yes",IFERROR(INDEX(tblMoveTypes[In / Out],MATCH($C138,tblMoveTypes[Movement],0)),"?")="OUT"),"Out  ","")&amp;IF(IFERROR(INDEX(tblMoveTypes[Orders?],MATCH($C138,tblMoveTypes[Movement],0)),"?")="Yes","Orders  ","")&amp;IF(IFERROR(INDEX(tblMoveTypes[Courier?],MATCH($C138,tblMoveTypes[Movement],0)),"?")="Yes","Courier  ","")&amp;IF(IFERROR(INDEX(tblMoveTypes[Reason?],MATCH($C138,tblMoveTypes[Movement],0)),"?")="Yes","Reason",""),"unknown movement"))</f>
        <v>OUT   fill: Out  Orders  Courier  </v>
      </c>
      <c r="E138" s="31"/>
      <c r="F138" s="33"/>
      <c r="G138" s="33" t="n">
        <v>87</v>
      </c>
      <c r="H138" s="33" t="n">
        <v>35</v>
      </c>
      <c r="I138" s="31" t="s">
        <v>76</v>
      </c>
      <c r="J138" s="31"/>
      <c r="K138" s="31"/>
      <c r="L138" s="31"/>
      <c r="M138" s="34" t="str">
        <f aca="false">IF($E138="","",IFERROR(INDEX(tblItems[Item Code],MATCH($E138,tblItems[Item Name],0)),"?"))</f>
        <v/>
      </c>
      <c r="N138" s="34" t="str">
        <f aca="false">IF($B138="","",IFERROR(INDEX(tblShipment[Market],MATCH($B138,tblShipment[Shipment No],0)),"?"))</f>
        <v>Qatar</v>
      </c>
      <c r="O138" s="35" t="n">
        <f aca="false">N($F138)+N($G138)</f>
        <v>87</v>
      </c>
      <c r="P138" s="34" t="str">
        <f aca="false">IF($A138="","",IF($L138="Yes","VOID",IF(COUNTIFS(tblMoveTypes[Movement],$C138)=0,"Unknown movement",IF(COUNTIF(tblShipment[Shipment No],$B138)=0,"Unknown shipment",IF(AND(IFERROR(INDEX(tblMoveTypes[Item?],MATCH($C138,tblMoveTypes[Movement],0)),"?")="Yes",$E138=""),"Item needed",IF(AND(IFERROR(INDEX(tblMoveTypes[Item?],MATCH($C138,tblMoveTypes[Movement],0)),"?")="No",$E138&lt;&gt;""),"Leave Item blank",IF(AND(IFERROR(INDEX(tblMoveTypes[In / Out],MATCH($C138,tblMoveTypes[Movement],0)),"?")="IN",$G138&lt;&gt;""),"Use the In column, not Out",IF(AND(IFERROR(INDEX(tblMoveTypes[In / Out],MATCH($C138,tblMoveTypes[Movement],0)),"?")="OUT",$F138&lt;&gt;""),"Use the Out column, not In",IF(AND(IFERROR(INDEX(tblMoveTypes[Qty?],MATCH($C138,tblMoveTypes[Movement],0)),"?")="Yes",N($F138)+N($G138)&lt;=0),"Qty needed",IF(AND(IFERROR(INDEX(tblMoveTypes[Qty?],MATCH($C138,tblMoveTypes[Movement],0)),"?")="No",N($F138)+N($G138)&gt;0),"Leave In and Out blank",IF(AND(IFERROR(INDEX(tblMoveTypes[Courier?],MATCH($C138,tblMoveTypes[Movement],0)),"?")="Yes",$I138=""),"Courier needed",IF(AND(IFERROR(INDEX(tblMoveTypes[Courier?],MATCH($C138,tblMoveTypes[Movement],0)),"?")="No",$I138&lt;&gt;""),"Leave Courier blank",IF(AND(IFERROR(INDEX(tblMoveTypes[Orders?],MATCH($C138,tblMoveTypes[Movement],0)),"?")="Yes",$H138=""),"Orders needed",IF(AND(IFERROR(INDEX(tblMoveTypes[Orders?],MATCH($C138,tblMoveTypes[Movement],0)),"?")="No",$H138&lt;&gt;""),"Leave Orders blank",IF(AND(IFERROR(INDEX(tblMoveTypes[Reason?],MATCH($C138,tblMoveTypes[Movement],0)),"?")="Yes",$J138=""),"Reason needed",IF($A138&lt;_xlfn.MINIFS(tblShipment[Arrival Date],tblShipment[Shipment No],$B138),"Date before arrival",IF(AND($E138&lt;&gt;"",COUNTIFS(tblShipment[Shipment No],$B138,tblShipment[Item Name],$E138)=0),"Item not in this shipment","OK")))))))))))))))))</f>
        <v>OK</v>
      </c>
    </row>
    <row r="139" customFormat="false" ht="15" hidden="false" customHeight="false" outlineLevel="0" collapsed="false">
      <c r="A139" s="32" t="n">
        <v>46235</v>
      </c>
      <c r="B139" s="31" t="s">
        <v>160</v>
      </c>
      <c r="C139" s="31" t="s">
        <v>120</v>
      </c>
      <c r="D139" s="34" t="str">
        <f aca="false">IF($C139="","",IFERROR(IF(IFERROR(INDEX(tblMoveTypes[In / Out],MATCH($C139,tblMoveTypes[Movement],0)),"?")="IN","IN   ",IF(IFERROR(INDEX(tblMoveTypes[In / Out],MATCH($C139,tblMoveTypes[Movement],0)),"?")="OUT","OUT   ","--   "))&amp;"fill: "&amp;IF(IFERROR(INDEX(tblMoveTypes[Item?],MATCH($C139,tblMoveTypes[Movement],0)),"?")="Yes","Item  ","")&amp;IF(AND(IFERROR(INDEX(tblMoveTypes[Qty?],MATCH($C139,tblMoveTypes[Movement],0)),"?")="Yes",IFERROR(INDEX(tblMoveTypes[In / Out],MATCH($C139,tblMoveTypes[Movement],0)),"?")="IN"),"In  ","")&amp;IF(AND(IFERROR(INDEX(tblMoveTypes[Qty?],MATCH($C139,tblMoveTypes[Movement],0)),"?")="Yes",IFERROR(INDEX(tblMoveTypes[In / Out],MATCH($C139,tblMoveTypes[Movement],0)),"?")="OUT"),"Out  ","")&amp;IF(IFERROR(INDEX(tblMoveTypes[Orders?],MATCH($C139,tblMoveTypes[Movement],0)),"?")="Yes","Orders  ","")&amp;IF(IFERROR(INDEX(tblMoveTypes[Courier?],MATCH($C139,tblMoveTypes[Movement],0)),"?")="Yes","Courier  ","")&amp;IF(IFERROR(INDEX(tblMoveTypes[Reason?],MATCH($C139,tblMoveTypes[Movement],0)),"?")="Yes","Reason",""),"unknown movement"))</f>
        <v>IN   fill: In  Orders  Courier  Reason</v>
      </c>
      <c r="E139" s="31"/>
      <c r="F139" s="33" t="n">
        <v>5</v>
      </c>
      <c r="G139" s="33"/>
      <c r="H139" s="33" t="n">
        <v>1</v>
      </c>
      <c r="I139" s="31" t="s">
        <v>76</v>
      </c>
      <c r="J139" s="31" t="s">
        <v>114</v>
      </c>
      <c r="K139" s="31"/>
      <c r="L139" s="31"/>
      <c r="M139" s="34" t="str">
        <f aca="false">IF($E139="","",IFERROR(INDEX(tblItems[Item Code],MATCH($E139,tblItems[Item Name],0)),"?"))</f>
        <v/>
      </c>
      <c r="N139" s="34" t="str">
        <f aca="false">IF($B139="","",IFERROR(INDEX(tblShipment[Market],MATCH($B139,tblShipment[Shipment No],0)),"?"))</f>
        <v>Qatar</v>
      </c>
      <c r="O139" s="35" t="n">
        <f aca="false">N($F139)+N($G139)</f>
        <v>5</v>
      </c>
      <c r="P139" s="34" t="str">
        <f aca="false">IF($A139="","",IF($L139="Yes","VOID",IF(COUNTIFS(tblMoveTypes[Movement],$C139)=0,"Unknown movement",IF(COUNTIF(tblShipment[Shipment No],$B139)=0,"Unknown shipment",IF(AND(IFERROR(INDEX(tblMoveTypes[Item?],MATCH($C139,tblMoveTypes[Movement],0)),"?")="Yes",$E139=""),"Item needed",IF(AND(IFERROR(INDEX(tblMoveTypes[Item?],MATCH($C139,tblMoveTypes[Movement],0)),"?")="No",$E139&lt;&gt;""),"Leave Item blank",IF(AND(IFERROR(INDEX(tblMoveTypes[In / Out],MATCH($C139,tblMoveTypes[Movement],0)),"?")="IN",$G139&lt;&gt;""),"Use the In column, not Out",IF(AND(IFERROR(INDEX(tblMoveTypes[In / Out],MATCH($C139,tblMoveTypes[Movement],0)),"?")="OUT",$F139&lt;&gt;""),"Use the Out column, not In",IF(AND(IFERROR(INDEX(tblMoveTypes[Qty?],MATCH($C139,tblMoveTypes[Movement],0)),"?")="Yes",N($F139)+N($G139)&lt;=0),"Qty needed",IF(AND(IFERROR(INDEX(tblMoveTypes[Qty?],MATCH($C139,tblMoveTypes[Movement],0)),"?")="No",N($F139)+N($G139)&gt;0),"Leave In and Out blank",IF(AND(IFERROR(INDEX(tblMoveTypes[Courier?],MATCH($C139,tblMoveTypes[Movement],0)),"?")="Yes",$I139=""),"Courier needed",IF(AND(IFERROR(INDEX(tblMoveTypes[Courier?],MATCH($C139,tblMoveTypes[Movement],0)),"?")="No",$I139&lt;&gt;""),"Leave Courier blank",IF(AND(IFERROR(INDEX(tblMoveTypes[Orders?],MATCH($C139,tblMoveTypes[Movement],0)),"?")="Yes",$H139=""),"Orders needed",IF(AND(IFERROR(INDEX(tblMoveTypes[Orders?],MATCH($C139,tblMoveTypes[Movement],0)),"?")="No",$H139&lt;&gt;""),"Leave Orders blank",IF(AND(IFERROR(INDEX(tblMoveTypes[Reason?],MATCH($C139,tblMoveTypes[Movement],0)),"?")="Yes",$J139=""),"Reason needed",IF($A139&lt;_xlfn.MINIFS(tblShipment[Arrival Date],tblShipment[Shipment No],$B139),"Date before arrival",IF(AND($E139&lt;&gt;"",COUNTIFS(tblShipment[Shipment No],$B139,tblShipment[Item Name],$E139)=0),"Item not in this shipment","OK")))))))))))))))))</f>
        <v>OK</v>
      </c>
    </row>
    <row r="140" customFormat="false" ht="15" hidden="false" customHeight="false" outlineLevel="0" collapsed="false">
      <c r="A140" s="32" t="n">
        <v>46235</v>
      </c>
      <c r="B140" s="31" t="s">
        <v>160</v>
      </c>
      <c r="C140" s="31" t="s">
        <v>125</v>
      </c>
      <c r="D140" s="34" t="str">
        <f aca="false">IF($C140="","",IFERROR(IF(IFERROR(INDEX(tblMoveTypes[In / Out],MATCH($C140,tblMoveTypes[Movement],0)),"?")="IN","IN   ",IF(IFERROR(INDEX(tblMoveTypes[In / Out],MATCH($C140,tblMoveTypes[Movement],0)),"?")="OUT","OUT   ","--   "))&amp;"fill: "&amp;IF(IFERROR(INDEX(tblMoveTypes[Item?],MATCH($C140,tblMoveTypes[Movement],0)),"?")="Yes","Item  ","")&amp;IF(AND(IFERROR(INDEX(tblMoveTypes[Qty?],MATCH($C140,tblMoveTypes[Movement],0)),"?")="Yes",IFERROR(INDEX(tblMoveTypes[In / Out],MATCH($C140,tblMoveTypes[Movement],0)),"?")="IN"),"In  ","")&amp;IF(AND(IFERROR(INDEX(tblMoveTypes[Qty?],MATCH($C140,tblMoveTypes[Movement],0)),"?")="Yes",IFERROR(INDEX(tblMoveTypes[In / Out],MATCH($C140,tblMoveTypes[Movement],0)),"?")="OUT"),"Out  ","")&amp;IF(IFERROR(INDEX(tblMoveTypes[Orders?],MATCH($C140,tblMoveTypes[Movement],0)),"?")="Yes","Orders  ","")&amp;IF(IFERROR(INDEX(tblMoveTypes[Courier?],MATCH($C140,tblMoveTypes[Movement],0)),"?")="Yes","Courier  ","")&amp;IF(IFERROR(INDEX(tblMoveTypes[Reason?],MATCH($C140,tblMoveTypes[Movement],0)),"?")="Yes","Reason",""),"unknown movement"))</f>
        <v>IN   fill: Item  In  </v>
      </c>
      <c r="E140" s="31" t="s">
        <v>122</v>
      </c>
      <c r="F140" s="33" t="n">
        <v>4</v>
      </c>
      <c r="G140" s="33"/>
      <c r="H140" s="33"/>
      <c r="I140" s="31"/>
      <c r="J140" s="31"/>
      <c r="K140" s="31"/>
      <c r="L140" s="31"/>
      <c r="M140" s="34" t="str">
        <f aca="false">IF($E140="","",IFERROR(INDEX(tblItems[Item Code],MATCH($E140,tblItems[Item Name],0)),"?"))</f>
        <v>EG-FG-GRP-01-02-01-01</v>
      </c>
      <c r="N140" s="34" t="str">
        <f aca="false">IF($B140="","",IFERROR(INDEX(tblShipment[Market],MATCH($B140,tblShipment[Shipment No],0)),"?"))</f>
        <v>Qatar</v>
      </c>
      <c r="O140" s="35" t="n">
        <f aca="false">N($F140)+N($G140)</f>
        <v>4</v>
      </c>
      <c r="P140" s="34" t="str">
        <f aca="false">IF($A140="","",IF($L140="Yes","VOID",IF(COUNTIFS(tblMoveTypes[Movement],$C140)=0,"Unknown movement",IF(COUNTIF(tblShipment[Shipment No],$B140)=0,"Unknown shipment",IF(AND(IFERROR(INDEX(tblMoveTypes[Item?],MATCH($C140,tblMoveTypes[Movement],0)),"?")="Yes",$E140=""),"Item needed",IF(AND(IFERROR(INDEX(tblMoveTypes[Item?],MATCH($C140,tblMoveTypes[Movement],0)),"?")="No",$E140&lt;&gt;""),"Leave Item blank",IF(AND(IFERROR(INDEX(tblMoveTypes[In / Out],MATCH($C140,tblMoveTypes[Movement],0)),"?")="IN",$G140&lt;&gt;""),"Use the In column, not Out",IF(AND(IFERROR(INDEX(tblMoveTypes[In / Out],MATCH($C140,tblMoveTypes[Movement],0)),"?")="OUT",$F140&lt;&gt;""),"Use the Out column, not In",IF(AND(IFERROR(INDEX(tblMoveTypes[Qty?],MATCH($C140,tblMoveTypes[Movement],0)),"?")="Yes",N($F140)+N($G140)&lt;=0),"Qty needed",IF(AND(IFERROR(INDEX(tblMoveTypes[Qty?],MATCH($C140,tblMoveTypes[Movement],0)),"?")="No",N($F140)+N($G140)&gt;0),"Leave In and Out blank",IF(AND(IFERROR(INDEX(tblMoveTypes[Courier?],MATCH($C140,tblMoveTypes[Movement],0)),"?")="Yes",$I140=""),"Courier needed",IF(AND(IFERROR(INDEX(tblMoveTypes[Courier?],MATCH($C140,tblMoveTypes[Movement],0)),"?")="No",$I140&lt;&gt;""),"Leave Courier blank",IF(AND(IFERROR(INDEX(tblMoveTypes[Orders?],MATCH($C140,tblMoveTypes[Movement],0)),"?")="Yes",$H140=""),"Orders needed",IF(AND(IFERROR(INDEX(tblMoveTypes[Orders?],MATCH($C140,tblMoveTypes[Movement],0)),"?")="No",$H140&lt;&gt;""),"Leave Orders blank",IF(AND(IFERROR(INDEX(tblMoveTypes[Reason?],MATCH($C140,tblMoveTypes[Movement],0)),"?")="Yes",$J140=""),"Reason needed",IF($A140&lt;_xlfn.MINIFS(tblShipment[Arrival Date],tblShipment[Shipment No],$B140),"Date before arrival",IF(AND($E140&lt;&gt;"",COUNTIFS(tblShipment[Shipment No],$B140,tblShipment[Item Name],$E140)=0),"Item not in this shipment","OK")))))))))))))))))</f>
        <v>OK</v>
      </c>
    </row>
    <row r="141" customFormat="false" ht="15" hidden="false" customHeight="false" outlineLevel="0" collapsed="false">
      <c r="A141" s="32" t="n">
        <v>46235</v>
      </c>
      <c r="B141" s="31" t="s">
        <v>160</v>
      </c>
      <c r="C141" s="31" t="s">
        <v>130</v>
      </c>
      <c r="D141" s="34" t="str">
        <f aca="false">IF($C141="","",IFERROR(IF(IFERROR(INDEX(tblMoveTypes[In / Out],MATCH($C141,tblMoveTypes[Movement],0)),"?")="IN","IN   ",IF(IFERROR(INDEX(tblMoveTypes[In / Out],MATCH($C141,tblMoveTypes[Movement],0)),"?")="OUT","OUT   ","--   "))&amp;"fill: "&amp;IF(IFERROR(INDEX(tblMoveTypes[Item?],MATCH($C141,tblMoveTypes[Movement],0)),"?")="Yes","Item  ","")&amp;IF(AND(IFERROR(INDEX(tblMoveTypes[Qty?],MATCH($C141,tblMoveTypes[Movement],0)),"?")="Yes",IFERROR(INDEX(tblMoveTypes[In / Out],MATCH($C141,tblMoveTypes[Movement],0)),"?")="IN"),"In  ","")&amp;IF(AND(IFERROR(INDEX(tblMoveTypes[Qty?],MATCH($C141,tblMoveTypes[Movement],0)),"?")="Yes",IFERROR(INDEX(tblMoveTypes[In / Out],MATCH($C141,tblMoveTypes[Movement],0)),"?")="OUT"),"Out  ","")&amp;IF(IFERROR(INDEX(tblMoveTypes[Orders?],MATCH($C141,tblMoveTypes[Movement],0)),"?")="Yes","Orders  ","")&amp;IF(IFERROR(INDEX(tblMoveTypes[Courier?],MATCH($C141,tblMoveTypes[Movement],0)),"?")="Yes","Courier  ","")&amp;IF(IFERROR(INDEX(tblMoveTypes[Reason?],MATCH($C141,tblMoveTypes[Movement],0)),"?")="Yes","Reason",""),"unknown movement"))</f>
        <v>OUT   fill: Item  Out  Reason</v>
      </c>
      <c r="E141" s="31" t="s">
        <v>122</v>
      </c>
      <c r="F141" s="33"/>
      <c r="G141" s="33" t="n">
        <v>1</v>
      </c>
      <c r="H141" s="33"/>
      <c r="I141" s="31"/>
      <c r="J141" s="31" t="s">
        <v>77</v>
      </c>
      <c r="K141" s="31"/>
      <c r="L141" s="31"/>
      <c r="M141" s="34" t="str">
        <f aca="false">IF($E141="","",IFERROR(INDEX(tblItems[Item Code],MATCH($E141,tblItems[Item Name],0)),"?"))</f>
        <v>EG-FG-GRP-01-02-01-01</v>
      </c>
      <c r="N141" s="34" t="str">
        <f aca="false">IF($B141="","",IFERROR(INDEX(tblShipment[Market],MATCH($B141,tblShipment[Shipment No],0)),"?"))</f>
        <v>Qatar</v>
      </c>
      <c r="O141" s="35" t="n">
        <f aca="false">N($F141)+N($G141)</f>
        <v>1</v>
      </c>
      <c r="P141" s="34" t="str">
        <f aca="false">IF($A141="","",IF($L141="Yes","VOID",IF(COUNTIFS(tblMoveTypes[Movement],$C141)=0,"Unknown movement",IF(COUNTIF(tblShipment[Shipment No],$B141)=0,"Unknown shipment",IF(AND(IFERROR(INDEX(tblMoveTypes[Item?],MATCH($C141,tblMoveTypes[Movement],0)),"?")="Yes",$E141=""),"Item needed",IF(AND(IFERROR(INDEX(tblMoveTypes[Item?],MATCH($C141,tblMoveTypes[Movement],0)),"?")="No",$E141&lt;&gt;""),"Leave Item blank",IF(AND(IFERROR(INDEX(tblMoveTypes[In / Out],MATCH($C141,tblMoveTypes[Movement],0)),"?")="IN",$G141&lt;&gt;""),"Use the In column, not Out",IF(AND(IFERROR(INDEX(tblMoveTypes[In / Out],MATCH($C141,tblMoveTypes[Movement],0)),"?")="OUT",$F141&lt;&gt;""),"Use the Out column, not In",IF(AND(IFERROR(INDEX(tblMoveTypes[Qty?],MATCH($C141,tblMoveTypes[Movement],0)),"?")="Yes",N($F141)+N($G141)&lt;=0),"Qty needed",IF(AND(IFERROR(INDEX(tblMoveTypes[Qty?],MATCH($C141,tblMoveTypes[Movement],0)),"?")="No",N($F141)+N($G141)&gt;0),"Leave In and Out blank",IF(AND(IFERROR(INDEX(tblMoveTypes[Courier?],MATCH($C141,tblMoveTypes[Movement],0)),"?")="Yes",$I141=""),"Courier needed",IF(AND(IFERROR(INDEX(tblMoveTypes[Courier?],MATCH($C141,tblMoveTypes[Movement],0)),"?")="No",$I141&lt;&gt;""),"Leave Courier blank",IF(AND(IFERROR(INDEX(tblMoveTypes[Orders?],MATCH($C141,tblMoveTypes[Movement],0)),"?")="Yes",$H141=""),"Orders needed",IF(AND(IFERROR(INDEX(tblMoveTypes[Orders?],MATCH($C141,tblMoveTypes[Movement],0)),"?")="No",$H141&lt;&gt;""),"Leave Orders blank",IF(AND(IFERROR(INDEX(tblMoveTypes[Reason?],MATCH($C141,tblMoveTypes[Movement],0)),"?")="Yes",$J141=""),"Reason needed",IF($A141&lt;_xlfn.MINIFS(tblShipment[Arrival Date],tblShipment[Shipment No],$B141),"Date before arrival",IF(AND($E141&lt;&gt;"",COUNTIFS(tblShipment[Shipment No],$B141,tblShipment[Item Name],$E141)=0),"Item not in this shipment","OK")))))))))))))))))</f>
        <v>OK</v>
      </c>
    </row>
    <row r="142" customFormat="false" ht="15" hidden="false" customHeight="false" outlineLevel="0" collapsed="false">
      <c r="A142" s="32" t="n">
        <v>46235</v>
      </c>
      <c r="B142" s="31" t="s">
        <v>161</v>
      </c>
      <c r="C142" s="31" t="s">
        <v>115</v>
      </c>
      <c r="D142" s="34" t="str">
        <f aca="false">IF($C142="","",IFERROR(IF(IFERROR(INDEX(tblMoveTypes[In / Out],MATCH($C142,tblMoveTypes[Movement],0)),"?")="IN","IN   ",IF(IFERROR(INDEX(tblMoveTypes[In / Out],MATCH($C142,tblMoveTypes[Movement],0)),"?")="OUT","OUT   ","--   "))&amp;"fill: "&amp;IF(IFERROR(INDEX(tblMoveTypes[Item?],MATCH($C142,tblMoveTypes[Movement],0)),"?")="Yes","Item  ","")&amp;IF(AND(IFERROR(INDEX(tblMoveTypes[Qty?],MATCH($C142,tblMoveTypes[Movement],0)),"?")="Yes",IFERROR(INDEX(tblMoveTypes[In / Out],MATCH($C142,tblMoveTypes[Movement],0)),"?")="IN"),"In  ","")&amp;IF(AND(IFERROR(INDEX(tblMoveTypes[Qty?],MATCH($C142,tblMoveTypes[Movement],0)),"?")="Yes",IFERROR(INDEX(tblMoveTypes[In / Out],MATCH($C142,tblMoveTypes[Movement],0)),"?")="OUT"),"Out  ","")&amp;IF(IFERROR(INDEX(tblMoveTypes[Orders?],MATCH($C142,tblMoveTypes[Movement],0)),"?")="Yes","Orders  ","")&amp;IF(IFERROR(INDEX(tblMoveTypes[Courier?],MATCH($C142,tblMoveTypes[Movement],0)),"?")="Yes","Courier  ","")&amp;IF(IFERROR(INDEX(tblMoveTypes[Reason?],MATCH($C142,tblMoveTypes[Movement],0)),"?")="Yes","Reason",""),"unknown movement"))</f>
        <v>OUT   fill: Out  Orders  Courier  </v>
      </c>
      <c r="E142" s="31"/>
      <c r="F142" s="33"/>
      <c r="G142" s="33" t="n">
        <v>111</v>
      </c>
      <c r="H142" s="33" t="n">
        <v>45</v>
      </c>
      <c r="I142" s="31" t="s">
        <v>76</v>
      </c>
      <c r="J142" s="31"/>
      <c r="K142" s="31"/>
      <c r="L142" s="31"/>
      <c r="M142" s="34" t="str">
        <f aca="false">IF($E142="","",IFERROR(INDEX(tblItems[Item Code],MATCH($E142,tblItems[Item Name],0)),"?"))</f>
        <v/>
      </c>
      <c r="N142" s="34" t="str">
        <f aca="false">IF($B142="","",IFERROR(INDEX(tblShipment[Market],MATCH($B142,tblShipment[Shipment No],0)),"?"))</f>
        <v>Qatar</v>
      </c>
      <c r="O142" s="35" t="n">
        <f aca="false">N($F142)+N($G142)</f>
        <v>111</v>
      </c>
      <c r="P142" s="34" t="str">
        <f aca="false">IF($A142="","",IF($L142="Yes","VOID",IF(COUNTIFS(tblMoveTypes[Movement],$C142)=0,"Unknown movement",IF(COUNTIF(tblShipment[Shipment No],$B142)=0,"Unknown shipment",IF(AND(IFERROR(INDEX(tblMoveTypes[Item?],MATCH($C142,tblMoveTypes[Movement],0)),"?")="Yes",$E142=""),"Item needed",IF(AND(IFERROR(INDEX(tblMoveTypes[Item?],MATCH($C142,tblMoveTypes[Movement],0)),"?")="No",$E142&lt;&gt;""),"Leave Item blank",IF(AND(IFERROR(INDEX(tblMoveTypes[In / Out],MATCH($C142,tblMoveTypes[Movement],0)),"?")="IN",$G142&lt;&gt;""),"Use the In column, not Out",IF(AND(IFERROR(INDEX(tblMoveTypes[In / Out],MATCH($C142,tblMoveTypes[Movement],0)),"?")="OUT",$F142&lt;&gt;""),"Use the Out column, not In",IF(AND(IFERROR(INDEX(tblMoveTypes[Qty?],MATCH($C142,tblMoveTypes[Movement],0)),"?")="Yes",N($F142)+N($G142)&lt;=0),"Qty needed",IF(AND(IFERROR(INDEX(tblMoveTypes[Qty?],MATCH($C142,tblMoveTypes[Movement],0)),"?")="No",N($F142)+N($G142)&gt;0),"Leave In and Out blank",IF(AND(IFERROR(INDEX(tblMoveTypes[Courier?],MATCH($C142,tblMoveTypes[Movement],0)),"?")="Yes",$I142=""),"Courier needed",IF(AND(IFERROR(INDEX(tblMoveTypes[Courier?],MATCH($C142,tblMoveTypes[Movement],0)),"?")="No",$I142&lt;&gt;""),"Leave Courier blank",IF(AND(IFERROR(INDEX(tblMoveTypes[Orders?],MATCH($C142,tblMoveTypes[Movement],0)),"?")="Yes",$H142=""),"Orders needed",IF(AND(IFERROR(INDEX(tblMoveTypes[Orders?],MATCH($C142,tblMoveTypes[Movement],0)),"?")="No",$H142&lt;&gt;""),"Leave Orders blank",IF(AND(IFERROR(INDEX(tblMoveTypes[Reason?],MATCH($C142,tblMoveTypes[Movement],0)),"?")="Yes",$J142=""),"Reason needed",IF($A142&lt;_xlfn.MINIFS(tblShipment[Arrival Date],tblShipment[Shipment No],$B142),"Date before arrival",IF(AND($E142&lt;&gt;"",COUNTIFS(tblShipment[Shipment No],$B142,tblShipment[Item Name],$E142)=0),"Item not in this shipment","OK")))))))))))))))))</f>
        <v>OK</v>
      </c>
    </row>
    <row r="143" customFormat="false" ht="15" hidden="false" customHeight="false" outlineLevel="0" collapsed="false">
      <c r="A143" s="32" t="n">
        <v>46236</v>
      </c>
      <c r="B143" s="31" t="s">
        <v>160</v>
      </c>
      <c r="C143" s="31" t="s">
        <v>98</v>
      </c>
      <c r="D143" s="34" t="str">
        <f aca="false">IF($C143="","",IFERROR(IF(IFERROR(INDEX(tblMoveTypes[In / Out],MATCH($C143,tblMoveTypes[Movement],0)),"?")="IN","IN   ",IF(IFERROR(INDEX(tblMoveTypes[In / Out],MATCH($C143,tblMoveTypes[Movement],0)),"?")="OUT","OUT   ","--   "))&amp;"fill: "&amp;IF(IFERROR(INDEX(tblMoveTypes[Item?],MATCH($C143,tblMoveTypes[Movement],0)),"?")="Yes","Item  ","")&amp;IF(AND(IFERROR(INDEX(tblMoveTypes[Qty?],MATCH($C143,tblMoveTypes[Movement],0)),"?")="Yes",IFERROR(INDEX(tblMoveTypes[In / Out],MATCH($C143,tblMoveTypes[Movement],0)),"?")="IN"),"In  ","")&amp;IF(AND(IFERROR(INDEX(tblMoveTypes[Qty?],MATCH($C143,tblMoveTypes[Movement],0)),"?")="Yes",IFERROR(INDEX(tblMoveTypes[In / Out],MATCH($C143,tblMoveTypes[Movement],0)),"?")="OUT"),"Out  ","")&amp;IF(IFERROR(INDEX(tblMoveTypes[Orders?],MATCH($C143,tblMoveTypes[Movement],0)),"?")="Yes","Orders  ","")&amp;IF(IFERROR(INDEX(tblMoveTypes[Courier?],MATCH($C143,tblMoveTypes[Movement],0)),"?")="Yes","Courier  ","")&amp;IF(IFERROR(INDEX(tblMoveTypes[Reason?],MATCH($C143,tblMoveTypes[Movement],0)),"?")="Yes","Reason",""),"unknown movement"))</f>
        <v>OUT   fill: Item  Out  Courier  </v>
      </c>
      <c r="E143" s="31" t="s">
        <v>122</v>
      </c>
      <c r="F143" s="33"/>
      <c r="G143" s="33" t="n">
        <v>4</v>
      </c>
      <c r="H143" s="33"/>
      <c r="I143" s="31" t="s">
        <v>76</v>
      </c>
      <c r="J143" s="31"/>
      <c r="K143" s="31"/>
      <c r="L143" s="31"/>
      <c r="M143" s="34" t="str">
        <f aca="false">IF($E143="","",IFERROR(INDEX(tblItems[Item Code],MATCH($E143,tblItems[Item Name],0)),"?"))</f>
        <v>EG-FG-GRP-01-02-01-01</v>
      </c>
      <c r="N143" s="34" t="str">
        <f aca="false">IF($B143="","",IFERROR(INDEX(tblShipment[Market],MATCH($B143,tblShipment[Shipment No],0)),"?"))</f>
        <v>Qatar</v>
      </c>
      <c r="O143" s="35" t="n">
        <f aca="false">N($F143)+N($G143)</f>
        <v>4</v>
      </c>
      <c r="P143" s="34" t="str">
        <f aca="false">IF($A143="","",IF($L143="Yes","VOID",IF(COUNTIFS(tblMoveTypes[Movement],$C143)=0,"Unknown movement",IF(COUNTIF(tblShipment[Shipment No],$B143)=0,"Unknown shipment",IF(AND(IFERROR(INDEX(tblMoveTypes[Item?],MATCH($C143,tblMoveTypes[Movement],0)),"?")="Yes",$E143=""),"Item needed",IF(AND(IFERROR(INDEX(tblMoveTypes[Item?],MATCH($C143,tblMoveTypes[Movement],0)),"?")="No",$E143&lt;&gt;""),"Leave Item blank",IF(AND(IFERROR(INDEX(tblMoveTypes[In / Out],MATCH($C143,tblMoveTypes[Movement],0)),"?")="IN",$G143&lt;&gt;""),"Use the In column, not Out",IF(AND(IFERROR(INDEX(tblMoveTypes[In / Out],MATCH($C143,tblMoveTypes[Movement],0)),"?")="OUT",$F143&lt;&gt;""),"Use the Out column, not In",IF(AND(IFERROR(INDEX(tblMoveTypes[Qty?],MATCH($C143,tblMoveTypes[Movement],0)),"?")="Yes",N($F143)+N($G143)&lt;=0),"Qty needed",IF(AND(IFERROR(INDEX(tblMoveTypes[Qty?],MATCH($C143,tblMoveTypes[Movement],0)),"?")="No",N($F143)+N($G143)&gt;0),"Leave In and Out blank",IF(AND(IFERROR(INDEX(tblMoveTypes[Courier?],MATCH($C143,tblMoveTypes[Movement],0)),"?")="Yes",$I143=""),"Courier needed",IF(AND(IFERROR(INDEX(tblMoveTypes[Courier?],MATCH($C143,tblMoveTypes[Movement],0)),"?")="No",$I143&lt;&gt;""),"Leave Courier blank",IF(AND(IFERROR(INDEX(tblMoveTypes[Orders?],MATCH($C143,tblMoveTypes[Movement],0)),"?")="Yes",$H143=""),"Orders needed",IF(AND(IFERROR(INDEX(tblMoveTypes[Orders?],MATCH($C143,tblMoveTypes[Movement],0)),"?")="No",$H143&lt;&gt;""),"Leave Orders blank",IF(AND(IFERROR(INDEX(tblMoveTypes[Reason?],MATCH($C143,tblMoveTypes[Movement],0)),"?")="Yes",$J143=""),"Reason needed",IF($A143&lt;_xlfn.MINIFS(tblShipment[Arrival Date],tblShipment[Shipment No],$B143),"Date before arrival",IF(AND($E143&lt;&gt;"",COUNTIFS(tblShipment[Shipment No],$B143,tblShipment[Item Name],$E143)=0),"Item not in this shipment","OK")))))))))))))))))</f>
        <v>OK</v>
      </c>
    </row>
    <row r="144" customFormat="false" ht="15" hidden="false" customHeight="false" outlineLevel="0" collapsed="false">
      <c r="A144" s="32" t="n">
        <v>46236</v>
      </c>
      <c r="B144" s="31" t="s">
        <v>160</v>
      </c>
      <c r="C144" s="31" t="s">
        <v>110</v>
      </c>
      <c r="D144" s="34" t="str">
        <f aca="false">IF($C144="","",IFERROR(IF(IFERROR(INDEX(tblMoveTypes[In / Out],MATCH($C144,tblMoveTypes[Movement],0)),"?")="IN","IN   ",IF(IFERROR(INDEX(tblMoveTypes[In / Out],MATCH($C144,tblMoveTypes[Movement],0)),"?")="OUT","OUT   ","--   "))&amp;"fill: "&amp;IF(IFERROR(INDEX(tblMoveTypes[Item?],MATCH($C144,tblMoveTypes[Movement],0)),"?")="Yes","Item  ","")&amp;IF(AND(IFERROR(INDEX(tblMoveTypes[Qty?],MATCH($C144,tblMoveTypes[Movement],0)),"?")="Yes",IFERROR(INDEX(tblMoveTypes[In / Out],MATCH($C144,tblMoveTypes[Movement],0)),"?")="IN"),"In  ","")&amp;IF(AND(IFERROR(INDEX(tblMoveTypes[Qty?],MATCH($C144,tblMoveTypes[Movement],0)),"?")="Yes",IFERROR(INDEX(tblMoveTypes[In / Out],MATCH($C144,tblMoveTypes[Movement],0)),"?")="OUT"),"Out  ","")&amp;IF(IFERROR(INDEX(tblMoveTypes[Orders?],MATCH($C144,tblMoveTypes[Movement],0)),"?")="Yes","Orders  ","")&amp;IF(IFERROR(INDEX(tblMoveTypes[Courier?],MATCH($C144,tblMoveTypes[Movement],0)),"?")="Yes","Courier  ","")&amp;IF(IFERROR(INDEX(tblMoveTypes[Reason?],MATCH($C144,tblMoveTypes[Movement],0)),"?")="Yes","Reason",""),"unknown movement"))</f>
        <v>--   fill: Orders  Courier  </v>
      </c>
      <c r="E144" s="31"/>
      <c r="F144" s="33"/>
      <c r="G144" s="33"/>
      <c r="H144" s="33" t="n">
        <v>2</v>
      </c>
      <c r="I144" s="31" t="s">
        <v>76</v>
      </c>
      <c r="J144" s="31"/>
      <c r="K144" s="31"/>
      <c r="L144" s="31"/>
      <c r="M144" s="34" t="str">
        <f aca="false">IF($E144="","",IFERROR(INDEX(tblItems[Item Code],MATCH($E144,tblItems[Item Name],0)),"?"))</f>
        <v/>
      </c>
      <c r="N144" s="34" t="str">
        <f aca="false">IF($B144="","",IFERROR(INDEX(tblShipment[Market],MATCH($B144,tblShipment[Shipment No],0)),"?"))</f>
        <v>Qatar</v>
      </c>
      <c r="O144" s="35" t="n">
        <f aca="false">N($F144)+N($G144)</f>
        <v>0</v>
      </c>
      <c r="P144" s="34" t="str">
        <f aca="false">IF($A144="","",IF($L144="Yes","VOID",IF(COUNTIFS(tblMoveTypes[Movement],$C144)=0,"Unknown movement",IF(COUNTIF(tblShipment[Shipment No],$B144)=0,"Unknown shipment",IF(AND(IFERROR(INDEX(tblMoveTypes[Item?],MATCH($C144,tblMoveTypes[Movement],0)),"?")="Yes",$E144=""),"Item needed",IF(AND(IFERROR(INDEX(tblMoveTypes[Item?],MATCH($C144,tblMoveTypes[Movement],0)),"?")="No",$E144&lt;&gt;""),"Leave Item blank",IF(AND(IFERROR(INDEX(tblMoveTypes[In / Out],MATCH($C144,tblMoveTypes[Movement],0)),"?")="IN",$G144&lt;&gt;""),"Use the In column, not Out",IF(AND(IFERROR(INDEX(tblMoveTypes[In / Out],MATCH($C144,tblMoveTypes[Movement],0)),"?")="OUT",$F144&lt;&gt;""),"Use the Out column, not In",IF(AND(IFERROR(INDEX(tblMoveTypes[Qty?],MATCH($C144,tblMoveTypes[Movement],0)),"?")="Yes",N($F144)+N($G144)&lt;=0),"Qty needed",IF(AND(IFERROR(INDEX(tblMoveTypes[Qty?],MATCH($C144,tblMoveTypes[Movement],0)),"?")="No",N($F144)+N($G144)&gt;0),"Leave In and Out blank",IF(AND(IFERROR(INDEX(tblMoveTypes[Courier?],MATCH($C144,tblMoveTypes[Movement],0)),"?")="Yes",$I144=""),"Courier needed",IF(AND(IFERROR(INDEX(tblMoveTypes[Courier?],MATCH($C144,tblMoveTypes[Movement],0)),"?")="No",$I144&lt;&gt;""),"Leave Courier blank",IF(AND(IFERROR(INDEX(tblMoveTypes[Orders?],MATCH($C144,tblMoveTypes[Movement],0)),"?")="Yes",$H144=""),"Orders needed",IF(AND(IFERROR(INDEX(tblMoveTypes[Orders?],MATCH($C144,tblMoveTypes[Movement],0)),"?")="No",$H144&lt;&gt;""),"Leave Orders blank",IF(AND(IFERROR(INDEX(tblMoveTypes[Reason?],MATCH($C144,tblMoveTypes[Movement],0)),"?")="Yes",$J144=""),"Reason needed",IF($A144&lt;_xlfn.MINIFS(tblShipment[Arrival Date],tblShipment[Shipment No],$B144),"Date before arrival",IF(AND($E144&lt;&gt;"",COUNTIFS(tblShipment[Shipment No],$B144,tblShipment[Item Name],$E144)=0),"Item not in this shipment","OK")))))))))))))))))</f>
        <v>OK</v>
      </c>
    </row>
    <row r="145" customFormat="false" ht="15" hidden="false" customHeight="false" outlineLevel="0" collapsed="false">
      <c r="A145" s="32" t="n">
        <v>46236</v>
      </c>
      <c r="B145" s="31" t="s">
        <v>160</v>
      </c>
      <c r="C145" s="31" t="s">
        <v>115</v>
      </c>
      <c r="D145" s="34" t="str">
        <f aca="false">IF($C145="","",IFERROR(IF(IFERROR(INDEX(tblMoveTypes[In / Out],MATCH($C145,tblMoveTypes[Movement],0)),"?")="IN","IN   ",IF(IFERROR(INDEX(tblMoveTypes[In / Out],MATCH($C145,tblMoveTypes[Movement],0)),"?")="OUT","OUT   ","--   "))&amp;"fill: "&amp;IF(IFERROR(INDEX(tblMoveTypes[Item?],MATCH($C145,tblMoveTypes[Movement],0)),"?")="Yes","Item  ","")&amp;IF(AND(IFERROR(INDEX(tblMoveTypes[Qty?],MATCH($C145,tblMoveTypes[Movement],0)),"?")="Yes",IFERROR(INDEX(tblMoveTypes[In / Out],MATCH($C145,tblMoveTypes[Movement],0)),"?")="IN"),"In  ","")&amp;IF(AND(IFERROR(INDEX(tblMoveTypes[Qty?],MATCH($C145,tblMoveTypes[Movement],0)),"?")="Yes",IFERROR(INDEX(tblMoveTypes[In / Out],MATCH($C145,tblMoveTypes[Movement],0)),"?")="OUT"),"Out  ","")&amp;IF(IFERROR(INDEX(tblMoveTypes[Orders?],MATCH($C145,tblMoveTypes[Movement],0)),"?")="Yes","Orders  ","")&amp;IF(IFERROR(INDEX(tblMoveTypes[Courier?],MATCH($C145,tblMoveTypes[Movement],0)),"?")="Yes","Courier  ","")&amp;IF(IFERROR(INDEX(tblMoveTypes[Reason?],MATCH($C145,tblMoveTypes[Movement],0)),"?")="Yes","Reason",""),"unknown movement"))</f>
        <v>OUT   fill: Out  Orders  Courier  </v>
      </c>
      <c r="E145" s="31"/>
      <c r="F145" s="33"/>
      <c r="G145" s="33" t="n">
        <v>4</v>
      </c>
      <c r="H145" s="33" t="n">
        <v>2</v>
      </c>
      <c r="I145" s="31" t="s">
        <v>76</v>
      </c>
      <c r="J145" s="31"/>
      <c r="K145" s="31"/>
      <c r="L145" s="31"/>
      <c r="M145" s="34" t="str">
        <f aca="false">IF($E145="","",IFERROR(INDEX(tblItems[Item Code],MATCH($E145,tblItems[Item Name],0)),"?"))</f>
        <v/>
      </c>
      <c r="N145" s="34" t="str">
        <f aca="false">IF($B145="","",IFERROR(INDEX(tblShipment[Market],MATCH($B145,tblShipment[Shipment No],0)),"?"))</f>
        <v>Qatar</v>
      </c>
      <c r="O145" s="35" t="n">
        <f aca="false">N($F145)+N($G145)</f>
        <v>4</v>
      </c>
      <c r="P145" s="34" t="str">
        <f aca="false">IF($A145="","",IF($L145="Yes","VOID",IF(COUNTIFS(tblMoveTypes[Movement],$C145)=0,"Unknown movement",IF(COUNTIF(tblShipment[Shipment No],$B145)=0,"Unknown shipment",IF(AND(IFERROR(INDEX(tblMoveTypes[Item?],MATCH($C145,tblMoveTypes[Movement],0)),"?")="Yes",$E145=""),"Item needed",IF(AND(IFERROR(INDEX(tblMoveTypes[Item?],MATCH($C145,tblMoveTypes[Movement],0)),"?")="No",$E145&lt;&gt;""),"Leave Item blank",IF(AND(IFERROR(INDEX(tblMoveTypes[In / Out],MATCH($C145,tblMoveTypes[Movement],0)),"?")="IN",$G145&lt;&gt;""),"Use the In column, not Out",IF(AND(IFERROR(INDEX(tblMoveTypes[In / Out],MATCH($C145,tblMoveTypes[Movement],0)),"?")="OUT",$F145&lt;&gt;""),"Use the Out column, not In",IF(AND(IFERROR(INDEX(tblMoveTypes[Qty?],MATCH($C145,tblMoveTypes[Movement],0)),"?")="Yes",N($F145)+N($G145)&lt;=0),"Qty needed",IF(AND(IFERROR(INDEX(tblMoveTypes[Qty?],MATCH($C145,tblMoveTypes[Movement],0)),"?")="No",N($F145)+N($G145)&gt;0),"Leave In and Out blank",IF(AND(IFERROR(INDEX(tblMoveTypes[Courier?],MATCH($C145,tblMoveTypes[Movement],0)),"?")="Yes",$I145=""),"Courier needed",IF(AND(IFERROR(INDEX(tblMoveTypes[Courier?],MATCH($C145,tblMoveTypes[Movement],0)),"?")="No",$I145&lt;&gt;""),"Leave Courier blank",IF(AND(IFERROR(INDEX(tblMoveTypes[Orders?],MATCH($C145,tblMoveTypes[Movement],0)),"?")="Yes",$H145=""),"Orders needed",IF(AND(IFERROR(INDEX(tblMoveTypes[Orders?],MATCH($C145,tblMoveTypes[Movement],0)),"?")="No",$H145&lt;&gt;""),"Leave Orders blank",IF(AND(IFERROR(INDEX(tblMoveTypes[Reason?],MATCH($C145,tblMoveTypes[Movement],0)),"?")="Yes",$J145=""),"Reason needed",IF($A145&lt;_xlfn.MINIFS(tblShipment[Arrival Date],tblShipment[Shipment No],$B145),"Date before arrival",IF(AND($E145&lt;&gt;"",COUNTIFS(tblShipment[Shipment No],$B145,tblShipment[Item Name],$E145)=0),"Item not in this shipment","OK")))))))))))))))))</f>
        <v>OK</v>
      </c>
    </row>
    <row r="146" customFormat="false" ht="15" hidden="false" customHeight="false" outlineLevel="0" collapsed="false">
      <c r="A146" s="32" t="n">
        <v>46236</v>
      </c>
      <c r="B146" s="31" t="s">
        <v>161</v>
      </c>
      <c r="C146" s="31" t="s">
        <v>115</v>
      </c>
      <c r="D146" s="34" t="str">
        <f aca="false">IF($C146="","",IFERROR(IF(IFERROR(INDEX(tblMoveTypes[In / Out],MATCH($C146,tblMoveTypes[Movement],0)),"?")="IN","IN   ",IF(IFERROR(INDEX(tblMoveTypes[In / Out],MATCH($C146,tblMoveTypes[Movement],0)),"?")="OUT","OUT   ","--   "))&amp;"fill: "&amp;IF(IFERROR(INDEX(tblMoveTypes[Item?],MATCH($C146,tblMoveTypes[Movement],0)),"?")="Yes","Item  ","")&amp;IF(AND(IFERROR(INDEX(tblMoveTypes[Qty?],MATCH($C146,tblMoveTypes[Movement],0)),"?")="Yes",IFERROR(INDEX(tblMoveTypes[In / Out],MATCH($C146,tblMoveTypes[Movement],0)),"?")="IN"),"In  ","")&amp;IF(AND(IFERROR(INDEX(tblMoveTypes[Qty?],MATCH($C146,tblMoveTypes[Movement],0)),"?")="Yes",IFERROR(INDEX(tblMoveTypes[In / Out],MATCH($C146,tblMoveTypes[Movement],0)),"?")="OUT"),"Out  ","")&amp;IF(IFERROR(INDEX(tblMoveTypes[Orders?],MATCH($C146,tblMoveTypes[Movement],0)),"?")="Yes","Orders  ","")&amp;IF(IFERROR(INDEX(tblMoveTypes[Courier?],MATCH($C146,tblMoveTypes[Movement],0)),"?")="Yes","Courier  ","")&amp;IF(IFERROR(INDEX(tblMoveTypes[Reason?],MATCH($C146,tblMoveTypes[Movement],0)),"?")="Yes","Reason",""),"unknown movement"))</f>
        <v>OUT   fill: Out  Orders  Courier  </v>
      </c>
      <c r="E146" s="31"/>
      <c r="F146" s="33"/>
      <c r="G146" s="33" t="n">
        <v>101</v>
      </c>
      <c r="H146" s="33" t="n">
        <v>41</v>
      </c>
      <c r="I146" s="31" t="s">
        <v>76</v>
      </c>
      <c r="J146" s="31"/>
      <c r="K146" s="31"/>
      <c r="L146" s="31"/>
      <c r="M146" s="34" t="str">
        <f aca="false">IF($E146="","",IFERROR(INDEX(tblItems[Item Code],MATCH($E146,tblItems[Item Name],0)),"?"))</f>
        <v/>
      </c>
      <c r="N146" s="34" t="str">
        <f aca="false">IF($B146="","",IFERROR(INDEX(tblShipment[Market],MATCH($B146,tblShipment[Shipment No],0)),"?"))</f>
        <v>Qatar</v>
      </c>
      <c r="O146" s="35" t="n">
        <f aca="false">N($F146)+N($G146)</f>
        <v>101</v>
      </c>
      <c r="P146" s="34" t="str">
        <f aca="false">IF($A146="","",IF($L146="Yes","VOID",IF(COUNTIFS(tblMoveTypes[Movement],$C146)=0,"Unknown movement",IF(COUNTIF(tblShipment[Shipment No],$B146)=0,"Unknown shipment",IF(AND(IFERROR(INDEX(tblMoveTypes[Item?],MATCH($C146,tblMoveTypes[Movement],0)),"?")="Yes",$E146=""),"Item needed",IF(AND(IFERROR(INDEX(tblMoveTypes[Item?],MATCH($C146,tblMoveTypes[Movement],0)),"?")="No",$E146&lt;&gt;""),"Leave Item blank",IF(AND(IFERROR(INDEX(tblMoveTypes[In / Out],MATCH($C146,tblMoveTypes[Movement],0)),"?")="IN",$G146&lt;&gt;""),"Use the In column, not Out",IF(AND(IFERROR(INDEX(tblMoveTypes[In / Out],MATCH($C146,tblMoveTypes[Movement],0)),"?")="OUT",$F146&lt;&gt;""),"Use the Out column, not In",IF(AND(IFERROR(INDEX(tblMoveTypes[Qty?],MATCH($C146,tblMoveTypes[Movement],0)),"?")="Yes",N($F146)+N($G146)&lt;=0),"Qty needed",IF(AND(IFERROR(INDEX(tblMoveTypes[Qty?],MATCH($C146,tblMoveTypes[Movement],0)),"?")="No",N($F146)+N($G146)&gt;0),"Leave In and Out blank",IF(AND(IFERROR(INDEX(tblMoveTypes[Courier?],MATCH($C146,tblMoveTypes[Movement],0)),"?")="Yes",$I146=""),"Courier needed",IF(AND(IFERROR(INDEX(tblMoveTypes[Courier?],MATCH($C146,tblMoveTypes[Movement],0)),"?")="No",$I146&lt;&gt;""),"Leave Courier blank",IF(AND(IFERROR(INDEX(tblMoveTypes[Orders?],MATCH($C146,tblMoveTypes[Movement],0)),"?")="Yes",$H146=""),"Orders needed",IF(AND(IFERROR(INDEX(tblMoveTypes[Orders?],MATCH($C146,tblMoveTypes[Movement],0)),"?")="No",$H146&lt;&gt;""),"Leave Orders blank",IF(AND(IFERROR(INDEX(tblMoveTypes[Reason?],MATCH($C146,tblMoveTypes[Movement],0)),"?")="Yes",$J146=""),"Reason needed",IF($A146&lt;_xlfn.MINIFS(tblShipment[Arrival Date],tblShipment[Shipment No],$B146),"Date before arrival",IF(AND($E146&lt;&gt;"",COUNTIFS(tblShipment[Shipment No],$B146,tblShipment[Item Name],$E146)=0),"Item not in this shipment","OK")))))))))))))))))</f>
        <v>OK</v>
      </c>
    </row>
    <row r="147" customFormat="false" ht="15" hidden="false" customHeight="false" outlineLevel="0" collapsed="false">
      <c r="A147" s="32" t="n">
        <v>46236</v>
      </c>
      <c r="B147" s="31" t="s">
        <v>161</v>
      </c>
      <c r="C147" s="31" t="s">
        <v>120</v>
      </c>
      <c r="D147" s="34" t="str">
        <f aca="false">IF($C147="","",IFERROR(IF(IFERROR(INDEX(tblMoveTypes[In / Out],MATCH($C147,tblMoveTypes[Movement],0)),"?")="IN","IN   ",IF(IFERROR(INDEX(tblMoveTypes[In / Out],MATCH($C147,tblMoveTypes[Movement],0)),"?")="OUT","OUT   ","--   "))&amp;"fill: "&amp;IF(IFERROR(INDEX(tblMoveTypes[Item?],MATCH($C147,tblMoveTypes[Movement],0)),"?")="Yes","Item  ","")&amp;IF(AND(IFERROR(INDEX(tblMoveTypes[Qty?],MATCH($C147,tblMoveTypes[Movement],0)),"?")="Yes",IFERROR(INDEX(tblMoveTypes[In / Out],MATCH($C147,tblMoveTypes[Movement],0)),"?")="IN"),"In  ","")&amp;IF(AND(IFERROR(INDEX(tblMoveTypes[Qty?],MATCH($C147,tblMoveTypes[Movement],0)),"?")="Yes",IFERROR(INDEX(tblMoveTypes[In / Out],MATCH($C147,tblMoveTypes[Movement],0)),"?")="OUT"),"Out  ","")&amp;IF(IFERROR(INDEX(tblMoveTypes[Orders?],MATCH($C147,tblMoveTypes[Movement],0)),"?")="Yes","Orders  ","")&amp;IF(IFERROR(INDEX(tblMoveTypes[Courier?],MATCH($C147,tblMoveTypes[Movement],0)),"?")="Yes","Courier  ","")&amp;IF(IFERROR(INDEX(tblMoveTypes[Reason?],MATCH($C147,tblMoveTypes[Movement],0)),"?")="Yes","Reason",""),"unknown movement"))</f>
        <v>IN   fill: In  Orders  Courier  Reason</v>
      </c>
      <c r="E147" s="31"/>
      <c r="F147" s="33" t="n">
        <v>13</v>
      </c>
      <c r="G147" s="33"/>
      <c r="H147" s="33" t="n">
        <v>1</v>
      </c>
      <c r="I147" s="31" t="s">
        <v>76</v>
      </c>
      <c r="J147" s="31" t="s">
        <v>129</v>
      </c>
      <c r="K147" s="31"/>
      <c r="L147" s="31"/>
      <c r="M147" s="34" t="str">
        <f aca="false">IF($E147="","",IFERROR(INDEX(tblItems[Item Code],MATCH($E147,tblItems[Item Name],0)),"?"))</f>
        <v/>
      </c>
      <c r="N147" s="34" t="str">
        <f aca="false">IF($B147="","",IFERROR(INDEX(tblShipment[Market],MATCH($B147,tblShipment[Shipment No],0)),"?"))</f>
        <v>Qatar</v>
      </c>
      <c r="O147" s="35" t="n">
        <f aca="false">N($F147)+N($G147)</f>
        <v>13</v>
      </c>
      <c r="P147" s="34" t="str">
        <f aca="false">IF($A147="","",IF($L147="Yes","VOID",IF(COUNTIFS(tblMoveTypes[Movement],$C147)=0,"Unknown movement",IF(COUNTIF(tblShipment[Shipment No],$B147)=0,"Unknown shipment",IF(AND(IFERROR(INDEX(tblMoveTypes[Item?],MATCH($C147,tblMoveTypes[Movement],0)),"?")="Yes",$E147=""),"Item needed",IF(AND(IFERROR(INDEX(tblMoveTypes[Item?],MATCH($C147,tblMoveTypes[Movement],0)),"?")="No",$E147&lt;&gt;""),"Leave Item blank",IF(AND(IFERROR(INDEX(tblMoveTypes[In / Out],MATCH($C147,tblMoveTypes[Movement],0)),"?")="IN",$G147&lt;&gt;""),"Use the In column, not Out",IF(AND(IFERROR(INDEX(tblMoveTypes[In / Out],MATCH($C147,tblMoveTypes[Movement],0)),"?")="OUT",$F147&lt;&gt;""),"Use the Out column, not In",IF(AND(IFERROR(INDEX(tblMoveTypes[Qty?],MATCH($C147,tblMoveTypes[Movement],0)),"?")="Yes",N($F147)+N($G147)&lt;=0),"Qty needed",IF(AND(IFERROR(INDEX(tblMoveTypes[Qty?],MATCH($C147,tblMoveTypes[Movement],0)),"?")="No",N($F147)+N($G147)&gt;0),"Leave In and Out blank",IF(AND(IFERROR(INDEX(tblMoveTypes[Courier?],MATCH($C147,tblMoveTypes[Movement],0)),"?")="Yes",$I147=""),"Courier needed",IF(AND(IFERROR(INDEX(tblMoveTypes[Courier?],MATCH($C147,tblMoveTypes[Movement],0)),"?")="No",$I147&lt;&gt;""),"Leave Courier blank",IF(AND(IFERROR(INDEX(tblMoveTypes[Orders?],MATCH($C147,tblMoveTypes[Movement],0)),"?")="Yes",$H147=""),"Orders needed",IF(AND(IFERROR(INDEX(tblMoveTypes[Orders?],MATCH($C147,tblMoveTypes[Movement],0)),"?")="No",$H147&lt;&gt;""),"Leave Orders blank",IF(AND(IFERROR(INDEX(tblMoveTypes[Reason?],MATCH($C147,tblMoveTypes[Movement],0)),"?")="Yes",$J147=""),"Reason needed",IF($A147&lt;_xlfn.MINIFS(tblShipment[Arrival Date],tblShipment[Shipment No],$B147),"Date before arrival",IF(AND($E147&lt;&gt;"",COUNTIFS(tblShipment[Shipment No],$B147,tblShipment[Item Name],$E147)=0),"Item not in this shipment","OK")))))))))))))))))</f>
        <v>OK</v>
      </c>
    </row>
    <row r="148" customFormat="false" ht="15" hidden="false" customHeight="false" outlineLevel="0" collapsed="false">
      <c r="A148" s="32" t="n">
        <v>46236</v>
      </c>
      <c r="B148" s="31" t="s">
        <v>161</v>
      </c>
      <c r="C148" s="31" t="s">
        <v>125</v>
      </c>
      <c r="D148" s="34" t="str">
        <f aca="false">IF($C148="","",IFERROR(IF(IFERROR(INDEX(tblMoveTypes[In / Out],MATCH($C148,tblMoveTypes[Movement],0)),"?")="IN","IN   ",IF(IFERROR(INDEX(tblMoveTypes[In / Out],MATCH($C148,tblMoveTypes[Movement],0)),"?")="OUT","OUT   ","--   "))&amp;"fill: "&amp;IF(IFERROR(INDEX(tblMoveTypes[Item?],MATCH($C148,tblMoveTypes[Movement],0)),"?")="Yes","Item  ","")&amp;IF(AND(IFERROR(INDEX(tblMoveTypes[Qty?],MATCH($C148,tblMoveTypes[Movement],0)),"?")="Yes",IFERROR(INDEX(tblMoveTypes[In / Out],MATCH($C148,tblMoveTypes[Movement],0)),"?")="IN"),"In  ","")&amp;IF(AND(IFERROR(INDEX(tblMoveTypes[Qty?],MATCH($C148,tblMoveTypes[Movement],0)),"?")="Yes",IFERROR(INDEX(tblMoveTypes[In / Out],MATCH($C148,tblMoveTypes[Movement],0)),"?")="OUT"),"Out  ","")&amp;IF(IFERROR(INDEX(tblMoveTypes[Orders?],MATCH($C148,tblMoveTypes[Movement],0)),"?")="Yes","Orders  ","")&amp;IF(IFERROR(INDEX(tblMoveTypes[Courier?],MATCH($C148,tblMoveTypes[Movement],0)),"?")="Yes","Courier  ","")&amp;IF(IFERROR(INDEX(tblMoveTypes[Reason?],MATCH($C148,tblMoveTypes[Movement],0)),"?")="Yes","Reason",""),"unknown movement"))</f>
        <v>IN   fill: Item  In  </v>
      </c>
      <c r="E148" s="31" t="s">
        <v>148</v>
      </c>
      <c r="F148" s="33" t="n">
        <v>9</v>
      </c>
      <c r="G148" s="33"/>
      <c r="H148" s="33"/>
      <c r="I148" s="31"/>
      <c r="J148" s="31"/>
      <c r="K148" s="31"/>
      <c r="L148" s="31"/>
      <c r="M148" s="34" t="str">
        <f aca="false">IF($E148="","",IFERROR(INDEX(tblItems[Item Code],MATCH($E148,tblItems[Item Name],0)),"?"))</f>
        <v>EG-FG-MNG-99-02-01-01</v>
      </c>
      <c r="N148" s="34" t="str">
        <f aca="false">IF($B148="","",IFERROR(INDEX(tblShipment[Market],MATCH($B148,tblShipment[Shipment No],0)),"?"))</f>
        <v>Qatar</v>
      </c>
      <c r="O148" s="35" t="n">
        <f aca="false">N($F148)+N($G148)</f>
        <v>9</v>
      </c>
      <c r="P148" s="34" t="str">
        <f aca="false">IF($A148="","",IF($L148="Yes","VOID",IF(COUNTIFS(tblMoveTypes[Movement],$C148)=0,"Unknown movement",IF(COUNTIF(tblShipment[Shipment No],$B148)=0,"Unknown shipment",IF(AND(IFERROR(INDEX(tblMoveTypes[Item?],MATCH($C148,tblMoveTypes[Movement],0)),"?")="Yes",$E148=""),"Item needed",IF(AND(IFERROR(INDEX(tblMoveTypes[Item?],MATCH($C148,tblMoveTypes[Movement],0)),"?")="No",$E148&lt;&gt;""),"Leave Item blank",IF(AND(IFERROR(INDEX(tblMoveTypes[In / Out],MATCH($C148,tblMoveTypes[Movement],0)),"?")="IN",$G148&lt;&gt;""),"Use the In column, not Out",IF(AND(IFERROR(INDEX(tblMoveTypes[In / Out],MATCH($C148,tblMoveTypes[Movement],0)),"?")="OUT",$F148&lt;&gt;""),"Use the Out column, not In",IF(AND(IFERROR(INDEX(tblMoveTypes[Qty?],MATCH($C148,tblMoveTypes[Movement],0)),"?")="Yes",N($F148)+N($G148)&lt;=0),"Qty needed",IF(AND(IFERROR(INDEX(tblMoveTypes[Qty?],MATCH($C148,tblMoveTypes[Movement],0)),"?")="No",N($F148)+N($G148)&gt;0),"Leave In and Out blank",IF(AND(IFERROR(INDEX(tblMoveTypes[Courier?],MATCH($C148,tblMoveTypes[Movement],0)),"?")="Yes",$I148=""),"Courier needed",IF(AND(IFERROR(INDEX(tblMoveTypes[Courier?],MATCH($C148,tblMoveTypes[Movement],0)),"?")="No",$I148&lt;&gt;""),"Leave Courier blank",IF(AND(IFERROR(INDEX(tblMoveTypes[Orders?],MATCH($C148,tblMoveTypes[Movement],0)),"?")="Yes",$H148=""),"Orders needed",IF(AND(IFERROR(INDEX(tblMoveTypes[Orders?],MATCH($C148,tblMoveTypes[Movement],0)),"?")="No",$H148&lt;&gt;""),"Leave Orders blank",IF(AND(IFERROR(INDEX(tblMoveTypes[Reason?],MATCH($C148,tblMoveTypes[Movement],0)),"?")="Yes",$J148=""),"Reason needed",IF($A148&lt;_xlfn.MINIFS(tblShipment[Arrival Date],tblShipment[Shipment No],$B148),"Date before arrival",IF(AND($E148&lt;&gt;"",COUNTIFS(tblShipment[Shipment No],$B148,tblShipment[Item Name],$E148)=0),"Item not in this shipment","OK")))))))))))))))))</f>
        <v>OK</v>
      </c>
    </row>
    <row r="149" customFormat="false" ht="15" hidden="false" customHeight="false" outlineLevel="0" collapsed="false">
      <c r="A149" s="32" t="n">
        <v>46236</v>
      </c>
      <c r="B149" s="31" t="s">
        <v>161</v>
      </c>
      <c r="C149" s="31" t="s">
        <v>130</v>
      </c>
      <c r="D149" s="34" t="str">
        <f aca="false">IF($C149="","",IFERROR(IF(IFERROR(INDEX(tblMoveTypes[In / Out],MATCH($C149,tblMoveTypes[Movement],0)),"?")="IN","IN   ",IF(IFERROR(INDEX(tblMoveTypes[In / Out],MATCH($C149,tblMoveTypes[Movement],0)),"?")="OUT","OUT   ","--   "))&amp;"fill: "&amp;IF(IFERROR(INDEX(tblMoveTypes[Item?],MATCH($C149,tblMoveTypes[Movement],0)),"?")="Yes","Item  ","")&amp;IF(AND(IFERROR(INDEX(tblMoveTypes[Qty?],MATCH($C149,tblMoveTypes[Movement],0)),"?")="Yes",IFERROR(INDEX(tblMoveTypes[In / Out],MATCH($C149,tblMoveTypes[Movement],0)),"?")="IN"),"In  ","")&amp;IF(AND(IFERROR(INDEX(tblMoveTypes[Qty?],MATCH($C149,tblMoveTypes[Movement],0)),"?")="Yes",IFERROR(INDEX(tblMoveTypes[In / Out],MATCH($C149,tblMoveTypes[Movement],0)),"?")="OUT"),"Out  ","")&amp;IF(IFERROR(INDEX(tblMoveTypes[Orders?],MATCH($C149,tblMoveTypes[Movement],0)),"?")="Yes","Orders  ","")&amp;IF(IFERROR(INDEX(tblMoveTypes[Courier?],MATCH($C149,tblMoveTypes[Movement],0)),"?")="Yes","Courier  ","")&amp;IF(IFERROR(INDEX(tblMoveTypes[Reason?],MATCH($C149,tblMoveTypes[Movement],0)),"?")="Yes","Reason",""),"unknown movement"))</f>
        <v>OUT   fill: Item  Out  Reason</v>
      </c>
      <c r="E149" s="31" t="s">
        <v>148</v>
      </c>
      <c r="F149" s="33"/>
      <c r="G149" s="33" t="n">
        <v>4</v>
      </c>
      <c r="H149" s="33"/>
      <c r="I149" s="31"/>
      <c r="J149" s="31" t="s">
        <v>86</v>
      </c>
      <c r="K149" s="31"/>
      <c r="L149" s="31"/>
      <c r="M149" s="34" t="str">
        <f aca="false">IF($E149="","",IFERROR(INDEX(tblItems[Item Code],MATCH($E149,tblItems[Item Name],0)),"?"))</f>
        <v>EG-FG-MNG-99-02-01-01</v>
      </c>
      <c r="N149" s="34" t="str">
        <f aca="false">IF($B149="","",IFERROR(INDEX(tblShipment[Market],MATCH($B149,tblShipment[Shipment No],0)),"?"))</f>
        <v>Qatar</v>
      </c>
      <c r="O149" s="35" t="n">
        <f aca="false">N($F149)+N($G149)</f>
        <v>4</v>
      </c>
      <c r="P149" s="34" t="str">
        <f aca="false">IF($A149="","",IF($L149="Yes","VOID",IF(COUNTIFS(tblMoveTypes[Movement],$C149)=0,"Unknown movement",IF(COUNTIF(tblShipment[Shipment No],$B149)=0,"Unknown shipment",IF(AND(IFERROR(INDEX(tblMoveTypes[Item?],MATCH($C149,tblMoveTypes[Movement],0)),"?")="Yes",$E149=""),"Item needed",IF(AND(IFERROR(INDEX(tblMoveTypes[Item?],MATCH($C149,tblMoveTypes[Movement],0)),"?")="No",$E149&lt;&gt;""),"Leave Item blank",IF(AND(IFERROR(INDEX(tblMoveTypes[In / Out],MATCH($C149,tblMoveTypes[Movement],0)),"?")="IN",$G149&lt;&gt;""),"Use the In column, not Out",IF(AND(IFERROR(INDEX(tblMoveTypes[In / Out],MATCH($C149,tblMoveTypes[Movement],0)),"?")="OUT",$F149&lt;&gt;""),"Use the Out column, not In",IF(AND(IFERROR(INDEX(tblMoveTypes[Qty?],MATCH($C149,tblMoveTypes[Movement],0)),"?")="Yes",N($F149)+N($G149)&lt;=0),"Qty needed",IF(AND(IFERROR(INDEX(tblMoveTypes[Qty?],MATCH($C149,tblMoveTypes[Movement],0)),"?")="No",N($F149)+N($G149)&gt;0),"Leave In and Out blank",IF(AND(IFERROR(INDEX(tblMoveTypes[Courier?],MATCH($C149,tblMoveTypes[Movement],0)),"?")="Yes",$I149=""),"Courier needed",IF(AND(IFERROR(INDEX(tblMoveTypes[Courier?],MATCH($C149,tblMoveTypes[Movement],0)),"?")="No",$I149&lt;&gt;""),"Leave Courier blank",IF(AND(IFERROR(INDEX(tblMoveTypes[Orders?],MATCH($C149,tblMoveTypes[Movement],0)),"?")="Yes",$H149=""),"Orders needed",IF(AND(IFERROR(INDEX(tblMoveTypes[Orders?],MATCH($C149,tblMoveTypes[Movement],0)),"?")="No",$H149&lt;&gt;""),"Leave Orders blank",IF(AND(IFERROR(INDEX(tblMoveTypes[Reason?],MATCH($C149,tblMoveTypes[Movement],0)),"?")="Yes",$J149=""),"Reason needed",IF($A149&lt;_xlfn.MINIFS(tblShipment[Arrival Date],tblShipment[Shipment No],$B149),"Date before arrival",IF(AND($E149&lt;&gt;"",COUNTIFS(tblShipment[Shipment No],$B149,tblShipment[Item Name],$E149)=0),"Item not in this shipment","OK")))))))))))))))))</f>
        <v>OK</v>
      </c>
    </row>
    <row r="150" customFormat="false" ht="15" hidden="false" customHeight="false" outlineLevel="0" collapsed="false">
      <c r="A150" s="32" t="n">
        <v>46237</v>
      </c>
      <c r="B150" s="31" t="s">
        <v>161</v>
      </c>
      <c r="C150" s="31" t="s">
        <v>98</v>
      </c>
      <c r="D150" s="34" t="str">
        <f aca="false">IF($C150="","",IFERROR(IF(IFERROR(INDEX(tblMoveTypes[In / Out],MATCH($C150,tblMoveTypes[Movement],0)),"?")="IN","IN   ",IF(IFERROR(INDEX(tblMoveTypes[In / Out],MATCH($C150,tblMoveTypes[Movement],0)),"?")="OUT","OUT   ","--   "))&amp;"fill: "&amp;IF(IFERROR(INDEX(tblMoveTypes[Item?],MATCH($C150,tblMoveTypes[Movement],0)),"?")="Yes","Item  ","")&amp;IF(AND(IFERROR(INDEX(tblMoveTypes[Qty?],MATCH($C150,tblMoveTypes[Movement],0)),"?")="Yes",IFERROR(INDEX(tblMoveTypes[In / Out],MATCH($C150,tblMoveTypes[Movement],0)),"?")="IN"),"In  ","")&amp;IF(AND(IFERROR(INDEX(tblMoveTypes[Qty?],MATCH($C150,tblMoveTypes[Movement],0)),"?")="Yes",IFERROR(INDEX(tblMoveTypes[In / Out],MATCH($C150,tblMoveTypes[Movement],0)),"?")="OUT"),"Out  ","")&amp;IF(IFERROR(INDEX(tblMoveTypes[Orders?],MATCH($C150,tblMoveTypes[Movement],0)),"?")="Yes","Orders  ","")&amp;IF(IFERROR(INDEX(tblMoveTypes[Courier?],MATCH($C150,tblMoveTypes[Movement],0)),"?")="Yes","Courier  ","")&amp;IF(IFERROR(INDEX(tblMoveTypes[Reason?],MATCH($C150,tblMoveTypes[Movement],0)),"?")="Yes","Reason",""),"unknown movement"))</f>
        <v>OUT   fill: Item  Out  Courier  </v>
      </c>
      <c r="E150" s="31" t="s">
        <v>148</v>
      </c>
      <c r="F150" s="33"/>
      <c r="G150" s="33" t="n">
        <v>9</v>
      </c>
      <c r="H150" s="33"/>
      <c r="I150" s="31" t="s">
        <v>76</v>
      </c>
      <c r="J150" s="31"/>
      <c r="K150" s="31"/>
      <c r="L150" s="31"/>
      <c r="M150" s="34" t="str">
        <f aca="false">IF($E150="","",IFERROR(INDEX(tblItems[Item Code],MATCH($E150,tblItems[Item Name],0)),"?"))</f>
        <v>EG-FG-MNG-99-02-01-01</v>
      </c>
      <c r="N150" s="34" t="str">
        <f aca="false">IF($B150="","",IFERROR(INDEX(tblShipment[Market],MATCH($B150,tblShipment[Shipment No],0)),"?"))</f>
        <v>Qatar</v>
      </c>
      <c r="O150" s="35" t="n">
        <f aca="false">N($F150)+N($G150)</f>
        <v>9</v>
      </c>
      <c r="P150" s="34" t="str">
        <f aca="false">IF($A150="","",IF($L150="Yes","VOID",IF(COUNTIFS(tblMoveTypes[Movement],$C150)=0,"Unknown movement",IF(COUNTIF(tblShipment[Shipment No],$B150)=0,"Unknown shipment",IF(AND(IFERROR(INDEX(tblMoveTypes[Item?],MATCH($C150,tblMoveTypes[Movement],0)),"?")="Yes",$E150=""),"Item needed",IF(AND(IFERROR(INDEX(tblMoveTypes[Item?],MATCH($C150,tblMoveTypes[Movement],0)),"?")="No",$E150&lt;&gt;""),"Leave Item blank",IF(AND(IFERROR(INDEX(tblMoveTypes[In / Out],MATCH($C150,tblMoveTypes[Movement],0)),"?")="IN",$G150&lt;&gt;""),"Use the In column, not Out",IF(AND(IFERROR(INDEX(tblMoveTypes[In / Out],MATCH($C150,tblMoveTypes[Movement],0)),"?")="OUT",$F150&lt;&gt;""),"Use the Out column, not In",IF(AND(IFERROR(INDEX(tblMoveTypes[Qty?],MATCH($C150,tblMoveTypes[Movement],0)),"?")="Yes",N($F150)+N($G150)&lt;=0),"Qty needed",IF(AND(IFERROR(INDEX(tblMoveTypes[Qty?],MATCH($C150,tblMoveTypes[Movement],0)),"?")="No",N($F150)+N($G150)&gt;0),"Leave In and Out blank",IF(AND(IFERROR(INDEX(tblMoveTypes[Courier?],MATCH($C150,tblMoveTypes[Movement],0)),"?")="Yes",$I150=""),"Courier needed",IF(AND(IFERROR(INDEX(tblMoveTypes[Courier?],MATCH($C150,tblMoveTypes[Movement],0)),"?")="No",$I150&lt;&gt;""),"Leave Courier blank",IF(AND(IFERROR(INDEX(tblMoveTypes[Orders?],MATCH($C150,tblMoveTypes[Movement],0)),"?")="Yes",$H150=""),"Orders needed",IF(AND(IFERROR(INDEX(tblMoveTypes[Orders?],MATCH($C150,tblMoveTypes[Movement],0)),"?")="No",$H150&lt;&gt;""),"Leave Orders blank",IF(AND(IFERROR(INDEX(tblMoveTypes[Reason?],MATCH($C150,tblMoveTypes[Movement],0)),"?")="Yes",$J150=""),"Reason needed",IF($A150&lt;_xlfn.MINIFS(tblShipment[Arrival Date],tblShipment[Shipment No],$B150),"Date before arrival",IF(AND($E150&lt;&gt;"",COUNTIFS(tblShipment[Shipment No],$B150,tblShipment[Item Name],$E150)=0),"Item not in this shipment","OK")))))))))))))))))</f>
        <v>OK</v>
      </c>
    </row>
    <row r="151" customFormat="false" ht="15" hidden="false" customHeight="false" outlineLevel="0" collapsed="false">
      <c r="A151" s="32" t="n">
        <v>46237</v>
      </c>
      <c r="B151" s="31" t="s">
        <v>161</v>
      </c>
      <c r="C151" s="31" t="s">
        <v>110</v>
      </c>
      <c r="D151" s="34" t="str">
        <f aca="false">IF($C151="","",IFERROR(IF(IFERROR(INDEX(tblMoveTypes[In / Out],MATCH($C151,tblMoveTypes[Movement],0)),"?")="IN","IN   ",IF(IFERROR(INDEX(tblMoveTypes[In / Out],MATCH($C151,tblMoveTypes[Movement],0)),"?")="OUT","OUT   ","--   "))&amp;"fill: "&amp;IF(IFERROR(INDEX(tblMoveTypes[Item?],MATCH($C151,tblMoveTypes[Movement],0)),"?")="Yes","Item  ","")&amp;IF(AND(IFERROR(INDEX(tblMoveTypes[Qty?],MATCH($C151,tblMoveTypes[Movement],0)),"?")="Yes",IFERROR(INDEX(tblMoveTypes[In / Out],MATCH($C151,tblMoveTypes[Movement],0)),"?")="IN"),"In  ","")&amp;IF(AND(IFERROR(INDEX(tblMoveTypes[Qty?],MATCH($C151,tblMoveTypes[Movement],0)),"?")="Yes",IFERROR(INDEX(tblMoveTypes[In / Out],MATCH($C151,tblMoveTypes[Movement],0)),"?")="OUT"),"Out  ","")&amp;IF(IFERROR(INDEX(tblMoveTypes[Orders?],MATCH($C151,tblMoveTypes[Movement],0)),"?")="Yes","Orders  ","")&amp;IF(IFERROR(INDEX(tblMoveTypes[Courier?],MATCH($C151,tblMoveTypes[Movement],0)),"?")="Yes","Courier  ","")&amp;IF(IFERROR(INDEX(tblMoveTypes[Reason?],MATCH($C151,tblMoveTypes[Movement],0)),"?")="Yes","Reason",""),"unknown movement"))</f>
        <v>--   fill: Orders  Courier  </v>
      </c>
      <c r="E151" s="31"/>
      <c r="F151" s="33"/>
      <c r="G151" s="33"/>
      <c r="H151" s="33" t="n">
        <v>4</v>
      </c>
      <c r="I151" s="31" t="s">
        <v>76</v>
      </c>
      <c r="J151" s="31"/>
      <c r="K151" s="31"/>
      <c r="L151" s="31"/>
      <c r="M151" s="34" t="str">
        <f aca="false">IF($E151="","",IFERROR(INDEX(tblItems[Item Code],MATCH($E151,tblItems[Item Name],0)),"?"))</f>
        <v/>
      </c>
      <c r="N151" s="34" t="str">
        <f aca="false">IF($B151="","",IFERROR(INDEX(tblShipment[Market],MATCH($B151,tblShipment[Shipment No],0)),"?"))</f>
        <v>Qatar</v>
      </c>
      <c r="O151" s="35" t="n">
        <f aca="false">N($F151)+N($G151)</f>
        <v>0</v>
      </c>
      <c r="P151" s="34" t="str">
        <f aca="false">IF($A151="","",IF($L151="Yes","VOID",IF(COUNTIFS(tblMoveTypes[Movement],$C151)=0,"Unknown movement",IF(COUNTIF(tblShipment[Shipment No],$B151)=0,"Unknown shipment",IF(AND(IFERROR(INDEX(tblMoveTypes[Item?],MATCH($C151,tblMoveTypes[Movement],0)),"?")="Yes",$E151=""),"Item needed",IF(AND(IFERROR(INDEX(tblMoveTypes[Item?],MATCH($C151,tblMoveTypes[Movement],0)),"?")="No",$E151&lt;&gt;""),"Leave Item blank",IF(AND(IFERROR(INDEX(tblMoveTypes[In / Out],MATCH($C151,tblMoveTypes[Movement],0)),"?")="IN",$G151&lt;&gt;""),"Use the In column, not Out",IF(AND(IFERROR(INDEX(tblMoveTypes[In / Out],MATCH($C151,tblMoveTypes[Movement],0)),"?")="OUT",$F151&lt;&gt;""),"Use the Out column, not In",IF(AND(IFERROR(INDEX(tblMoveTypes[Qty?],MATCH($C151,tblMoveTypes[Movement],0)),"?")="Yes",N($F151)+N($G151)&lt;=0),"Qty needed",IF(AND(IFERROR(INDEX(tblMoveTypes[Qty?],MATCH($C151,tblMoveTypes[Movement],0)),"?")="No",N($F151)+N($G151)&gt;0),"Leave In and Out blank",IF(AND(IFERROR(INDEX(tblMoveTypes[Courier?],MATCH($C151,tblMoveTypes[Movement],0)),"?")="Yes",$I151=""),"Courier needed",IF(AND(IFERROR(INDEX(tblMoveTypes[Courier?],MATCH($C151,tblMoveTypes[Movement],0)),"?")="No",$I151&lt;&gt;""),"Leave Courier blank",IF(AND(IFERROR(INDEX(tblMoveTypes[Orders?],MATCH($C151,tblMoveTypes[Movement],0)),"?")="Yes",$H151=""),"Orders needed",IF(AND(IFERROR(INDEX(tblMoveTypes[Orders?],MATCH($C151,tblMoveTypes[Movement],0)),"?")="No",$H151&lt;&gt;""),"Leave Orders blank",IF(AND(IFERROR(INDEX(tblMoveTypes[Reason?],MATCH($C151,tblMoveTypes[Movement],0)),"?")="Yes",$J151=""),"Reason needed",IF($A151&lt;_xlfn.MINIFS(tblShipment[Arrival Date],tblShipment[Shipment No],$B151),"Date before arrival",IF(AND($E151&lt;&gt;"",COUNTIFS(tblShipment[Shipment No],$B151,tblShipment[Item Name],$E151)=0),"Item not in this shipment","OK")))))))))))))))))</f>
        <v>OK</v>
      </c>
    </row>
    <row r="152" customFormat="false" ht="15" hidden="false" customHeight="false" outlineLevel="0" collapsed="false">
      <c r="A152" s="32" t="n">
        <v>46237</v>
      </c>
      <c r="B152" s="31" t="s">
        <v>161</v>
      </c>
      <c r="C152" s="31" t="s">
        <v>115</v>
      </c>
      <c r="D152" s="34" t="str">
        <f aca="false">IF($C152="","",IFERROR(IF(IFERROR(INDEX(tblMoveTypes[In / Out],MATCH($C152,tblMoveTypes[Movement],0)),"?")="IN","IN   ",IF(IFERROR(INDEX(tblMoveTypes[In / Out],MATCH($C152,tblMoveTypes[Movement],0)),"?")="OUT","OUT   ","--   "))&amp;"fill: "&amp;IF(IFERROR(INDEX(tblMoveTypes[Item?],MATCH($C152,tblMoveTypes[Movement],0)),"?")="Yes","Item  ","")&amp;IF(AND(IFERROR(INDEX(tblMoveTypes[Qty?],MATCH($C152,tblMoveTypes[Movement],0)),"?")="Yes",IFERROR(INDEX(tblMoveTypes[In / Out],MATCH($C152,tblMoveTypes[Movement],0)),"?")="IN"),"In  ","")&amp;IF(AND(IFERROR(INDEX(tblMoveTypes[Qty?],MATCH($C152,tblMoveTypes[Movement],0)),"?")="Yes",IFERROR(INDEX(tblMoveTypes[In / Out],MATCH($C152,tblMoveTypes[Movement],0)),"?")="OUT"),"Out  ","")&amp;IF(IFERROR(INDEX(tblMoveTypes[Orders?],MATCH($C152,tblMoveTypes[Movement],0)),"?")="Yes","Orders  ","")&amp;IF(IFERROR(INDEX(tblMoveTypes[Courier?],MATCH($C152,tblMoveTypes[Movement],0)),"?")="Yes","Courier  ","")&amp;IF(IFERROR(INDEX(tblMoveTypes[Reason?],MATCH($C152,tblMoveTypes[Movement],0)),"?")="Yes","Reason",""),"unknown movement"))</f>
        <v>OUT   fill: Out  Orders  Courier  </v>
      </c>
      <c r="E152" s="31"/>
      <c r="F152" s="33"/>
      <c r="G152" s="33" t="n">
        <v>9</v>
      </c>
      <c r="H152" s="33" t="n">
        <v>4</v>
      </c>
      <c r="I152" s="31" t="s">
        <v>76</v>
      </c>
      <c r="J152" s="31"/>
      <c r="K152" s="31"/>
      <c r="L152" s="31"/>
      <c r="M152" s="34" t="str">
        <f aca="false">IF($E152="","",IFERROR(INDEX(tblItems[Item Code],MATCH($E152,tblItems[Item Name],0)),"?"))</f>
        <v/>
      </c>
      <c r="N152" s="34" t="str">
        <f aca="false">IF($B152="","",IFERROR(INDEX(tblShipment[Market],MATCH($B152,tblShipment[Shipment No],0)),"?"))</f>
        <v>Qatar</v>
      </c>
      <c r="O152" s="35" t="n">
        <f aca="false">N($F152)+N($G152)</f>
        <v>9</v>
      </c>
      <c r="P152" s="34" t="str">
        <f aca="false">IF($A152="","",IF($L152="Yes","VOID",IF(COUNTIFS(tblMoveTypes[Movement],$C152)=0,"Unknown movement",IF(COUNTIF(tblShipment[Shipment No],$B152)=0,"Unknown shipment",IF(AND(IFERROR(INDEX(tblMoveTypes[Item?],MATCH($C152,tblMoveTypes[Movement],0)),"?")="Yes",$E152=""),"Item needed",IF(AND(IFERROR(INDEX(tblMoveTypes[Item?],MATCH($C152,tblMoveTypes[Movement],0)),"?")="No",$E152&lt;&gt;""),"Leave Item blank",IF(AND(IFERROR(INDEX(tblMoveTypes[In / Out],MATCH($C152,tblMoveTypes[Movement],0)),"?")="IN",$G152&lt;&gt;""),"Use the In column, not Out",IF(AND(IFERROR(INDEX(tblMoveTypes[In / Out],MATCH($C152,tblMoveTypes[Movement],0)),"?")="OUT",$F152&lt;&gt;""),"Use the Out column, not In",IF(AND(IFERROR(INDEX(tblMoveTypes[Qty?],MATCH($C152,tblMoveTypes[Movement],0)),"?")="Yes",N($F152)+N($G152)&lt;=0),"Qty needed",IF(AND(IFERROR(INDEX(tblMoveTypes[Qty?],MATCH($C152,tblMoveTypes[Movement],0)),"?")="No",N($F152)+N($G152)&gt;0),"Leave In and Out blank",IF(AND(IFERROR(INDEX(tblMoveTypes[Courier?],MATCH($C152,tblMoveTypes[Movement],0)),"?")="Yes",$I152=""),"Courier needed",IF(AND(IFERROR(INDEX(tblMoveTypes[Courier?],MATCH($C152,tblMoveTypes[Movement],0)),"?")="No",$I152&lt;&gt;""),"Leave Courier blank",IF(AND(IFERROR(INDEX(tblMoveTypes[Orders?],MATCH($C152,tblMoveTypes[Movement],0)),"?")="Yes",$H152=""),"Orders needed",IF(AND(IFERROR(INDEX(tblMoveTypes[Orders?],MATCH($C152,tblMoveTypes[Movement],0)),"?")="No",$H152&lt;&gt;""),"Leave Orders blank",IF(AND(IFERROR(INDEX(tblMoveTypes[Reason?],MATCH($C152,tblMoveTypes[Movement],0)),"?")="Yes",$J152=""),"Reason needed",IF($A152&lt;_xlfn.MINIFS(tblShipment[Arrival Date],tblShipment[Shipment No],$B152),"Date before arrival",IF(AND($E152&lt;&gt;"",COUNTIFS(tblShipment[Shipment No],$B152,tblShipment[Item Name],$E152)=0),"Item not in this shipment","OK")))))))))))))))))</f>
        <v>OK</v>
      </c>
    </row>
    <row r="153" customFormat="false" ht="15" hidden="false" customHeight="false" outlineLevel="0" collapsed="false">
      <c r="A153" s="32" t="n">
        <v>46237</v>
      </c>
      <c r="B153" s="31" t="s">
        <v>162</v>
      </c>
      <c r="C153" s="31" t="s">
        <v>79</v>
      </c>
      <c r="D153" s="34" t="str">
        <f aca="false">IF($C153="","",IFERROR(IF(IFERROR(INDEX(tblMoveTypes[In / Out],MATCH($C153,tblMoveTypes[Movement],0)),"?")="IN","IN   ",IF(IFERROR(INDEX(tblMoveTypes[In / Out],MATCH($C153,tblMoveTypes[Movement],0)),"?")="OUT","OUT   ","--   "))&amp;"fill: "&amp;IF(IFERROR(INDEX(tblMoveTypes[Item?],MATCH($C153,tblMoveTypes[Movement],0)),"?")="Yes","Item  ","")&amp;IF(AND(IFERROR(INDEX(tblMoveTypes[Qty?],MATCH($C153,tblMoveTypes[Movement],0)),"?")="Yes",IFERROR(INDEX(tblMoveTypes[In / Out],MATCH($C153,tblMoveTypes[Movement],0)),"?")="IN"),"In  ","")&amp;IF(AND(IFERROR(INDEX(tblMoveTypes[Qty?],MATCH($C153,tblMoveTypes[Movement],0)),"?")="Yes",IFERROR(INDEX(tblMoveTypes[In / Out],MATCH($C153,tblMoveTypes[Movement],0)),"?")="OUT"),"Out  ","")&amp;IF(IFERROR(INDEX(tblMoveTypes[Orders?],MATCH($C153,tblMoveTypes[Movement],0)),"?")="Yes","Orders  ","")&amp;IF(IFERROR(INDEX(tblMoveTypes[Courier?],MATCH($C153,tblMoveTypes[Movement],0)),"?")="Yes","Courier  ","")&amp;IF(IFERROR(INDEX(tblMoveTypes[Reason?],MATCH($C153,tblMoveTypes[Movement],0)),"?")="Yes","Reason",""),"unknown movement"))</f>
        <v>IN   fill: Item  In  </v>
      </c>
      <c r="E153" s="31" t="s">
        <v>72</v>
      </c>
      <c r="F153" s="33" t="n">
        <v>95</v>
      </c>
      <c r="G153" s="33"/>
      <c r="H153" s="33"/>
      <c r="I153" s="31"/>
      <c r="J153" s="31"/>
      <c r="K153" s="31"/>
      <c r="L153" s="31"/>
      <c r="M153" s="34" t="str">
        <f aca="false">IF($E153="","",IFERROR(INDEX(tblItems[Item Code],MATCH($E153,tblItems[Item Name],0)),"?"))</f>
        <v>EG-FG-MNG-05-02-01-01</v>
      </c>
      <c r="N153" s="34" t="str">
        <f aca="false">IF($B153="","",IFERROR(INDEX(tblShipment[Market],MATCH($B153,tblShipment[Shipment No],0)),"?"))</f>
        <v>Qatar</v>
      </c>
      <c r="O153" s="35" t="n">
        <f aca="false">N($F153)+N($G153)</f>
        <v>95</v>
      </c>
      <c r="P153" s="34" t="str">
        <f aca="false">IF($A153="","",IF($L153="Yes","VOID",IF(COUNTIFS(tblMoveTypes[Movement],$C153)=0,"Unknown movement",IF(COUNTIF(tblShipment[Shipment No],$B153)=0,"Unknown shipment",IF(AND(IFERROR(INDEX(tblMoveTypes[Item?],MATCH($C153,tblMoveTypes[Movement],0)),"?")="Yes",$E153=""),"Item needed",IF(AND(IFERROR(INDEX(tblMoveTypes[Item?],MATCH($C153,tblMoveTypes[Movement],0)),"?")="No",$E153&lt;&gt;""),"Leave Item blank",IF(AND(IFERROR(INDEX(tblMoveTypes[In / Out],MATCH($C153,tblMoveTypes[Movement],0)),"?")="IN",$G153&lt;&gt;""),"Use the In column, not Out",IF(AND(IFERROR(INDEX(tblMoveTypes[In / Out],MATCH($C153,tblMoveTypes[Movement],0)),"?")="OUT",$F153&lt;&gt;""),"Use the Out column, not In",IF(AND(IFERROR(INDEX(tblMoveTypes[Qty?],MATCH($C153,tblMoveTypes[Movement],0)),"?")="Yes",N($F153)+N($G153)&lt;=0),"Qty needed",IF(AND(IFERROR(INDEX(tblMoveTypes[Qty?],MATCH($C153,tblMoveTypes[Movement],0)),"?")="No",N($F153)+N($G153)&gt;0),"Leave In and Out blank",IF(AND(IFERROR(INDEX(tblMoveTypes[Courier?],MATCH($C153,tblMoveTypes[Movement],0)),"?")="Yes",$I153=""),"Courier needed",IF(AND(IFERROR(INDEX(tblMoveTypes[Courier?],MATCH($C153,tblMoveTypes[Movement],0)),"?")="No",$I153&lt;&gt;""),"Leave Courier blank",IF(AND(IFERROR(INDEX(tblMoveTypes[Orders?],MATCH($C153,tblMoveTypes[Movement],0)),"?")="Yes",$H153=""),"Orders needed",IF(AND(IFERROR(INDEX(tblMoveTypes[Orders?],MATCH($C153,tblMoveTypes[Movement],0)),"?")="No",$H153&lt;&gt;""),"Leave Orders blank",IF(AND(IFERROR(INDEX(tblMoveTypes[Reason?],MATCH($C153,tblMoveTypes[Movement],0)),"?")="Yes",$J153=""),"Reason needed",IF($A153&lt;_xlfn.MINIFS(tblShipment[Arrival Date],tblShipment[Shipment No],$B153),"Date before arrival",IF(AND($E153&lt;&gt;"",COUNTIFS(tblShipment[Shipment No],$B153,tblShipment[Item Name],$E153)=0),"Item not in this shipment","OK")))))))))))))))))</f>
        <v>OK</v>
      </c>
    </row>
    <row r="154" customFormat="false" ht="15" hidden="false" customHeight="false" outlineLevel="0" collapsed="false">
      <c r="A154" s="32" t="n">
        <v>46237</v>
      </c>
      <c r="B154" s="31" t="s">
        <v>162</v>
      </c>
      <c r="C154" s="31" t="s">
        <v>78</v>
      </c>
      <c r="D154" s="34" t="str">
        <f aca="false">IF($C154="","",IFERROR(IF(IFERROR(INDEX(tblMoveTypes[In / Out],MATCH($C154,tblMoveTypes[Movement],0)),"?")="IN","IN   ",IF(IFERROR(INDEX(tblMoveTypes[In / Out],MATCH($C154,tblMoveTypes[Movement],0)),"?")="OUT","OUT   ","--   "))&amp;"fill: "&amp;IF(IFERROR(INDEX(tblMoveTypes[Item?],MATCH($C154,tblMoveTypes[Movement],0)),"?")="Yes","Item  ","")&amp;IF(AND(IFERROR(INDEX(tblMoveTypes[Qty?],MATCH($C154,tblMoveTypes[Movement],0)),"?")="Yes",IFERROR(INDEX(tblMoveTypes[In / Out],MATCH($C154,tblMoveTypes[Movement],0)),"?")="IN"),"In  ","")&amp;IF(AND(IFERROR(INDEX(tblMoveTypes[Qty?],MATCH($C154,tblMoveTypes[Movement],0)),"?")="Yes",IFERROR(INDEX(tblMoveTypes[In / Out],MATCH($C154,tblMoveTypes[Movement],0)),"?")="OUT"),"Out  ","")&amp;IF(IFERROR(INDEX(tblMoveTypes[Orders?],MATCH($C154,tblMoveTypes[Movement],0)),"?")="Yes","Orders  ","")&amp;IF(IFERROR(INDEX(tblMoveTypes[Courier?],MATCH($C154,tblMoveTypes[Movement],0)),"?")="Yes","Courier  ","")&amp;IF(IFERROR(INDEX(tblMoveTypes[Reason?],MATCH($C154,tblMoveTypes[Movement],0)),"?")="Yes","Reason",""),"unknown movement"))</f>
        <v>OUT   fill: Item  Out  Reason</v>
      </c>
      <c r="E154" s="31" t="s">
        <v>72</v>
      </c>
      <c r="F154" s="33"/>
      <c r="G154" s="33" t="n">
        <v>1</v>
      </c>
      <c r="H154" s="33"/>
      <c r="I154" s="31"/>
      <c r="J154" s="31" t="s">
        <v>86</v>
      </c>
      <c r="K154" s="31"/>
      <c r="L154" s="31"/>
      <c r="M154" s="34" t="str">
        <f aca="false">IF($E154="","",IFERROR(INDEX(tblItems[Item Code],MATCH($E154,tblItems[Item Name],0)),"?"))</f>
        <v>EG-FG-MNG-05-02-01-01</v>
      </c>
      <c r="N154" s="34" t="str">
        <f aca="false">IF($B154="","",IFERROR(INDEX(tblShipment[Market],MATCH($B154,tblShipment[Shipment No],0)),"?"))</f>
        <v>Qatar</v>
      </c>
      <c r="O154" s="35" t="n">
        <f aca="false">N($F154)+N($G154)</f>
        <v>1</v>
      </c>
      <c r="P154" s="34" t="str">
        <f aca="false">IF($A154="","",IF($L154="Yes","VOID",IF(COUNTIFS(tblMoveTypes[Movement],$C154)=0,"Unknown movement",IF(COUNTIF(tblShipment[Shipment No],$B154)=0,"Unknown shipment",IF(AND(IFERROR(INDEX(tblMoveTypes[Item?],MATCH($C154,tblMoveTypes[Movement],0)),"?")="Yes",$E154=""),"Item needed",IF(AND(IFERROR(INDEX(tblMoveTypes[Item?],MATCH($C154,tblMoveTypes[Movement],0)),"?")="No",$E154&lt;&gt;""),"Leave Item blank",IF(AND(IFERROR(INDEX(tblMoveTypes[In / Out],MATCH($C154,tblMoveTypes[Movement],0)),"?")="IN",$G154&lt;&gt;""),"Use the In column, not Out",IF(AND(IFERROR(INDEX(tblMoveTypes[In / Out],MATCH($C154,tblMoveTypes[Movement],0)),"?")="OUT",$F154&lt;&gt;""),"Use the Out column, not In",IF(AND(IFERROR(INDEX(tblMoveTypes[Qty?],MATCH($C154,tblMoveTypes[Movement],0)),"?")="Yes",N($F154)+N($G154)&lt;=0),"Qty needed",IF(AND(IFERROR(INDEX(tblMoveTypes[Qty?],MATCH($C154,tblMoveTypes[Movement],0)),"?")="No",N($F154)+N($G154)&gt;0),"Leave In and Out blank",IF(AND(IFERROR(INDEX(tblMoveTypes[Courier?],MATCH($C154,tblMoveTypes[Movement],0)),"?")="Yes",$I154=""),"Courier needed",IF(AND(IFERROR(INDEX(tblMoveTypes[Courier?],MATCH($C154,tblMoveTypes[Movement],0)),"?")="No",$I154&lt;&gt;""),"Leave Courier blank",IF(AND(IFERROR(INDEX(tblMoveTypes[Orders?],MATCH($C154,tblMoveTypes[Movement],0)),"?")="Yes",$H154=""),"Orders needed",IF(AND(IFERROR(INDEX(tblMoveTypes[Orders?],MATCH($C154,tblMoveTypes[Movement],0)),"?")="No",$H154&lt;&gt;""),"Leave Orders blank",IF(AND(IFERROR(INDEX(tblMoveTypes[Reason?],MATCH($C154,tblMoveTypes[Movement],0)),"?")="Yes",$J154=""),"Reason needed",IF($A154&lt;_xlfn.MINIFS(tblShipment[Arrival Date],tblShipment[Shipment No],$B154),"Date before arrival",IF(AND($E154&lt;&gt;"",COUNTIFS(tblShipment[Shipment No],$B154,tblShipment[Item Name],$E154)=0),"Item not in this shipment","OK")))))))))))))))))</f>
        <v>OK</v>
      </c>
    </row>
    <row r="155" customFormat="false" ht="15" hidden="false" customHeight="false" outlineLevel="0" collapsed="false">
      <c r="A155" s="32" t="n">
        <v>46237</v>
      </c>
      <c r="B155" s="31" t="s">
        <v>162</v>
      </c>
      <c r="C155" s="31" t="s">
        <v>79</v>
      </c>
      <c r="D155" s="34" t="str">
        <f aca="false">IF($C155="","",IFERROR(IF(IFERROR(INDEX(tblMoveTypes[In / Out],MATCH($C155,tblMoveTypes[Movement],0)),"?")="IN","IN   ",IF(IFERROR(INDEX(tblMoveTypes[In / Out],MATCH($C155,tblMoveTypes[Movement],0)),"?")="OUT","OUT   ","--   "))&amp;"fill: "&amp;IF(IFERROR(INDEX(tblMoveTypes[Item?],MATCH($C155,tblMoveTypes[Movement],0)),"?")="Yes","Item  ","")&amp;IF(AND(IFERROR(INDEX(tblMoveTypes[Qty?],MATCH($C155,tblMoveTypes[Movement],0)),"?")="Yes",IFERROR(INDEX(tblMoveTypes[In / Out],MATCH($C155,tblMoveTypes[Movement],0)),"?")="IN"),"In  ","")&amp;IF(AND(IFERROR(INDEX(tblMoveTypes[Qty?],MATCH($C155,tblMoveTypes[Movement],0)),"?")="Yes",IFERROR(INDEX(tblMoveTypes[In / Out],MATCH($C155,tblMoveTypes[Movement],0)),"?")="OUT"),"Out  ","")&amp;IF(IFERROR(INDEX(tblMoveTypes[Orders?],MATCH($C155,tblMoveTypes[Movement],0)),"?")="Yes","Orders  ","")&amp;IF(IFERROR(INDEX(tblMoveTypes[Courier?],MATCH($C155,tblMoveTypes[Movement],0)),"?")="Yes","Courier  ","")&amp;IF(IFERROR(INDEX(tblMoveTypes[Reason?],MATCH($C155,tblMoveTypes[Movement],0)),"?")="Yes","Reason",""),"unknown movement"))</f>
        <v>IN   fill: Item  In  </v>
      </c>
      <c r="E155" s="31" t="s">
        <v>84</v>
      </c>
      <c r="F155" s="33" t="n">
        <v>125</v>
      </c>
      <c r="G155" s="33"/>
      <c r="H155" s="33"/>
      <c r="I155" s="31"/>
      <c r="J155" s="31"/>
      <c r="K155" s="31"/>
      <c r="L155" s="31"/>
      <c r="M155" s="34" t="str">
        <f aca="false">IF($E155="","",IFERROR(INDEX(tblItems[Item Code],MATCH($E155,tblItems[Item Name],0)),"?"))</f>
        <v>EG-FG-MNG-12-02-01-01</v>
      </c>
      <c r="N155" s="34" t="str">
        <f aca="false">IF($B155="","",IFERROR(INDEX(tblShipment[Market],MATCH($B155,tblShipment[Shipment No],0)),"?"))</f>
        <v>Qatar</v>
      </c>
      <c r="O155" s="35" t="n">
        <f aca="false">N($F155)+N($G155)</f>
        <v>125</v>
      </c>
      <c r="P155" s="34" t="str">
        <f aca="false">IF($A155="","",IF($L155="Yes","VOID",IF(COUNTIFS(tblMoveTypes[Movement],$C155)=0,"Unknown movement",IF(COUNTIF(tblShipment[Shipment No],$B155)=0,"Unknown shipment",IF(AND(IFERROR(INDEX(tblMoveTypes[Item?],MATCH($C155,tblMoveTypes[Movement],0)),"?")="Yes",$E155=""),"Item needed",IF(AND(IFERROR(INDEX(tblMoveTypes[Item?],MATCH($C155,tblMoveTypes[Movement],0)),"?")="No",$E155&lt;&gt;""),"Leave Item blank",IF(AND(IFERROR(INDEX(tblMoveTypes[In / Out],MATCH($C155,tblMoveTypes[Movement],0)),"?")="IN",$G155&lt;&gt;""),"Use the In column, not Out",IF(AND(IFERROR(INDEX(tblMoveTypes[In / Out],MATCH($C155,tblMoveTypes[Movement],0)),"?")="OUT",$F155&lt;&gt;""),"Use the Out column, not In",IF(AND(IFERROR(INDEX(tblMoveTypes[Qty?],MATCH($C155,tblMoveTypes[Movement],0)),"?")="Yes",N($F155)+N($G155)&lt;=0),"Qty needed",IF(AND(IFERROR(INDEX(tblMoveTypes[Qty?],MATCH($C155,tblMoveTypes[Movement],0)),"?")="No",N($F155)+N($G155)&gt;0),"Leave In and Out blank",IF(AND(IFERROR(INDEX(tblMoveTypes[Courier?],MATCH($C155,tblMoveTypes[Movement],0)),"?")="Yes",$I155=""),"Courier needed",IF(AND(IFERROR(INDEX(tblMoveTypes[Courier?],MATCH($C155,tblMoveTypes[Movement],0)),"?")="No",$I155&lt;&gt;""),"Leave Courier blank",IF(AND(IFERROR(INDEX(tblMoveTypes[Orders?],MATCH($C155,tblMoveTypes[Movement],0)),"?")="Yes",$H155=""),"Orders needed",IF(AND(IFERROR(INDEX(tblMoveTypes[Orders?],MATCH($C155,tblMoveTypes[Movement],0)),"?")="No",$H155&lt;&gt;""),"Leave Orders blank",IF(AND(IFERROR(INDEX(tblMoveTypes[Reason?],MATCH($C155,tblMoveTypes[Movement],0)),"?")="Yes",$J155=""),"Reason needed",IF($A155&lt;_xlfn.MINIFS(tblShipment[Arrival Date],tblShipment[Shipment No],$B155),"Date before arrival",IF(AND($E155&lt;&gt;"",COUNTIFS(tblShipment[Shipment No],$B155,tblShipment[Item Name],$E155)=0),"Item not in this shipment","OK")))))))))))))))))</f>
        <v>OK</v>
      </c>
    </row>
    <row r="156" customFormat="false" ht="15" hidden="false" customHeight="false" outlineLevel="0" collapsed="false">
      <c r="A156" s="32" t="n">
        <v>46237</v>
      </c>
      <c r="B156" s="31" t="s">
        <v>162</v>
      </c>
      <c r="C156" s="31" t="s">
        <v>78</v>
      </c>
      <c r="D156" s="34" t="str">
        <f aca="false">IF($C156="","",IFERROR(IF(IFERROR(INDEX(tblMoveTypes[In / Out],MATCH($C156,tblMoveTypes[Movement],0)),"?")="IN","IN   ",IF(IFERROR(INDEX(tblMoveTypes[In / Out],MATCH($C156,tblMoveTypes[Movement],0)),"?")="OUT","OUT   ","--   "))&amp;"fill: "&amp;IF(IFERROR(INDEX(tblMoveTypes[Item?],MATCH($C156,tblMoveTypes[Movement],0)),"?")="Yes","Item  ","")&amp;IF(AND(IFERROR(INDEX(tblMoveTypes[Qty?],MATCH($C156,tblMoveTypes[Movement],0)),"?")="Yes",IFERROR(INDEX(tblMoveTypes[In / Out],MATCH($C156,tblMoveTypes[Movement],0)),"?")="IN"),"In  ","")&amp;IF(AND(IFERROR(INDEX(tblMoveTypes[Qty?],MATCH($C156,tblMoveTypes[Movement],0)),"?")="Yes",IFERROR(INDEX(tblMoveTypes[In / Out],MATCH($C156,tblMoveTypes[Movement],0)),"?")="OUT"),"Out  ","")&amp;IF(IFERROR(INDEX(tblMoveTypes[Orders?],MATCH($C156,tblMoveTypes[Movement],0)),"?")="Yes","Orders  ","")&amp;IF(IFERROR(INDEX(tblMoveTypes[Courier?],MATCH($C156,tblMoveTypes[Movement],0)),"?")="Yes","Courier  ","")&amp;IF(IFERROR(INDEX(tblMoveTypes[Reason?],MATCH($C156,tblMoveTypes[Movement],0)),"?")="Yes","Reason",""),"unknown movement"))</f>
        <v>OUT   fill: Item  Out  Reason</v>
      </c>
      <c r="E156" s="31" t="s">
        <v>84</v>
      </c>
      <c r="F156" s="33"/>
      <c r="G156" s="33" t="n">
        <v>2</v>
      </c>
      <c r="H156" s="33"/>
      <c r="I156" s="31"/>
      <c r="J156" s="31" t="s">
        <v>77</v>
      </c>
      <c r="K156" s="31"/>
      <c r="L156" s="31"/>
      <c r="M156" s="34" t="str">
        <f aca="false">IF($E156="","",IFERROR(INDEX(tblItems[Item Code],MATCH($E156,tblItems[Item Name],0)),"?"))</f>
        <v>EG-FG-MNG-12-02-01-01</v>
      </c>
      <c r="N156" s="34" t="str">
        <f aca="false">IF($B156="","",IFERROR(INDEX(tblShipment[Market],MATCH($B156,tblShipment[Shipment No],0)),"?"))</f>
        <v>Qatar</v>
      </c>
      <c r="O156" s="35" t="n">
        <f aca="false">N($F156)+N($G156)</f>
        <v>2</v>
      </c>
      <c r="P156" s="34" t="str">
        <f aca="false">IF($A156="","",IF($L156="Yes","VOID",IF(COUNTIFS(tblMoveTypes[Movement],$C156)=0,"Unknown movement",IF(COUNTIF(tblShipment[Shipment No],$B156)=0,"Unknown shipment",IF(AND(IFERROR(INDEX(tblMoveTypes[Item?],MATCH($C156,tblMoveTypes[Movement],0)),"?")="Yes",$E156=""),"Item needed",IF(AND(IFERROR(INDEX(tblMoveTypes[Item?],MATCH($C156,tblMoveTypes[Movement],0)),"?")="No",$E156&lt;&gt;""),"Leave Item blank",IF(AND(IFERROR(INDEX(tblMoveTypes[In / Out],MATCH($C156,tblMoveTypes[Movement],0)),"?")="IN",$G156&lt;&gt;""),"Use the In column, not Out",IF(AND(IFERROR(INDEX(tblMoveTypes[In / Out],MATCH($C156,tblMoveTypes[Movement],0)),"?")="OUT",$F156&lt;&gt;""),"Use the Out column, not In",IF(AND(IFERROR(INDEX(tblMoveTypes[Qty?],MATCH($C156,tblMoveTypes[Movement],0)),"?")="Yes",N($F156)+N($G156)&lt;=0),"Qty needed",IF(AND(IFERROR(INDEX(tblMoveTypes[Qty?],MATCH($C156,tblMoveTypes[Movement],0)),"?")="No",N($F156)+N($G156)&gt;0),"Leave In and Out blank",IF(AND(IFERROR(INDEX(tblMoveTypes[Courier?],MATCH($C156,tblMoveTypes[Movement],0)),"?")="Yes",$I156=""),"Courier needed",IF(AND(IFERROR(INDEX(tblMoveTypes[Courier?],MATCH($C156,tblMoveTypes[Movement],0)),"?")="No",$I156&lt;&gt;""),"Leave Courier blank",IF(AND(IFERROR(INDEX(tblMoveTypes[Orders?],MATCH($C156,tblMoveTypes[Movement],0)),"?")="Yes",$H156=""),"Orders needed",IF(AND(IFERROR(INDEX(tblMoveTypes[Orders?],MATCH($C156,tblMoveTypes[Movement],0)),"?")="No",$H156&lt;&gt;""),"Leave Orders blank",IF(AND(IFERROR(INDEX(tblMoveTypes[Reason?],MATCH($C156,tblMoveTypes[Movement],0)),"?")="Yes",$J156=""),"Reason needed",IF($A156&lt;_xlfn.MINIFS(tblShipment[Arrival Date],tblShipment[Shipment No],$B156),"Date before arrival",IF(AND($E156&lt;&gt;"",COUNTIFS(tblShipment[Shipment No],$B156,tblShipment[Item Name],$E156)=0),"Item not in this shipment","OK")))))))))))))))))</f>
        <v>OK</v>
      </c>
    </row>
    <row r="157" customFormat="false" ht="15" hidden="false" customHeight="false" outlineLevel="0" collapsed="false">
      <c r="A157" s="32" t="n">
        <v>46237</v>
      </c>
      <c r="B157" s="31" t="s">
        <v>162</v>
      </c>
      <c r="C157" s="31" t="s">
        <v>87</v>
      </c>
      <c r="D157" s="34" t="str">
        <f aca="false">IF($C157="","",IFERROR(IF(IFERROR(INDEX(tblMoveTypes[In / Out],MATCH($C157,tblMoveTypes[Movement],0)),"?")="IN","IN   ",IF(IFERROR(INDEX(tblMoveTypes[In / Out],MATCH($C157,tblMoveTypes[Movement],0)),"?")="OUT","OUT   ","--   "))&amp;"fill: "&amp;IF(IFERROR(INDEX(tblMoveTypes[Item?],MATCH($C157,tblMoveTypes[Movement],0)),"?")="Yes","Item  ","")&amp;IF(AND(IFERROR(INDEX(tblMoveTypes[Qty?],MATCH($C157,tblMoveTypes[Movement],0)),"?")="Yes",IFERROR(INDEX(tblMoveTypes[In / Out],MATCH($C157,tblMoveTypes[Movement],0)),"?")="IN"),"In  ","")&amp;IF(AND(IFERROR(INDEX(tblMoveTypes[Qty?],MATCH($C157,tblMoveTypes[Movement],0)),"?")="Yes",IFERROR(INDEX(tblMoveTypes[In / Out],MATCH($C157,tblMoveTypes[Movement],0)),"?")="OUT"),"Out  ","")&amp;IF(IFERROR(INDEX(tblMoveTypes[Orders?],MATCH($C157,tblMoveTypes[Movement],0)),"?")="Yes","Orders  ","")&amp;IF(IFERROR(INDEX(tblMoveTypes[Courier?],MATCH($C157,tblMoveTypes[Movement],0)),"?")="Yes","Courier  ","")&amp;IF(IFERROR(INDEX(tblMoveTypes[Reason?],MATCH($C157,tblMoveTypes[Movement],0)),"?")="Yes","Reason",""),"unknown movement"))</f>
        <v>OUT   fill: Item  Out  </v>
      </c>
      <c r="E157" s="31" t="s">
        <v>100</v>
      </c>
      <c r="F157" s="33"/>
      <c r="G157" s="33" t="n">
        <v>1</v>
      </c>
      <c r="H157" s="33"/>
      <c r="I157" s="31"/>
      <c r="J157" s="31"/>
      <c r="K157" s="31" t="s">
        <v>179</v>
      </c>
      <c r="L157" s="31"/>
      <c r="M157" s="34" t="str">
        <f aca="false">IF($E157="","",IFERROR(INDEX(tblItems[Item Code],MATCH($E157,tblItems[Item Name],0)),"?"))</f>
        <v>EG-FG-MNG-18-02-01-01</v>
      </c>
      <c r="N157" s="34" t="str">
        <f aca="false">IF($B157="","",IFERROR(INDEX(tblShipment[Market],MATCH($B157,tblShipment[Shipment No],0)),"?"))</f>
        <v>Qatar</v>
      </c>
      <c r="O157" s="35" t="n">
        <f aca="false">N($F157)+N($G157)</f>
        <v>1</v>
      </c>
      <c r="P157" s="34" t="str">
        <f aca="false">IF($A157="","",IF($L157="Yes","VOID",IF(COUNTIFS(tblMoveTypes[Movement],$C157)=0,"Unknown movement",IF(COUNTIF(tblShipment[Shipment No],$B157)=0,"Unknown shipment",IF(AND(IFERROR(INDEX(tblMoveTypes[Item?],MATCH($C157,tblMoveTypes[Movement],0)),"?")="Yes",$E157=""),"Item needed",IF(AND(IFERROR(INDEX(tblMoveTypes[Item?],MATCH($C157,tblMoveTypes[Movement],0)),"?")="No",$E157&lt;&gt;""),"Leave Item blank",IF(AND(IFERROR(INDEX(tblMoveTypes[In / Out],MATCH($C157,tblMoveTypes[Movement],0)),"?")="IN",$G157&lt;&gt;""),"Use the In column, not Out",IF(AND(IFERROR(INDEX(tblMoveTypes[In / Out],MATCH($C157,tblMoveTypes[Movement],0)),"?")="OUT",$F157&lt;&gt;""),"Use the Out column, not In",IF(AND(IFERROR(INDEX(tblMoveTypes[Qty?],MATCH($C157,tblMoveTypes[Movement],0)),"?")="Yes",N($F157)+N($G157)&lt;=0),"Qty needed",IF(AND(IFERROR(INDEX(tblMoveTypes[Qty?],MATCH($C157,tblMoveTypes[Movement],0)),"?")="No",N($F157)+N($G157)&gt;0),"Leave In and Out blank",IF(AND(IFERROR(INDEX(tblMoveTypes[Courier?],MATCH($C157,tblMoveTypes[Movement],0)),"?")="Yes",$I157=""),"Courier needed",IF(AND(IFERROR(INDEX(tblMoveTypes[Courier?],MATCH($C157,tblMoveTypes[Movement],0)),"?")="No",$I157&lt;&gt;""),"Leave Courier blank",IF(AND(IFERROR(INDEX(tblMoveTypes[Orders?],MATCH($C157,tblMoveTypes[Movement],0)),"?")="Yes",$H157=""),"Orders needed",IF(AND(IFERROR(INDEX(tblMoveTypes[Orders?],MATCH($C157,tblMoveTypes[Movement],0)),"?")="No",$H157&lt;&gt;""),"Leave Orders blank",IF(AND(IFERROR(INDEX(tblMoveTypes[Reason?],MATCH($C157,tblMoveTypes[Movement],0)),"?")="Yes",$J157=""),"Reason needed",IF($A157&lt;_xlfn.MINIFS(tblShipment[Arrival Date],tblShipment[Shipment No],$B157),"Date before arrival",IF(AND($E157&lt;&gt;"",COUNTIFS(tblShipment[Shipment No],$B157,tblShipment[Item Name],$E157)=0),"Item not in this shipment","OK")))))))))))))))))</f>
        <v>OK</v>
      </c>
    </row>
    <row r="158" customFormat="false" ht="15" hidden="false" customHeight="false" outlineLevel="0" collapsed="false">
      <c r="A158" s="32" t="n">
        <v>46237</v>
      </c>
      <c r="B158" s="31" t="s">
        <v>162</v>
      </c>
      <c r="C158" s="31" t="s">
        <v>79</v>
      </c>
      <c r="D158" s="34" t="str">
        <f aca="false">IF($C158="","",IFERROR(IF(IFERROR(INDEX(tblMoveTypes[In / Out],MATCH($C158,tblMoveTypes[Movement],0)),"?")="IN","IN   ",IF(IFERROR(INDEX(tblMoveTypes[In / Out],MATCH($C158,tblMoveTypes[Movement],0)),"?")="OUT","OUT   ","--   "))&amp;"fill: "&amp;IF(IFERROR(INDEX(tblMoveTypes[Item?],MATCH($C158,tblMoveTypes[Movement],0)),"?")="Yes","Item  ","")&amp;IF(AND(IFERROR(INDEX(tblMoveTypes[Qty?],MATCH($C158,tblMoveTypes[Movement],0)),"?")="Yes",IFERROR(INDEX(tblMoveTypes[In / Out],MATCH($C158,tblMoveTypes[Movement],0)),"?")="IN"),"In  ","")&amp;IF(AND(IFERROR(INDEX(tblMoveTypes[Qty?],MATCH($C158,tblMoveTypes[Movement],0)),"?")="Yes",IFERROR(INDEX(tblMoveTypes[In / Out],MATCH($C158,tblMoveTypes[Movement],0)),"?")="OUT"),"Out  ","")&amp;IF(IFERROR(INDEX(tblMoveTypes[Orders?],MATCH($C158,tblMoveTypes[Movement],0)),"?")="Yes","Orders  ","")&amp;IF(IFERROR(INDEX(tblMoveTypes[Courier?],MATCH($C158,tblMoveTypes[Movement],0)),"?")="Yes","Courier  ","")&amp;IF(IFERROR(INDEX(tblMoveTypes[Reason?],MATCH($C158,tblMoveTypes[Movement],0)),"?")="Yes","Reason",""),"unknown movement"))</f>
        <v>IN   fill: Item  In  </v>
      </c>
      <c r="E158" s="31" t="s">
        <v>100</v>
      </c>
      <c r="F158" s="33" t="n">
        <v>24</v>
      </c>
      <c r="G158" s="33"/>
      <c r="H158" s="33"/>
      <c r="I158" s="31"/>
      <c r="J158" s="31"/>
      <c r="K158" s="31"/>
      <c r="L158" s="31"/>
      <c r="M158" s="34" t="str">
        <f aca="false">IF($E158="","",IFERROR(INDEX(tblItems[Item Code],MATCH($E158,tblItems[Item Name],0)),"?"))</f>
        <v>EG-FG-MNG-18-02-01-01</v>
      </c>
      <c r="N158" s="34" t="str">
        <f aca="false">IF($B158="","",IFERROR(INDEX(tblShipment[Market],MATCH($B158,tblShipment[Shipment No],0)),"?"))</f>
        <v>Qatar</v>
      </c>
      <c r="O158" s="35" t="n">
        <f aca="false">N($F158)+N($G158)</f>
        <v>24</v>
      </c>
      <c r="P158" s="34" t="str">
        <f aca="false">IF($A158="","",IF($L158="Yes","VOID",IF(COUNTIFS(tblMoveTypes[Movement],$C158)=0,"Unknown movement",IF(COUNTIF(tblShipment[Shipment No],$B158)=0,"Unknown shipment",IF(AND(IFERROR(INDEX(tblMoveTypes[Item?],MATCH($C158,tblMoveTypes[Movement],0)),"?")="Yes",$E158=""),"Item needed",IF(AND(IFERROR(INDEX(tblMoveTypes[Item?],MATCH($C158,tblMoveTypes[Movement],0)),"?")="No",$E158&lt;&gt;""),"Leave Item blank",IF(AND(IFERROR(INDEX(tblMoveTypes[In / Out],MATCH($C158,tblMoveTypes[Movement],0)),"?")="IN",$G158&lt;&gt;""),"Use the In column, not Out",IF(AND(IFERROR(INDEX(tblMoveTypes[In / Out],MATCH($C158,tblMoveTypes[Movement],0)),"?")="OUT",$F158&lt;&gt;""),"Use the Out column, not In",IF(AND(IFERROR(INDEX(tblMoveTypes[Qty?],MATCH($C158,tblMoveTypes[Movement],0)),"?")="Yes",N($F158)+N($G158)&lt;=0),"Qty needed",IF(AND(IFERROR(INDEX(tblMoveTypes[Qty?],MATCH($C158,tblMoveTypes[Movement],0)),"?")="No",N($F158)+N($G158)&gt;0),"Leave In and Out blank",IF(AND(IFERROR(INDEX(tblMoveTypes[Courier?],MATCH($C158,tblMoveTypes[Movement],0)),"?")="Yes",$I158=""),"Courier needed",IF(AND(IFERROR(INDEX(tblMoveTypes[Courier?],MATCH($C158,tblMoveTypes[Movement],0)),"?")="No",$I158&lt;&gt;""),"Leave Courier blank",IF(AND(IFERROR(INDEX(tblMoveTypes[Orders?],MATCH($C158,tblMoveTypes[Movement],0)),"?")="Yes",$H158=""),"Orders needed",IF(AND(IFERROR(INDEX(tblMoveTypes[Orders?],MATCH($C158,tblMoveTypes[Movement],0)),"?")="No",$H158&lt;&gt;""),"Leave Orders blank",IF(AND(IFERROR(INDEX(tblMoveTypes[Reason?],MATCH($C158,tblMoveTypes[Movement],0)),"?")="Yes",$J158=""),"Reason needed",IF($A158&lt;_xlfn.MINIFS(tblShipment[Arrival Date],tblShipment[Shipment No],$B158),"Date before arrival",IF(AND($E158&lt;&gt;"",COUNTIFS(tblShipment[Shipment No],$B158,tblShipment[Item Name],$E158)=0),"Item not in this shipment","OK")))))))))))))))))</f>
        <v>OK</v>
      </c>
    </row>
    <row r="159" customFormat="false" ht="15" hidden="false" customHeight="false" outlineLevel="0" collapsed="false">
      <c r="A159" s="32" t="n">
        <v>46237</v>
      </c>
      <c r="B159" s="31" t="s">
        <v>162</v>
      </c>
      <c r="C159" s="31" t="s">
        <v>79</v>
      </c>
      <c r="D159" s="34" t="str">
        <f aca="false">IF($C159="","",IFERROR(IF(IFERROR(INDEX(tblMoveTypes[In / Out],MATCH($C159,tblMoveTypes[Movement],0)),"?")="IN","IN   ",IF(IFERROR(INDEX(tblMoveTypes[In / Out],MATCH($C159,tblMoveTypes[Movement],0)),"?")="OUT","OUT   ","--   "))&amp;"fill: "&amp;IF(IFERROR(INDEX(tblMoveTypes[Item?],MATCH($C159,tblMoveTypes[Movement],0)),"?")="Yes","Item  ","")&amp;IF(AND(IFERROR(INDEX(tblMoveTypes[Qty?],MATCH($C159,tblMoveTypes[Movement],0)),"?")="Yes",IFERROR(INDEX(tblMoveTypes[In / Out],MATCH($C159,tblMoveTypes[Movement],0)),"?")="IN"),"In  ","")&amp;IF(AND(IFERROR(INDEX(tblMoveTypes[Qty?],MATCH($C159,tblMoveTypes[Movement],0)),"?")="Yes",IFERROR(INDEX(tblMoveTypes[In / Out],MATCH($C159,tblMoveTypes[Movement],0)),"?")="OUT"),"Out  ","")&amp;IF(IFERROR(INDEX(tblMoveTypes[Orders?],MATCH($C159,tblMoveTypes[Movement],0)),"?")="Yes","Orders  ","")&amp;IF(IFERROR(INDEX(tblMoveTypes[Courier?],MATCH($C159,tblMoveTypes[Movement],0)),"?")="Yes","Courier  ","")&amp;IF(IFERROR(INDEX(tblMoveTypes[Reason?],MATCH($C159,tblMoveTypes[Movement],0)),"?")="Yes","Reason",""),"unknown movement"))</f>
        <v>IN   fill: Item  In  </v>
      </c>
      <c r="E159" s="31" t="s">
        <v>106</v>
      </c>
      <c r="F159" s="33" t="n">
        <v>25</v>
      </c>
      <c r="G159" s="33"/>
      <c r="H159" s="33"/>
      <c r="I159" s="31"/>
      <c r="J159" s="31"/>
      <c r="K159" s="31"/>
      <c r="L159" s="31"/>
      <c r="M159" s="34" t="str">
        <f aca="false">IF($E159="","",IFERROR(INDEX(tblItems[Item Code],MATCH($E159,tblItems[Item Name],0)),"?"))</f>
        <v>EG-FG-DAT-01-02-01-01</v>
      </c>
      <c r="N159" s="34" t="str">
        <f aca="false">IF($B159="","",IFERROR(INDEX(tblShipment[Market],MATCH($B159,tblShipment[Shipment No],0)),"?"))</f>
        <v>Qatar</v>
      </c>
      <c r="O159" s="35" t="n">
        <f aca="false">N($F159)+N($G159)</f>
        <v>25</v>
      </c>
      <c r="P159" s="34" t="str">
        <f aca="false">IF($A159="","",IF($L159="Yes","VOID",IF(COUNTIFS(tblMoveTypes[Movement],$C159)=0,"Unknown movement",IF(COUNTIF(tblShipment[Shipment No],$B159)=0,"Unknown shipment",IF(AND(IFERROR(INDEX(tblMoveTypes[Item?],MATCH($C159,tblMoveTypes[Movement],0)),"?")="Yes",$E159=""),"Item needed",IF(AND(IFERROR(INDEX(tblMoveTypes[Item?],MATCH($C159,tblMoveTypes[Movement],0)),"?")="No",$E159&lt;&gt;""),"Leave Item blank",IF(AND(IFERROR(INDEX(tblMoveTypes[In / Out],MATCH($C159,tblMoveTypes[Movement],0)),"?")="IN",$G159&lt;&gt;""),"Use the In column, not Out",IF(AND(IFERROR(INDEX(tblMoveTypes[In / Out],MATCH($C159,tblMoveTypes[Movement],0)),"?")="OUT",$F159&lt;&gt;""),"Use the Out column, not In",IF(AND(IFERROR(INDEX(tblMoveTypes[Qty?],MATCH($C159,tblMoveTypes[Movement],0)),"?")="Yes",N($F159)+N($G159)&lt;=0),"Qty needed",IF(AND(IFERROR(INDEX(tblMoveTypes[Qty?],MATCH($C159,tblMoveTypes[Movement],0)),"?")="No",N($F159)+N($G159)&gt;0),"Leave In and Out blank",IF(AND(IFERROR(INDEX(tblMoveTypes[Courier?],MATCH($C159,tblMoveTypes[Movement],0)),"?")="Yes",$I159=""),"Courier needed",IF(AND(IFERROR(INDEX(tblMoveTypes[Courier?],MATCH($C159,tblMoveTypes[Movement],0)),"?")="No",$I159&lt;&gt;""),"Leave Courier blank",IF(AND(IFERROR(INDEX(tblMoveTypes[Orders?],MATCH($C159,tblMoveTypes[Movement],0)),"?")="Yes",$H159=""),"Orders needed",IF(AND(IFERROR(INDEX(tblMoveTypes[Orders?],MATCH($C159,tblMoveTypes[Movement],0)),"?")="No",$H159&lt;&gt;""),"Leave Orders blank",IF(AND(IFERROR(INDEX(tblMoveTypes[Reason?],MATCH($C159,tblMoveTypes[Movement],0)),"?")="Yes",$J159=""),"Reason needed",IF($A159&lt;_xlfn.MINIFS(tblShipment[Arrival Date],tblShipment[Shipment No],$B159),"Date before arrival",IF(AND($E159&lt;&gt;"",COUNTIFS(tblShipment[Shipment No],$B159,tblShipment[Item Name],$E159)=0),"Item not in this shipment","OK")))))))))))))))))</f>
        <v>OK</v>
      </c>
    </row>
    <row r="160" customFormat="false" ht="15" hidden="false" customHeight="false" outlineLevel="0" collapsed="false">
      <c r="A160" s="32" t="n">
        <v>46237</v>
      </c>
      <c r="B160" s="31" t="s">
        <v>162</v>
      </c>
      <c r="C160" s="31" t="s">
        <v>79</v>
      </c>
      <c r="D160" s="34" t="str">
        <f aca="false">IF($C160="","",IFERROR(IF(IFERROR(INDEX(tblMoveTypes[In / Out],MATCH($C160,tblMoveTypes[Movement],0)),"?")="IN","IN   ",IF(IFERROR(INDEX(tblMoveTypes[In / Out],MATCH($C160,tblMoveTypes[Movement],0)),"?")="OUT","OUT   ","--   "))&amp;"fill: "&amp;IF(IFERROR(INDEX(tblMoveTypes[Item?],MATCH($C160,tblMoveTypes[Movement],0)),"?")="Yes","Item  ","")&amp;IF(AND(IFERROR(INDEX(tblMoveTypes[Qty?],MATCH($C160,tblMoveTypes[Movement],0)),"?")="Yes",IFERROR(INDEX(tblMoveTypes[In / Out],MATCH($C160,tblMoveTypes[Movement],0)),"?")="IN"),"In  ","")&amp;IF(AND(IFERROR(INDEX(tblMoveTypes[Qty?],MATCH($C160,tblMoveTypes[Movement],0)),"?")="Yes",IFERROR(INDEX(tblMoveTypes[In / Out],MATCH($C160,tblMoveTypes[Movement],0)),"?")="OUT"),"Out  ","")&amp;IF(IFERROR(INDEX(tblMoveTypes[Orders?],MATCH($C160,tblMoveTypes[Movement],0)),"?")="Yes","Orders  ","")&amp;IF(IFERROR(INDEX(tblMoveTypes[Courier?],MATCH($C160,tblMoveTypes[Movement],0)),"?")="Yes","Courier  ","")&amp;IF(IFERROR(INDEX(tblMoveTypes[Reason?],MATCH($C160,tblMoveTypes[Movement],0)),"?")="Yes","Reason",""),"unknown movement"))</f>
        <v>IN   fill: Item  In  </v>
      </c>
      <c r="E160" s="31" t="s">
        <v>141</v>
      </c>
      <c r="F160" s="33" t="n">
        <v>20</v>
      </c>
      <c r="G160" s="33"/>
      <c r="H160" s="33"/>
      <c r="I160" s="31"/>
      <c r="J160" s="31"/>
      <c r="K160" s="31"/>
      <c r="L160" s="31"/>
      <c r="M160" s="34" t="str">
        <f aca="false">IF($E160="","",IFERROR(INDEX(tblItems[Item Code],MATCH($E160,tblItems[Item Name],0)),"?"))</f>
        <v>EG-FG-CAN-01-02-01-01</v>
      </c>
      <c r="N160" s="34" t="str">
        <f aca="false">IF($B160="","",IFERROR(INDEX(tblShipment[Market],MATCH($B160,tblShipment[Shipment No],0)),"?"))</f>
        <v>Qatar</v>
      </c>
      <c r="O160" s="35" t="n">
        <f aca="false">N($F160)+N($G160)</f>
        <v>20</v>
      </c>
      <c r="P160" s="34" t="str">
        <f aca="false">IF($A160="","",IF($L160="Yes","VOID",IF(COUNTIFS(tblMoveTypes[Movement],$C160)=0,"Unknown movement",IF(COUNTIF(tblShipment[Shipment No],$B160)=0,"Unknown shipment",IF(AND(IFERROR(INDEX(tblMoveTypes[Item?],MATCH($C160,tblMoveTypes[Movement],0)),"?")="Yes",$E160=""),"Item needed",IF(AND(IFERROR(INDEX(tblMoveTypes[Item?],MATCH($C160,tblMoveTypes[Movement],0)),"?")="No",$E160&lt;&gt;""),"Leave Item blank",IF(AND(IFERROR(INDEX(tblMoveTypes[In / Out],MATCH($C160,tblMoveTypes[Movement],0)),"?")="IN",$G160&lt;&gt;""),"Use the In column, not Out",IF(AND(IFERROR(INDEX(tblMoveTypes[In / Out],MATCH($C160,tblMoveTypes[Movement],0)),"?")="OUT",$F160&lt;&gt;""),"Use the Out column, not In",IF(AND(IFERROR(INDEX(tblMoveTypes[Qty?],MATCH($C160,tblMoveTypes[Movement],0)),"?")="Yes",N($F160)+N($G160)&lt;=0),"Qty needed",IF(AND(IFERROR(INDEX(tblMoveTypes[Qty?],MATCH($C160,tblMoveTypes[Movement],0)),"?")="No",N($F160)+N($G160)&gt;0),"Leave In and Out blank",IF(AND(IFERROR(INDEX(tblMoveTypes[Courier?],MATCH($C160,tblMoveTypes[Movement],0)),"?")="Yes",$I160=""),"Courier needed",IF(AND(IFERROR(INDEX(tblMoveTypes[Courier?],MATCH($C160,tblMoveTypes[Movement],0)),"?")="No",$I160&lt;&gt;""),"Leave Courier blank",IF(AND(IFERROR(INDEX(tblMoveTypes[Orders?],MATCH($C160,tblMoveTypes[Movement],0)),"?")="Yes",$H160=""),"Orders needed",IF(AND(IFERROR(INDEX(tblMoveTypes[Orders?],MATCH($C160,tblMoveTypes[Movement],0)),"?")="No",$H160&lt;&gt;""),"Leave Orders blank",IF(AND(IFERROR(INDEX(tblMoveTypes[Reason?],MATCH($C160,tblMoveTypes[Movement],0)),"?")="Yes",$J160=""),"Reason needed",IF($A160&lt;_xlfn.MINIFS(tblShipment[Arrival Date],tblShipment[Shipment No],$B160),"Date before arrival",IF(AND($E160&lt;&gt;"",COUNTIFS(tblShipment[Shipment No],$B160,tblShipment[Item Name],$E160)=0),"Item not in this shipment","OK")))))))))))))))))</f>
        <v>OK</v>
      </c>
    </row>
    <row r="161" customFormat="false" ht="15" hidden="false" customHeight="false" outlineLevel="0" collapsed="false">
      <c r="A161" s="32" t="n">
        <v>46237</v>
      </c>
      <c r="B161" s="31" t="s">
        <v>162</v>
      </c>
      <c r="C161" s="31" t="s">
        <v>79</v>
      </c>
      <c r="D161" s="34" t="str">
        <f aca="false">IF($C161="","",IFERROR(IF(IFERROR(INDEX(tblMoveTypes[In / Out],MATCH($C161,tblMoveTypes[Movement],0)),"?")="IN","IN   ",IF(IFERROR(INDEX(tblMoveTypes[In / Out],MATCH($C161,tblMoveTypes[Movement],0)),"?")="OUT","OUT   ","--   "))&amp;"fill: "&amp;IF(IFERROR(INDEX(tblMoveTypes[Item?],MATCH($C161,tblMoveTypes[Movement],0)),"?")="Yes","Item  ","")&amp;IF(AND(IFERROR(INDEX(tblMoveTypes[Qty?],MATCH($C161,tblMoveTypes[Movement],0)),"?")="Yes",IFERROR(INDEX(tblMoveTypes[In / Out],MATCH($C161,tblMoveTypes[Movement],0)),"?")="IN"),"In  ","")&amp;IF(AND(IFERROR(INDEX(tblMoveTypes[Qty?],MATCH($C161,tblMoveTypes[Movement],0)),"?")="Yes",IFERROR(INDEX(tblMoveTypes[In / Out],MATCH($C161,tblMoveTypes[Movement],0)),"?")="OUT"),"Out  ","")&amp;IF(IFERROR(INDEX(tblMoveTypes[Orders?],MATCH($C161,tblMoveTypes[Movement],0)),"?")="Yes","Orders  ","")&amp;IF(IFERROR(INDEX(tblMoveTypes[Courier?],MATCH($C161,tblMoveTypes[Movement],0)),"?")="Yes","Courier  ","")&amp;IF(IFERROR(INDEX(tblMoveTypes[Reason?],MATCH($C161,tblMoveTypes[Movement],0)),"?")="Yes","Reason",""),"unknown movement"))</f>
        <v>IN   fill: Item  In  </v>
      </c>
      <c r="E161" s="31" t="s">
        <v>122</v>
      </c>
      <c r="F161" s="33" t="n">
        <v>25</v>
      </c>
      <c r="G161" s="33"/>
      <c r="H161" s="33"/>
      <c r="I161" s="31"/>
      <c r="J161" s="31"/>
      <c r="K161" s="31"/>
      <c r="L161" s="31"/>
      <c r="M161" s="34" t="str">
        <f aca="false">IF($E161="","",IFERROR(INDEX(tblItems[Item Code],MATCH($E161,tblItems[Item Name],0)),"?"))</f>
        <v>EG-FG-GRP-01-02-01-01</v>
      </c>
      <c r="N161" s="34" t="str">
        <f aca="false">IF($B161="","",IFERROR(INDEX(tblShipment[Market],MATCH($B161,tblShipment[Shipment No],0)),"?"))</f>
        <v>Qatar</v>
      </c>
      <c r="O161" s="35" t="n">
        <f aca="false">N($F161)+N($G161)</f>
        <v>25</v>
      </c>
      <c r="P161" s="34" t="str">
        <f aca="false">IF($A161="","",IF($L161="Yes","VOID",IF(COUNTIFS(tblMoveTypes[Movement],$C161)=0,"Unknown movement",IF(COUNTIF(tblShipment[Shipment No],$B161)=0,"Unknown shipment",IF(AND(IFERROR(INDEX(tblMoveTypes[Item?],MATCH($C161,tblMoveTypes[Movement],0)),"?")="Yes",$E161=""),"Item needed",IF(AND(IFERROR(INDEX(tblMoveTypes[Item?],MATCH($C161,tblMoveTypes[Movement],0)),"?")="No",$E161&lt;&gt;""),"Leave Item blank",IF(AND(IFERROR(INDEX(tblMoveTypes[In / Out],MATCH($C161,tblMoveTypes[Movement],0)),"?")="IN",$G161&lt;&gt;""),"Use the In column, not Out",IF(AND(IFERROR(INDEX(tblMoveTypes[In / Out],MATCH($C161,tblMoveTypes[Movement],0)),"?")="OUT",$F161&lt;&gt;""),"Use the Out column, not In",IF(AND(IFERROR(INDEX(tblMoveTypes[Qty?],MATCH($C161,tblMoveTypes[Movement],0)),"?")="Yes",N($F161)+N($G161)&lt;=0),"Qty needed",IF(AND(IFERROR(INDEX(tblMoveTypes[Qty?],MATCH($C161,tblMoveTypes[Movement],0)),"?")="No",N($F161)+N($G161)&gt;0),"Leave In and Out blank",IF(AND(IFERROR(INDEX(tblMoveTypes[Courier?],MATCH($C161,tblMoveTypes[Movement],0)),"?")="Yes",$I161=""),"Courier needed",IF(AND(IFERROR(INDEX(tblMoveTypes[Courier?],MATCH($C161,tblMoveTypes[Movement],0)),"?")="No",$I161&lt;&gt;""),"Leave Courier blank",IF(AND(IFERROR(INDEX(tblMoveTypes[Orders?],MATCH($C161,tblMoveTypes[Movement],0)),"?")="Yes",$H161=""),"Orders needed",IF(AND(IFERROR(INDEX(tblMoveTypes[Orders?],MATCH($C161,tblMoveTypes[Movement],0)),"?")="No",$H161&lt;&gt;""),"Leave Orders blank",IF(AND(IFERROR(INDEX(tblMoveTypes[Reason?],MATCH($C161,tblMoveTypes[Movement],0)),"?")="Yes",$J161=""),"Reason needed",IF($A161&lt;_xlfn.MINIFS(tblShipment[Arrival Date],tblShipment[Shipment No],$B161),"Date before arrival",IF(AND($E161&lt;&gt;"",COUNTIFS(tblShipment[Shipment No],$B161,tblShipment[Item Name],$E161)=0),"Item not in this shipment","OK")))))))))))))))))</f>
        <v>OK</v>
      </c>
    </row>
    <row r="162" customFormat="false" ht="15" hidden="false" customHeight="false" outlineLevel="0" collapsed="false">
      <c r="A162" s="32" t="n">
        <v>46237</v>
      </c>
      <c r="B162" s="31" t="s">
        <v>162</v>
      </c>
      <c r="C162" s="31" t="s">
        <v>79</v>
      </c>
      <c r="D162" s="34" t="str">
        <f aca="false">IF($C162="","",IFERROR(IF(IFERROR(INDEX(tblMoveTypes[In / Out],MATCH($C162,tblMoveTypes[Movement],0)),"?")="IN","IN   ",IF(IFERROR(INDEX(tblMoveTypes[In / Out],MATCH($C162,tblMoveTypes[Movement],0)),"?")="OUT","OUT   ","--   "))&amp;"fill: "&amp;IF(IFERROR(INDEX(tblMoveTypes[Item?],MATCH($C162,tblMoveTypes[Movement],0)),"?")="Yes","Item  ","")&amp;IF(AND(IFERROR(INDEX(tblMoveTypes[Qty?],MATCH($C162,tblMoveTypes[Movement],0)),"?")="Yes",IFERROR(INDEX(tblMoveTypes[In / Out],MATCH($C162,tblMoveTypes[Movement],0)),"?")="IN"),"In  ","")&amp;IF(AND(IFERROR(INDEX(tblMoveTypes[Qty?],MATCH($C162,tblMoveTypes[Movement],0)),"?")="Yes",IFERROR(INDEX(tblMoveTypes[In / Out],MATCH($C162,tblMoveTypes[Movement],0)),"?")="OUT"),"Out  ","")&amp;IF(IFERROR(INDEX(tblMoveTypes[Orders?],MATCH($C162,tblMoveTypes[Movement],0)),"?")="Yes","Orders  ","")&amp;IF(IFERROR(INDEX(tblMoveTypes[Courier?],MATCH($C162,tblMoveTypes[Movement],0)),"?")="Yes","Courier  ","")&amp;IF(IFERROR(INDEX(tblMoveTypes[Reason?],MATCH($C162,tblMoveTypes[Movement],0)),"?")="Yes","Reason",""),"unknown movement"))</f>
        <v>IN   fill: Item  In  </v>
      </c>
      <c r="E162" s="31" t="s">
        <v>95</v>
      </c>
      <c r="F162" s="33" t="n">
        <v>35</v>
      </c>
      <c r="G162" s="33"/>
      <c r="H162" s="33"/>
      <c r="I162" s="31"/>
      <c r="J162" s="31"/>
      <c r="K162" s="31"/>
      <c r="L162" s="31"/>
      <c r="M162" s="34" t="str">
        <f aca="false">IF($E162="","",IFERROR(INDEX(tblItems[Item Code],MATCH($E162,tblItems[Item Name],0)),"?"))</f>
        <v>EG-FG-GUV-01-02-01-01</v>
      </c>
      <c r="N162" s="34" t="str">
        <f aca="false">IF($B162="","",IFERROR(INDEX(tblShipment[Market],MATCH($B162,tblShipment[Shipment No],0)),"?"))</f>
        <v>Qatar</v>
      </c>
      <c r="O162" s="35" t="n">
        <f aca="false">N($F162)+N($G162)</f>
        <v>35</v>
      </c>
      <c r="P162" s="34" t="str">
        <f aca="false">IF($A162="","",IF($L162="Yes","VOID",IF(COUNTIFS(tblMoveTypes[Movement],$C162)=0,"Unknown movement",IF(COUNTIF(tblShipment[Shipment No],$B162)=0,"Unknown shipment",IF(AND(IFERROR(INDEX(tblMoveTypes[Item?],MATCH($C162,tblMoveTypes[Movement],0)),"?")="Yes",$E162=""),"Item needed",IF(AND(IFERROR(INDEX(tblMoveTypes[Item?],MATCH($C162,tblMoveTypes[Movement],0)),"?")="No",$E162&lt;&gt;""),"Leave Item blank",IF(AND(IFERROR(INDEX(tblMoveTypes[In / Out],MATCH($C162,tblMoveTypes[Movement],0)),"?")="IN",$G162&lt;&gt;""),"Use the In column, not Out",IF(AND(IFERROR(INDEX(tblMoveTypes[In / Out],MATCH($C162,tblMoveTypes[Movement],0)),"?")="OUT",$F162&lt;&gt;""),"Use the Out column, not In",IF(AND(IFERROR(INDEX(tblMoveTypes[Qty?],MATCH($C162,tblMoveTypes[Movement],0)),"?")="Yes",N($F162)+N($G162)&lt;=0),"Qty needed",IF(AND(IFERROR(INDEX(tblMoveTypes[Qty?],MATCH($C162,tblMoveTypes[Movement],0)),"?")="No",N($F162)+N($G162)&gt;0),"Leave In and Out blank",IF(AND(IFERROR(INDEX(tblMoveTypes[Courier?],MATCH($C162,tblMoveTypes[Movement],0)),"?")="Yes",$I162=""),"Courier needed",IF(AND(IFERROR(INDEX(tblMoveTypes[Courier?],MATCH($C162,tblMoveTypes[Movement],0)),"?")="No",$I162&lt;&gt;""),"Leave Courier blank",IF(AND(IFERROR(INDEX(tblMoveTypes[Orders?],MATCH($C162,tblMoveTypes[Movement],0)),"?")="Yes",$H162=""),"Orders needed",IF(AND(IFERROR(INDEX(tblMoveTypes[Orders?],MATCH($C162,tblMoveTypes[Movement],0)),"?")="No",$H162&lt;&gt;""),"Leave Orders blank",IF(AND(IFERROR(INDEX(tblMoveTypes[Reason?],MATCH($C162,tblMoveTypes[Movement],0)),"?")="Yes",$J162=""),"Reason needed",IF($A162&lt;_xlfn.MINIFS(tblShipment[Arrival Date],tblShipment[Shipment No],$B162),"Date before arrival",IF(AND($E162&lt;&gt;"",COUNTIFS(tblShipment[Shipment No],$B162,tblShipment[Item Name],$E162)=0),"Item not in this shipment","OK")))))))))))))))))</f>
        <v>OK</v>
      </c>
    </row>
    <row r="163" customFormat="false" ht="15" hidden="false" customHeight="false" outlineLevel="0" collapsed="false">
      <c r="A163" s="32" t="n">
        <v>46237</v>
      </c>
      <c r="B163" s="31" t="s">
        <v>162</v>
      </c>
      <c r="C163" s="31" t="s">
        <v>78</v>
      </c>
      <c r="D163" s="34" t="str">
        <f aca="false">IF($C163="","",IFERROR(IF(IFERROR(INDEX(tblMoveTypes[In / Out],MATCH($C163,tblMoveTypes[Movement],0)),"?")="IN","IN   ",IF(IFERROR(INDEX(tblMoveTypes[In / Out],MATCH($C163,tblMoveTypes[Movement],0)),"?")="OUT","OUT   ","--   "))&amp;"fill: "&amp;IF(IFERROR(INDEX(tblMoveTypes[Item?],MATCH($C163,tblMoveTypes[Movement],0)),"?")="Yes","Item  ","")&amp;IF(AND(IFERROR(INDEX(tblMoveTypes[Qty?],MATCH($C163,tblMoveTypes[Movement],0)),"?")="Yes",IFERROR(INDEX(tblMoveTypes[In / Out],MATCH($C163,tblMoveTypes[Movement],0)),"?")="IN"),"In  ","")&amp;IF(AND(IFERROR(INDEX(tblMoveTypes[Qty?],MATCH($C163,tblMoveTypes[Movement],0)),"?")="Yes",IFERROR(INDEX(tblMoveTypes[In / Out],MATCH($C163,tblMoveTypes[Movement],0)),"?")="OUT"),"Out  ","")&amp;IF(IFERROR(INDEX(tblMoveTypes[Orders?],MATCH($C163,tblMoveTypes[Movement],0)),"?")="Yes","Orders  ","")&amp;IF(IFERROR(INDEX(tblMoveTypes[Courier?],MATCH($C163,tblMoveTypes[Movement],0)),"?")="Yes","Courier  ","")&amp;IF(IFERROR(INDEX(tblMoveTypes[Reason?],MATCH($C163,tblMoveTypes[Movement],0)),"?")="Yes","Reason",""),"unknown movement"))</f>
        <v>OUT   fill: Item  Out  Reason</v>
      </c>
      <c r="E163" s="31" t="s">
        <v>95</v>
      </c>
      <c r="F163" s="33"/>
      <c r="G163" s="33" t="n">
        <v>1</v>
      </c>
      <c r="H163" s="33"/>
      <c r="I163" s="31"/>
      <c r="J163" s="31" t="s">
        <v>77</v>
      </c>
      <c r="K163" s="31"/>
      <c r="L163" s="31"/>
      <c r="M163" s="34" t="str">
        <f aca="false">IF($E163="","",IFERROR(INDEX(tblItems[Item Code],MATCH($E163,tblItems[Item Name],0)),"?"))</f>
        <v>EG-FG-GUV-01-02-01-01</v>
      </c>
      <c r="N163" s="34" t="str">
        <f aca="false">IF($B163="","",IFERROR(INDEX(tblShipment[Market],MATCH($B163,tblShipment[Shipment No],0)),"?"))</f>
        <v>Qatar</v>
      </c>
      <c r="O163" s="35" t="n">
        <f aca="false">N($F163)+N($G163)</f>
        <v>1</v>
      </c>
      <c r="P163" s="34" t="str">
        <f aca="false">IF($A163="","",IF($L163="Yes","VOID",IF(COUNTIFS(tblMoveTypes[Movement],$C163)=0,"Unknown movement",IF(COUNTIF(tblShipment[Shipment No],$B163)=0,"Unknown shipment",IF(AND(IFERROR(INDEX(tblMoveTypes[Item?],MATCH($C163,tblMoveTypes[Movement],0)),"?")="Yes",$E163=""),"Item needed",IF(AND(IFERROR(INDEX(tblMoveTypes[Item?],MATCH($C163,tblMoveTypes[Movement],0)),"?")="No",$E163&lt;&gt;""),"Leave Item blank",IF(AND(IFERROR(INDEX(tblMoveTypes[In / Out],MATCH($C163,tblMoveTypes[Movement],0)),"?")="IN",$G163&lt;&gt;""),"Use the In column, not Out",IF(AND(IFERROR(INDEX(tblMoveTypes[In / Out],MATCH($C163,tblMoveTypes[Movement],0)),"?")="OUT",$F163&lt;&gt;""),"Use the Out column, not In",IF(AND(IFERROR(INDEX(tblMoveTypes[Qty?],MATCH($C163,tblMoveTypes[Movement],0)),"?")="Yes",N($F163)+N($G163)&lt;=0),"Qty needed",IF(AND(IFERROR(INDEX(tblMoveTypes[Qty?],MATCH($C163,tblMoveTypes[Movement],0)),"?")="No",N($F163)+N($G163)&gt;0),"Leave In and Out blank",IF(AND(IFERROR(INDEX(tblMoveTypes[Courier?],MATCH($C163,tblMoveTypes[Movement],0)),"?")="Yes",$I163=""),"Courier needed",IF(AND(IFERROR(INDEX(tblMoveTypes[Courier?],MATCH($C163,tblMoveTypes[Movement],0)),"?")="No",$I163&lt;&gt;""),"Leave Courier blank",IF(AND(IFERROR(INDEX(tblMoveTypes[Orders?],MATCH($C163,tblMoveTypes[Movement],0)),"?")="Yes",$H163=""),"Orders needed",IF(AND(IFERROR(INDEX(tblMoveTypes[Orders?],MATCH($C163,tblMoveTypes[Movement],0)),"?")="No",$H163&lt;&gt;""),"Leave Orders blank",IF(AND(IFERROR(INDEX(tblMoveTypes[Reason?],MATCH($C163,tblMoveTypes[Movement],0)),"?")="Yes",$J163=""),"Reason needed",IF($A163&lt;_xlfn.MINIFS(tblShipment[Arrival Date],tblShipment[Shipment No],$B163),"Date before arrival",IF(AND($E163&lt;&gt;"",COUNTIFS(tblShipment[Shipment No],$B163,tblShipment[Item Name],$E163)=0),"Item not in this shipment","OK")))))))))))))))))</f>
        <v>OK</v>
      </c>
    </row>
    <row r="164" customFormat="false" ht="15" hidden="false" customHeight="false" outlineLevel="0" collapsed="false">
      <c r="A164" s="32" t="n">
        <v>46237</v>
      </c>
      <c r="B164" s="31" t="s">
        <v>162</v>
      </c>
      <c r="C164" s="31" t="s">
        <v>79</v>
      </c>
      <c r="D164" s="34" t="str">
        <f aca="false">IF($C164="","",IFERROR(IF(IFERROR(INDEX(tblMoveTypes[In / Out],MATCH($C164,tblMoveTypes[Movement],0)),"?")="IN","IN   ",IF(IFERROR(INDEX(tblMoveTypes[In / Out],MATCH($C164,tblMoveTypes[Movement],0)),"?")="OUT","OUT   ","--   "))&amp;"fill: "&amp;IF(IFERROR(INDEX(tblMoveTypes[Item?],MATCH($C164,tblMoveTypes[Movement],0)),"?")="Yes","Item  ","")&amp;IF(AND(IFERROR(INDEX(tblMoveTypes[Qty?],MATCH($C164,tblMoveTypes[Movement],0)),"?")="Yes",IFERROR(INDEX(tblMoveTypes[In / Out],MATCH($C164,tblMoveTypes[Movement],0)),"?")="IN"),"In  ","")&amp;IF(AND(IFERROR(INDEX(tblMoveTypes[Qty?],MATCH($C164,tblMoveTypes[Movement],0)),"?")="Yes",IFERROR(INDEX(tblMoveTypes[In / Out],MATCH($C164,tblMoveTypes[Movement],0)),"?")="OUT"),"Out  ","")&amp;IF(IFERROR(INDEX(tblMoveTypes[Orders?],MATCH($C164,tblMoveTypes[Movement],0)),"?")="Yes","Orders  ","")&amp;IF(IFERROR(INDEX(tblMoveTypes[Courier?],MATCH($C164,tblMoveTypes[Movement],0)),"?")="Yes","Courier  ","")&amp;IF(IFERROR(INDEX(tblMoveTypes[Reason?],MATCH($C164,tblMoveTypes[Movement],0)),"?")="Yes","Reason",""),"unknown movement"))</f>
        <v>IN   fill: Item  In  </v>
      </c>
      <c r="E164" s="31" t="s">
        <v>91</v>
      </c>
      <c r="F164" s="33" t="n">
        <v>55</v>
      </c>
      <c r="G164" s="33"/>
      <c r="H164" s="33"/>
      <c r="I164" s="31"/>
      <c r="J164" s="31"/>
      <c r="K164" s="31"/>
      <c r="L164" s="31"/>
      <c r="M164" s="34" t="str">
        <f aca="false">IF($E164="","",IFERROR(INDEX(tblItems[Item Code],MATCH($E164,tblItems[Item Name],0)),"?"))</f>
        <v>EG-FG-FIG-01-02-01-01</v>
      </c>
      <c r="N164" s="34" t="str">
        <f aca="false">IF($B164="","",IFERROR(INDEX(tblShipment[Market],MATCH($B164,tblShipment[Shipment No],0)),"?"))</f>
        <v>Qatar</v>
      </c>
      <c r="O164" s="35" t="n">
        <f aca="false">N($F164)+N($G164)</f>
        <v>55</v>
      </c>
      <c r="P164" s="34" t="str">
        <f aca="false">IF($A164="","",IF($L164="Yes","VOID",IF(COUNTIFS(tblMoveTypes[Movement],$C164)=0,"Unknown movement",IF(COUNTIF(tblShipment[Shipment No],$B164)=0,"Unknown shipment",IF(AND(IFERROR(INDEX(tblMoveTypes[Item?],MATCH($C164,tblMoveTypes[Movement],0)),"?")="Yes",$E164=""),"Item needed",IF(AND(IFERROR(INDEX(tblMoveTypes[Item?],MATCH($C164,tblMoveTypes[Movement],0)),"?")="No",$E164&lt;&gt;""),"Leave Item blank",IF(AND(IFERROR(INDEX(tblMoveTypes[In / Out],MATCH($C164,tblMoveTypes[Movement],0)),"?")="IN",$G164&lt;&gt;""),"Use the In column, not Out",IF(AND(IFERROR(INDEX(tblMoveTypes[In / Out],MATCH($C164,tblMoveTypes[Movement],0)),"?")="OUT",$F164&lt;&gt;""),"Use the Out column, not In",IF(AND(IFERROR(INDEX(tblMoveTypes[Qty?],MATCH($C164,tblMoveTypes[Movement],0)),"?")="Yes",N($F164)+N($G164)&lt;=0),"Qty needed",IF(AND(IFERROR(INDEX(tblMoveTypes[Qty?],MATCH($C164,tblMoveTypes[Movement],0)),"?")="No",N($F164)+N($G164)&gt;0),"Leave In and Out blank",IF(AND(IFERROR(INDEX(tblMoveTypes[Courier?],MATCH($C164,tblMoveTypes[Movement],0)),"?")="Yes",$I164=""),"Courier needed",IF(AND(IFERROR(INDEX(tblMoveTypes[Courier?],MATCH($C164,tblMoveTypes[Movement],0)),"?")="No",$I164&lt;&gt;""),"Leave Courier blank",IF(AND(IFERROR(INDEX(tblMoveTypes[Orders?],MATCH($C164,tblMoveTypes[Movement],0)),"?")="Yes",$H164=""),"Orders needed",IF(AND(IFERROR(INDEX(tblMoveTypes[Orders?],MATCH($C164,tblMoveTypes[Movement],0)),"?")="No",$H164&lt;&gt;""),"Leave Orders blank",IF(AND(IFERROR(INDEX(tblMoveTypes[Reason?],MATCH($C164,tblMoveTypes[Movement],0)),"?")="Yes",$J164=""),"Reason needed",IF($A164&lt;_xlfn.MINIFS(tblShipment[Arrival Date],tblShipment[Shipment No],$B164),"Date before arrival",IF(AND($E164&lt;&gt;"",COUNTIFS(tblShipment[Shipment No],$B164,tblShipment[Item Name],$E164)=0),"Item not in this shipment","OK")))))))))))))))))</f>
        <v>OK</v>
      </c>
    </row>
    <row r="165" customFormat="false" ht="15" hidden="false" customHeight="false" outlineLevel="0" collapsed="false">
      <c r="A165" s="32" t="n">
        <v>46237</v>
      </c>
      <c r="B165" s="31" t="s">
        <v>162</v>
      </c>
      <c r="C165" s="31" t="s">
        <v>78</v>
      </c>
      <c r="D165" s="34" t="str">
        <f aca="false">IF($C165="","",IFERROR(IF(IFERROR(INDEX(tblMoveTypes[In / Out],MATCH($C165,tblMoveTypes[Movement],0)),"?")="IN","IN   ",IF(IFERROR(INDEX(tblMoveTypes[In / Out],MATCH($C165,tblMoveTypes[Movement],0)),"?")="OUT","OUT   ","--   "))&amp;"fill: "&amp;IF(IFERROR(INDEX(tblMoveTypes[Item?],MATCH($C165,tblMoveTypes[Movement],0)),"?")="Yes","Item  ","")&amp;IF(AND(IFERROR(INDEX(tblMoveTypes[Qty?],MATCH($C165,tblMoveTypes[Movement],0)),"?")="Yes",IFERROR(INDEX(tblMoveTypes[In / Out],MATCH($C165,tblMoveTypes[Movement],0)),"?")="IN"),"In  ","")&amp;IF(AND(IFERROR(INDEX(tblMoveTypes[Qty?],MATCH($C165,tblMoveTypes[Movement],0)),"?")="Yes",IFERROR(INDEX(tblMoveTypes[In / Out],MATCH($C165,tblMoveTypes[Movement],0)),"?")="OUT"),"Out  ","")&amp;IF(IFERROR(INDEX(tblMoveTypes[Orders?],MATCH($C165,tblMoveTypes[Movement],0)),"?")="Yes","Orders  ","")&amp;IF(IFERROR(INDEX(tblMoveTypes[Courier?],MATCH($C165,tblMoveTypes[Movement],0)),"?")="Yes","Courier  ","")&amp;IF(IFERROR(INDEX(tblMoveTypes[Reason?],MATCH($C165,tblMoveTypes[Movement],0)),"?")="Yes","Reason",""),"unknown movement"))</f>
        <v>OUT   fill: Item  Out  Reason</v>
      </c>
      <c r="E165" s="31" t="s">
        <v>91</v>
      </c>
      <c r="F165" s="33"/>
      <c r="G165" s="33" t="n">
        <v>1</v>
      </c>
      <c r="H165" s="33"/>
      <c r="I165" s="31"/>
      <c r="J165" s="31" t="s">
        <v>86</v>
      </c>
      <c r="K165" s="31"/>
      <c r="L165" s="31"/>
      <c r="M165" s="34" t="str">
        <f aca="false">IF($E165="","",IFERROR(INDEX(tblItems[Item Code],MATCH($E165,tblItems[Item Name],0)),"?"))</f>
        <v>EG-FG-FIG-01-02-01-01</v>
      </c>
      <c r="N165" s="34" t="str">
        <f aca="false">IF($B165="","",IFERROR(INDEX(tblShipment[Market],MATCH($B165,tblShipment[Shipment No],0)),"?"))</f>
        <v>Qatar</v>
      </c>
      <c r="O165" s="35" t="n">
        <f aca="false">N($F165)+N($G165)</f>
        <v>1</v>
      </c>
      <c r="P165" s="34" t="str">
        <f aca="false">IF($A165="","",IF($L165="Yes","VOID",IF(COUNTIFS(tblMoveTypes[Movement],$C165)=0,"Unknown movement",IF(COUNTIF(tblShipment[Shipment No],$B165)=0,"Unknown shipment",IF(AND(IFERROR(INDEX(tblMoveTypes[Item?],MATCH($C165,tblMoveTypes[Movement],0)),"?")="Yes",$E165=""),"Item needed",IF(AND(IFERROR(INDEX(tblMoveTypes[Item?],MATCH($C165,tblMoveTypes[Movement],0)),"?")="No",$E165&lt;&gt;""),"Leave Item blank",IF(AND(IFERROR(INDEX(tblMoveTypes[In / Out],MATCH($C165,tblMoveTypes[Movement],0)),"?")="IN",$G165&lt;&gt;""),"Use the In column, not Out",IF(AND(IFERROR(INDEX(tblMoveTypes[In / Out],MATCH($C165,tblMoveTypes[Movement],0)),"?")="OUT",$F165&lt;&gt;""),"Use the Out column, not In",IF(AND(IFERROR(INDEX(tblMoveTypes[Qty?],MATCH($C165,tblMoveTypes[Movement],0)),"?")="Yes",N($F165)+N($G165)&lt;=0),"Qty needed",IF(AND(IFERROR(INDEX(tblMoveTypes[Qty?],MATCH($C165,tblMoveTypes[Movement],0)),"?")="No",N($F165)+N($G165)&gt;0),"Leave In and Out blank",IF(AND(IFERROR(INDEX(tblMoveTypes[Courier?],MATCH($C165,tblMoveTypes[Movement],0)),"?")="Yes",$I165=""),"Courier needed",IF(AND(IFERROR(INDEX(tblMoveTypes[Courier?],MATCH($C165,tblMoveTypes[Movement],0)),"?")="No",$I165&lt;&gt;""),"Leave Courier blank",IF(AND(IFERROR(INDEX(tblMoveTypes[Orders?],MATCH($C165,tblMoveTypes[Movement],0)),"?")="Yes",$H165=""),"Orders needed",IF(AND(IFERROR(INDEX(tblMoveTypes[Orders?],MATCH($C165,tblMoveTypes[Movement],0)),"?")="No",$H165&lt;&gt;""),"Leave Orders blank",IF(AND(IFERROR(INDEX(tblMoveTypes[Reason?],MATCH($C165,tblMoveTypes[Movement],0)),"?")="Yes",$J165=""),"Reason needed",IF($A165&lt;_xlfn.MINIFS(tblShipment[Arrival Date],tblShipment[Shipment No],$B165),"Date before arrival",IF(AND($E165&lt;&gt;"",COUNTIFS(tblShipment[Shipment No],$B165,tblShipment[Item Name],$E165)=0),"Item not in this shipment","OK")))))))))))))))))</f>
        <v>OK</v>
      </c>
    </row>
    <row r="166" customFormat="false" ht="15" hidden="false" customHeight="false" outlineLevel="0" collapsed="false">
      <c r="A166" s="32" t="n">
        <v>46237</v>
      </c>
      <c r="B166" s="31" t="s">
        <v>162</v>
      </c>
      <c r="C166" s="31" t="s">
        <v>103</v>
      </c>
      <c r="D166" s="34" t="str">
        <f aca="false">IF($C166="","",IFERROR(IF(IFERROR(INDEX(tblMoveTypes[In / Out],MATCH($C166,tblMoveTypes[Movement],0)),"?")="IN","IN   ",IF(IFERROR(INDEX(tblMoveTypes[In / Out],MATCH($C166,tblMoveTypes[Movement],0)),"?")="OUT","OUT   ","--   "))&amp;"fill: "&amp;IF(IFERROR(INDEX(tblMoveTypes[Item?],MATCH($C166,tblMoveTypes[Movement],0)),"?")="Yes","Item  ","")&amp;IF(AND(IFERROR(INDEX(tblMoveTypes[Qty?],MATCH($C166,tblMoveTypes[Movement],0)),"?")="Yes",IFERROR(INDEX(tblMoveTypes[In / Out],MATCH($C166,tblMoveTypes[Movement],0)),"?")="IN"),"In  ","")&amp;IF(AND(IFERROR(INDEX(tblMoveTypes[Qty?],MATCH($C166,tblMoveTypes[Movement],0)),"?")="Yes",IFERROR(INDEX(tblMoveTypes[In / Out],MATCH($C166,tblMoveTypes[Movement],0)),"?")="OUT"),"Out  ","")&amp;IF(IFERROR(INDEX(tblMoveTypes[Orders?],MATCH($C166,tblMoveTypes[Movement],0)),"?")="Yes","Orders  ","")&amp;IF(IFERROR(INDEX(tblMoveTypes[Courier?],MATCH($C166,tblMoveTypes[Movement],0)),"?")="Yes","Courier  ","")&amp;IF(IFERROR(INDEX(tblMoveTypes[Reason?],MATCH($C166,tblMoveTypes[Movement],0)),"?")="Yes","Reason",""),"unknown movement"))</f>
        <v>--   fill: Orders  </v>
      </c>
      <c r="E166" s="31"/>
      <c r="F166" s="33"/>
      <c r="G166" s="33"/>
      <c r="H166" s="33" t="n">
        <v>168</v>
      </c>
      <c r="I166" s="31"/>
      <c r="J166" s="31"/>
      <c r="K166" s="31"/>
      <c r="L166" s="31"/>
      <c r="M166" s="34" t="str">
        <f aca="false">IF($E166="","",IFERROR(INDEX(tblItems[Item Code],MATCH($E166,tblItems[Item Name],0)),"?"))</f>
        <v/>
      </c>
      <c r="N166" s="34" t="str">
        <f aca="false">IF($B166="","",IFERROR(INDEX(tblShipment[Market],MATCH($B166,tblShipment[Shipment No],0)),"?"))</f>
        <v>Qatar</v>
      </c>
      <c r="O166" s="35" t="n">
        <f aca="false">N($F166)+N($G166)</f>
        <v>0</v>
      </c>
      <c r="P166" s="34" t="str">
        <f aca="false">IF($A166="","",IF($L166="Yes","VOID",IF(COUNTIFS(tblMoveTypes[Movement],$C166)=0,"Unknown movement",IF(COUNTIF(tblShipment[Shipment No],$B166)=0,"Unknown shipment",IF(AND(IFERROR(INDEX(tblMoveTypes[Item?],MATCH($C166,tblMoveTypes[Movement],0)),"?")="Yes",$E166=""),"Item needed",IF(AND(IFERROR(INDEX(tblMoveTypes[Item?],MATCH($C166,tblMoveTypes[Movement],0)),"?")="No",$E166&lt;&gt;""),"Leave Item blank",IF(AND(IFERROR(INDEX(tblMoveTypes[In / Out],MATCH($C166,tblMoveTypes[Movement],0)),"?")="IN",$G166&lt;&gt;""),"Use the In column, not Out",IF(AND(IFERROR(INDEX(tblMoveTypes[In / Out],MATCH($C166,tblMoveTypes[Movement],0)),"?")="OUT",$F166&lt;&gt;""),"Use the Out column, not In",IF(AND(IFERROR(INDEX(tblMoveTypes[Qty?],MATCH($C166,tblMoveTypes[Movement],0)),"?")="Yes",N($F166)+N($G166)&lt;=0),"Qty needed",IF(AND(IFERROR(INDEX(tblMoveTypes[Qty?],MATCH($C166,tblMoveTypes[Movement],0)),"?")="No",N($F166)+N($G166)&gt;0),"Leave In and Out blank",IF(AND(IFERROR(INDEX(tblMoveTypes[Courier?],MATCH($C166,tblMoveTypes[Movement],0)),"?")="Yes",$I166=""),"Courier needed",IF(AND(IFERROR(INDEX(tblMoveTypes[Courier?],MATCH($C166,tblMoveTypes[Movement],0)),"?")="No",$I166&lt;&gt;""),"Leave Courier blank",IF(AND(IFERROR(INDEX(tblMoveTypes[Orders?],MATCH($C166,tblMoveTypes[Movement],0)),"?")="Yes",$H166=""),"Orders needed",IF(AND(IFERROR(INDEX(tblMoveTypes[Orders?],MATCH($C166,tblMoveTypes[Movement],0)),"?")="No",$H166&lt;&gt;""),"Leave Orders blank",IF(AND(IFERROR(INDEX(tblMoveTypes[Reason?],MATCH($C166,tblMoveTypes[Movement],0)),"?")="Yes",$J166=""),"Reason needed",IF($A166&lt;_xlfn.MINIFS(tblShipment[Arrival Date],tblShipment[Shipment No],$B166),"Date before arrival",IF(AND($E166&lt;&gt;"",COUNTIFS(tblShipment[Shipment No],$B166,tblShipment[Item Name],$E166)=0),"Item not in this shipment","OK")))))))))))))))))</f>
        <v>OK</v>
      </c>
    </row>
    <row r="167" customFormat="false" ht="15" hidden="false" customHeight="false" outlineLevel="0" collapsed="false">
      <c r="A167" s="32" t="n">
        <v>46237</v>
      </c>
      <c r="B167" s="31" t="s">
        <v>162</v>
      </c>
      <c r="C167" s="31" t="s">
        <v>98</v>
      </c>
      <c r="D167" s="34" t="str">
        <f aca="false">IF($C167="","",IFERROR(IF(IFERROR(INDEX(tblMoveTypes[In / Out],MATCH($C167,tblMoveTypes[Movement],0)),"?")="IN","IN   ",IF(IFERROR(INDEX(tblMoveTypes[In / Out],MATCH($C167,tblMoveTypes[Movement],0)),"?")="OUT","OUT   ","--   "))&amp;"fill: "&amp;IF(IFERROR(INDEX(tblMoveTypes[Item?],MATCH($C167,tblMoveTypes[Movement],0)),"?")="Yes","Item  ","")&amp;IF(AND(IFERROR(INDEX(tblMoveTypes[Qty?],MATCH($C167,tblMoveTypes[Movement],0)),"?")="Yes",IFERROR(INDEX(tblMoveTypes[In / Out],MATCH($C167,tblMoveTypes[Movement],0)),"?")="IN"),"In  ","")&amp;IF(AND(IFERROR(INDEX(tblMoveTypes[Qty?],MATCH($C167,tblMoveTypes[Movement],0)),"?")="Yes",IFERROR(INDEX(tblMoveTypes[In / Out],MATCH($C167,tblMoveTypes[Movement],0)),"?")="OUT"),"Out  ","")&amp;IF(IFERROR(INDEX(tblMoveTypes[Orders?],MATCH($C167,tblMoveTypes[Movement],0)),"?")="Yes","Orders  ","")&amp;IF(IFERROR(INDEX(tblMoveTypes[Courier?],MATCH($C167,tblMoveTypes[Movement],0)),"?")="Yes","Courier  ","")&amp;IF(IFERROR(INDEX(tblMoveTypes[Reason?],MATCH($C167,tblMoveTypes[Movement],0)),"?")="Yes","Reason",""),"unknown movement"))</f>
        <v>OUT   fill: Item  Out  Courier  </v>
      </c>
      <c r="E167" s="31" t="s">
        <v>72</v>
      </c>
      <c r="F167" s="33"/>
      <c r="G167" s="33" t="n">
        <v>94</v>
      </c>
      <c r="H167" s="33"/>
      <c r="I167" s="31" t="s">
        <v>76</v>
      </c>
      <c r="J167" s="31"/>
      <c r="K167" s="31"/>
      <c r="L167" s="31"/>
      <c r="M167" s="34" t="str">
        <f aca="false">IF($E167="","",IFERROR(INDEX(tblItems[Item Code],MATCH($E167,tblItems[Item Name],0)),"?"))</f>
        <v>EG-FG-MNG-05-02-01-01</v>
      </c>
      <c r="N167" s="34" t="str">
        <f aca="false">IF($B167="","",IFERROR(INDEX(tblShipment[Market],MATCH($B167,tblShipment[Shipment No],0)),"?"))</f>
        <v>Qatar</v>
      </c>
      <c r="O167" s="35" t="n">
        <f aca="false">N($F167)+N($G167)</f>
        <v>94</v>
      </c>
      <c r="P167" s="34" t="str">
        <f aca="false">IF($A167="","",IF($L167="Yes","VOID",IF(COUNTIFS(tblMoveTypes[Movement],$C167)=0,"Unknown movement",IF(COUNTIF(tblShipment[Shipment No],$B167)=0,"Unknown shipment",IF(AND(IFERROR(INDEX(tblMoveTypes[Item?],MATCH($C167,tblMoveTypes[Movement],0)),"?")="Yes",$E167=""),"Item needed",IF(AND(IFERROR(INDEX(tblMoveTypes[Item?],MATCH($C167,tblMoveTypes[Movement],0)),"?")="No",$E167&lt;&gt;""),"Leave Item blank",IF(AND(IFERROR(INDEX(tblMoveTypes[In / Out],MATCH($C167,tblMoveTypes[Movement],0)),"?")="IN",$G167&lt;&gt;""),"Use the In column, not Out",IF(AND(IFERROR(INDEX(tblMoveTypes[In / Out],MATCH($C167,tblMoveTypes[Movement],0)),"?")="OUT",$F167&lt;&gt;""),"Use the Out column, not In",IF(AND(IFERROR(INDEX(tblMoveTypes[Qty?],MATCH($C167,tblMoveTypes[Movement],0)),"?")="Yes",N($F167)+N($G167)&lt;=0),"Qty needed",IF(AND(IFERROR(INDEX(tblMoveTypes[Qty?],MATCH($C167,tblMoveTypes[Movement],0)),"?")="No",N($F167)+N($G167)&gt;0),"Leave In and Out blank",IF(AND(IFERROR(INDEX(tblMoveTypes[Courier?],MATCH($C167,tblMoveTypes[Movement],0)),"?")="Yes",$I167=""),"Courier needed",IF(AND(IFERROR(INDEX(tblMoveTypes[Courier?],MATCH($C167,tblMoveTypes[Movement],0)),"?")="No",$I167&lt;&gt;""),"Leave Courier blank",IF(AND(IFERROR(INDEX(tblMoveTypes[Orders?],MATCH($C167,tblMoveTypes[Movement],0)),"?")="Yes",$H167=""),"Orders needed",IF(AND(IFERROR(INDEX(tblMoveTypes[Orders?],MATCH($C167,tblMoveTypes[Movement],0)),"?")="No",$H167&lt;&gt;""),"Leave Orders blank",IF(AND(IFERROR(INDEX(tblMoveTypes[Reason?],MATCH($C167,tblMoveTypes[Movement],0)),"?")="Yes",$J167=""),"Reason needed",IF($A167&lt;_xlfn.MINIFS(tblShipment[Arrival Date],tblShipment[Shipment No],$B167),"Date before arrival",IF(AND($E167&lt;&gt;"",COUNTIFS(tblShipment[Shipment No],$B167,tblShipment[Item Name],$E167)=0),"Item not in this shipment","OK")))))))))))))))))</f>
        <v>OK</v>
      </c>
    </row>
    <row r="168" customFormat="false" ht="15" hidden="false" customHeight="false" outlineLevel="0" collapsed="false">
      <c r="A168" s="32" t="n">
        <v>46237</v>
      </c>
      <c r="B168" s="31" t="s">
        <v>162</v>
      </c>
      <c r="C168" s="31" t="s">
        <v>98</v>
      </c>
      <c r="D168" s="34" t="str">
        <f aca="false">IF($C168="","",IFERROR(IF(IFERROR(INDEX(tblMoveTypes[In / Out],MATCH($C168,tblMoveTypes[Movement],0)),"?")="IN","IN   ",IF(IFERROR(INDEX(tblMoveTypes[In / Out],MATCH($C168,tblMoveTypes[Movement],0)),"?")="OUT","OUT   ","--   "))&amp;"fill: "&amp;IF(IFERROR(INDEX(tblMoveTypes[Item?],MATCH($C168,tblMoveTypes[Movement],0)),"?")="Yes","Item  ","")&amp;IF(AND(IFERROR(INDEX(tblMoveTypes[Qty?],MATCH($C168,tblMoveTypes[Movement],0)),"?")="Yes",IFERROR(INDEX(tblMoveTypes[In / Out],MATCH($C168,tblMoveTypes[Movement],0)),"?")="IN"),"In  ","")&amp;IF(AND(IFERROR(INDEX(tblMoveTypes[Qty?],MATCH($C168,tblMoveTypes[Movement],0)),"?")="Yes",IFERROR(INDEX(tblMoveTypes[In / Out],MATCH($C168,tblMoveTypes[Movement],0)),"?")="OUT"),"Out  ","")&amp;IF(IFERROR(INDEX(tblMoveTypes[Orders?],MATCH($C168,tblMoveTypes[Movement],0)),"?")="Yes","Orders  ","")&amp;IF(IFERROR(INDEX(tblMoveTypes[Courier?],MATCH($C168,tblMoveTypes[Movement],0)),"?")="Yes","Courier  ","")&amp;IF(IFERROR(INDEX(tblMoveTypes[Reason?],MATCH($C168,tblMoveTypes[Movement],0)),"?")="Yes","Reason",""),"unknown movement"))</f>
        <v>OUT   fill: Item  Out  Courier  </v>
      </c>
      <c r="E168" s="31" t="s">
        <v>84</v>
      </c>
      <c r="F168" s="33"/>
      <c r="G168" s="33" t="n">
        <v>123</v>
      </c>
      <c r="H168" s="33"/>
      <c r="I168" s="31" t="s">
        <v>76</v>
      </c>
      <c r="J168" s="31"/>
      <c r="K168" s="31"/>
      <c r="L168" s="31"/>
      <c r="M168" s="34" t="str">
        <f aca="false">IF($E168="","",IFERROR(INDEX(tblItems[Item Code],MATCH($E168,tblItems[Item Name],0)),"?"))</f>
        <v>EG-FG-MNG-12-02-01-01</v>
      </c>
      <c r="N168" s="34" t="str">
        <f aca="false">IF($B168="","",IFERROR(INDEX(tblShipment[Market],MATCH($B168,tblShipment[Shipment No],0)),"?"))</f>
        <v>Qatar</v>
      </c>
      <c r="O168" s="35" t="n">
        <f aca="false">N($F168)+N($G168)</f>
        <v>123</v>
      </c>
      <c r="P168" s="34" t="str">
        <f aca="false">IF($A168="","",IF($L168="Yes","VOID",IF(COUNTIFS(tblMoveTypes[Movement],$C168)=0,"Unknown movement",IF(COUNTIF(tblShipment[Shipment No],$B168)=0,"Unknown shipment",IF(AND(IFERROR(INDEX(tblMoveTypes[Item?],MATCH($C168,tblMoveTypes[Movement],0)),"?")="Yes",$E168=""),"Item needed",IF(AND(IFERROR(INDEX(tblMoveTypes[Item?],MATCH($C168,tblMoveTypes[Movement],0)),"?")="No",$E168&lt;&gt;""),"Leave Item blank",IF(AND(IFERROR(INDEX(tblMoveTypes[In / Out],MATCH($C168,tblMoveTypes[Movement],0)),"?")="IN",$G168&lt;&gt;""),"Use the In column, not Out",IF(AND(IFERROR(INDEX(tblMoveTypes[In / Out],MATCH($C168,tblMoveTypes[Movement],0)),"?")="OUT",$F168&lt;&gt;""),"Use the Out column, not In",IF(AND(IFERROR(INDEX(tblMoveTypes[Qty?],MATCH($C168,tblMoveTypes[Movement],0)),"?")="Yes",N($F168)+N($G168)&lt;=0),"Qty needed",IF(AND(IFERROR(INDEX(tblMoveTypes[Qty?],MATCH($C168,tblMoveTypes[Movement],0)),"?")="No",N($F168)+N($G168)&gt;0),"Leave In and Out blank",IF(AND(IFERROR(INDEX(tblMoveTypes[Courier?],MATCH($C168,tblMoveTypes[Movement],0)),"?")="Yes",$I168=""),"Courier needed",IF(AND(IFERROR(INDEX(tblMoveTypes[Courier?],MATCH($C168,tblMoveTypes[Movement],0)),"?")="No",$I168&lt;&gt;""),"Leave Courier blank",IF(AND(IFERROR(INDEX(tblMoveTypes[Orders?],MATCH($C168,tblMoveTypes[Movement],0)),"?")="Yes",$H168=""),"Orders needed",IF(AND(IFERROR(INDEX(tblMoveTypes[Orders?],MATCH($C168,tblMoveTypes[Movement],0)),"?")="No",$H168&lt;&gt;""),"Leave Orders blank",IF(AND(IFERROR(INDEX(tblMoveTypes[Reason?],MATCH($C168,tblMoveTypes[Movement],0)),"?")="Yes",$J168=""),"Reason needed",IF($A168&lt;_xlfn.MINIFS(tblShipment[Arrival Date],tblShipment[Shipment No],$B168),"Date before arrival",IF(AND($E168&lt;&gt;"",COUNTIFS(tblShipment[Shipment No],$B168,tblShipment[Item Name],$E168)=0),"Item not in this shipment","OK")))))))))))))))))</f>
        <v>OK</v>
      </c>
    </row>
    <row r="169" customFormat="false" ht="15" hidden="false" customHeight="false" outlineLevel="0" collapsed="false">
      <c r="A169" s="32" t="n">
        <v>46237</v>
      </c>
      <c r="B169" s="31" t="s">
        <v>162</v>
      </c>
      <c r="C169" s="31" t="s">
        <v>98</v>
      </c>
      <c r="D169" s="34" t="str">
        <f aca="false">IF($C169="","",IFERROR(IF(IFERROR(INDEX(tblMoveTypes[In / Out],MATCH($C169,tblMoveTypes[Movement],0)),"?")="IN","IN   ",IF(IFERROR(INDEX(tblMoveTypes[In / Out],MATCH($C169,tblMoveTypes[Movement],0)),"?")="OUT","OUT   ","--   "))&amp;"fill: "&amp;IF(IFERROR(INDEX(tblMoveTypes[Item?],MATCH($C169,tblMoveTypes[Movement],0)),"?")="Yes","Item  ","")&amp;IF(AND(IFERROR(INDEX(tblMoveTypes[Qty?],MATCH($C169,tblMoveTypes[Movement],0)),"?")="Yes",IFERROR(INDEX(tblMoveTypes[In / Out],MATCH($C169,tblMoveTypes[Movement],0)),"?")="IN"),"In  ","")&amp;IF(AND(IFERROR(INDEX(tblMoveTypes[Qty?],MATCH($C169,tblMoveTypes[Movement],0)),"?")="Yes",IFERROR(INDEX(tblMoveTypes[In / Out],MATCH($C169,tblMoveTypes[Movement],0)),"?")="OUT"),"Out  ","")&amp;IF(IFERROR(INDEX(tblMoveTypes[Orders?],MATCH($C169,tblMoveTypes[Movement],0)),"?")="Yes","Orders  ","")&amp;IF(IFERROR(INDEX(tblMoveTypes[Courier?],MATCH($C169,tblMoveTypes[Movement],0)),"?")="Yes","Courier  ","")&amp;IF(IFERROR(INDEX(tblMoveTypes[Reason?],MATCH($C169,tblMoveTypes[Movement],0)),"?")="Yes","Reason",""),"unknown movement"))</f>
        <v>OUT   fill: Item  Out  Courier  </v>
      </c>
      <c r="E169" s="31" t="s">
        <v>100</v>
      </c>
      <c r="F169" s="33"/>
      <c r="G169" s="33" t="n">
        <v>24</v>
      </c>
      <c r="H169" s="33"/>
      <c r="I169" s="31" t="s">
        <v>76</v>
      </c>
      <c r="J169" s="31"/>
      <c r="K169" s="31"/>
      <c r="L169" s="31"/>
      <c r="M169" s="34" t="str">
        <f aca="false">IF($E169="","",IFERROR(INDEX(tblItems[Item Code],MATCH($E169,tblItems[Item Name],0)),"?"))</f>
        <v>EG-FG-MNG-18-02-01-01</v>
      </c>
      <c r="N169" s="34" t="str">
        <f aca="false">IF($B169="","",IFERROR(INDEX(tblShipment[Market],MATCH($B169,tblShipment[Shipment No],0)),"?"))</f>
        <v>Qatar</v>
      </c>
      <c r="O169" s="35" t="n">
        <f aca="false">N($F169)+N($G169)</f>
        <v>24</v>
      </c>
      <c r="P169" s="34" t="str">
        <f aca="false">IF($A169="","",IF($L169="Yes","VOID",IF(COUNTIFS(tblMoveTypes[Movement],$C169)=0,"Unknown movement",IF(COUNTIF(tblShipment[Shipment No],$B169)=0,"Unknown shipment",IF(AND(IFERROR(INDEX(tblMoveTypes[Item?],MATCH($C169,tblMoveTypes[Movement],0)),"?")="Yes",$E169=""),"Item needed",IF(AND(IFERROR(INDEX(tblMoveTypes[Item?],MATCH($C169,tblMoveTypes[Movement],0)),"?")="No",$E169&lt;&gt;""),"Leave Item blank",IF(AND(IFERROR(INDEX(tblMoveTypes[In / Out],MATCH($C169,tblMoveTypes[Movement],0)),"?")="IN",$G169&lt;&gt;""),"Use the In column, not Out",IF(AND(IFERROR(INDEX(tblMoveTypes[In / Out],MATCH($C169,tblMoveTypes[Movement],0)),"?")="OUT",$F169&lt;&gt;""),"Use the Out column, not In",IF(AND(IFERROR(INDEX(tblMoveTypes[Qty?],MATCH($C169,tblMoveTypes[Movement],0)),"?")="Yes",N($F169)+N($G169)&lt;=0),"Qty needed",IF(AND(IFERROR(INDEX(tblMoveTypes[Qty?],MATCH($C169,tblMoveTypes[Movement],0)),"?")="No",N($F169)+N($G169)&gt;0),"Leave In and Out blank",IF(AND(IFERROR(INDEX(tblMoveTypes[Courier?],MATCH($C169,tblMoveTypes[Movement],0)),"?")="Yes",$I169=""),"Courier needed",IF(AND(IFERROR(INDEX(tblMoveTypes[Courier?],MATCH($C169,tblMoveTypes[Movement],0)),"?")="No",$I169&lt;&gt;""),"Leave Courier blank",IF(AND(IFERROR(INDEX(tblMoveTypes[Orders?],MATCH($C169,tblMoveTypes[Movement],0)),"?")="Yes",$H169=""),"Orders needed",IF(AND(IFERROR(INDEX(tblMoveTypes[Orders?],MATCH($C169,tblMoveTypes[Movement],0)),"?")="No",$H169&lt;&gt;""),"Leave Orders blank",IF(AND(IFERROR(INDEX(tblMoveTypes[Reason?],MATCH($C169,tblMoveTypes[Movement],0)),"?")="Yes",$J169=""),"Reason needed",IF($A169&lt;_xlfn.MINIFS(tblShipment[Arrival Date],tblShipment[Shipment No],$B169),"Date before arrival",IF(AND($E169&lt;&gt;"",COUNTIFS(tblShipment[Shipment No],$B169,tblShipment[Item Name],$E169)=0),"Item not in this shipment","OK")))))))))))))))))</f>
        <v>OK</v>
      </c>
    </row>
    <row r="170" customFormat="false" ht="15" hidden="false" customHeight="false" outlineLevel="0" collapsed="false">
      <c r="A170" s="32" t="n">
        <v>46237</v>
      </c>
      <c r="B170" s="31" t="s">
        <v>162</v>
      </c>
      <c r="C170" s="31" t="s">
        <v>98</v>
      </c>
      <c r="D170" s="34" t="str">
        <f aca="false">IF($C170="","",IFERROR(IF(IFERROR(INDEX(tblMoveTypes[In / Out],MATCH($C170,tblMoveTypes[Movement],0)),"?")="IN","IN   ",IF(IFERROR(INDEX(tblMoveTypes[In / Out],MATCH($C170,tblMoveTypes[Movement],0)),"?")="OUT","OUT   ","--   "))&amp;"fill: "&amp;IF(IFERROR(INDEX(tblMoveTypes[Item?],MATCH($C170,tblMoveTypes[Movement],0)),"?")="Yes","Item  ","")&amp;IF(AND(IFERROR(INDEX(tblMoveTypes[Qty?],MATCH($C170,tblMoveTypes[Movement],0)),"?")="Yes",IFERROR(INDEX(tblMoveTypes[In / Out],MATCH($C170,tblMoveTypes[Movement],0)),"?")="IN"),"In  ","")&amp;IF(AND(IFERROR(INDEX(tblMoveTypes[Qty?],MATCH($C170,tblMoveTypes[Movement],0)),"?")="Yes",IFERROR(INDEX(tblMoveTypes[In / Out],MATCH($C170,tblMoveTypes[Movement],0)),"?")="OUT"),"Out  ","")&amp;IF(IFERROR(INDEX(tblMoveTypes[Orders?],MATCH($C170,tblMoveTypes[Movement],0)),"?")="Yes","Orders  ","")&amp;IF(IFERROR(INDEX(tblMoveTypes[Courier?],MATCH($C170,tblMoveTypes[Movement],0)),"?")="Yes","Courier  ","")&amp;IF(IFERROR(INDEX(tblMoveTypes[Reason?],MATCH($C170,tblMoveTypes[Movement],0)),"?")="Yes","Reason",""),"unknown movement"))</f>
        <v>OUT   fill: Item  Out  Courier  </v>
      </c>
      <c r="E170" s="31" t="s">
        <v>106</v>
      </c>
      <c r="F170" s="33"/>
      <c r="G170" s="33" t="n">
        <v>25</v>
      </c>
      <c r="H170" s="33"/>
      <c r="I170" s="31" t="s">
        <v>76</v>
      </c>
      <c r="J170" s="31"/>
      <c r="K170" s="31"/>
      <c r="L170" s="31"/>
      <c r="M170" s="34" t="str">
        <f aca="false">IF($E170="","",IFERROR(INDEX(tblItems[Item Code],MATCH($E170,tblItems[Item Name],0)),"?"))</f>
        <v>EG-FG-DAT-01-02-01-01</v>
      </c>
      <c r="N170" s="34" t="str">
        <f aca="false">IF($B170="","",IFERROR(INDEX(tblShipment[Market],MATCH($B170,tblShipment[Shipment No],0)),"?"))</f>
        <v>Qatar</v>
      </c>
      <c r="O170" s="35" t="n">
        <f aca="false">N($F170)+N($G170)</f>
        <v>25</v>
      </c>
      <c r="P170" s="34" t="str">
        <f aca="false">IF($A170="","",IF($L170="Yes","VOID",IF(COUNTIFS(tblMoveTypes[Movement],$C170)=0,"Unknown movement",IF(COUNTIF(tblShipment[Shipment No],$B170)=0,"Unknown shipment",IF(AND(IFERROR(INDEX(tblMoveTypes[Item?],MATCH($C170,tblMoveTypes[Movement],0)),"?")="Yes",$E170=""),"Item needed",IF(AND(IFERROR(INDEX(tblMoveTypes[Item?],MATCH($C170,tblMoveTypes[Movement],0)),"?")="No",$E170&lt;&gt;""),"Leave Item blank",IF(AND(IFERROR(INDEX(tblMoveTypes[In / Out],MATCH($C170,tblMoveTypes[Movement],0)),"?")="IN",$G170&lt;&gt;""),"Use the In column, not Out",IF(AND(IFERROR(INDEX(tblMoveTypes[In / Out],MATCH($C170,tblMoveTypes[Movement],0)),"?")="OUT",$F170&lt;&gt;""),"Use the Out column, not In",IF(AND(IFERROR(INDEX(tblMoveTypes[Qty?],MATCH($C170,tblMoveTypes[Movement],0)),"?")="Yes",N($F170)+N($G170)&lt;=0),"Qty needed",IF(AND(IFERROR(INDEX(tblMoveTypes[Qty?],MATCH($C170,tblMoveTypes[Movement],0)),"?")="No",N($F170)+N($G170)&gt;0),"Leave In and Out blank",IF(AND(IFERROR(INDEX(tblMoveTypes[Courier?],MATCH($C170,tblMoveTypes[Movement],0)),"?")="Yes",$I170=""),"Courier needed",IF(AND(IFERROR(INDEX(tblMoveTypes[Courier?],MATCH($C170,tblMoveTypes[Movement],0)),"?")="No",$I170&lt;&gt;""),"Leave Courier blank",IF(AND(IFERROR(INDEX(tblMoveTypes[Orders?],MATCH($C170,tblMoveTypes[Movement],0)),"?")="Yes",$H170=""),"Orders needed",IF(AND(IFERROR(INDEX(tblMoveTypes[Orders?],MATCH($C170,tblMoveTypes[Movement],0)),"?")="No",$H170&lt;&gt;""),"Leave Orders blank",IF(AND(IFERROR(INDEX(tblMoveTypes[Reason?],MATCH($C170,tblMoveTypes[Movement],0)),"?")="Yes",$J170=""),"Reason needed",IF($A170&lt;_xlfn.MINIFS(tblShipment[Arrival Date],tblShipment[Shipment No],$B170),"Date before arrival",IF(AND($E170&lt;&gt;"",COUNTIFS(tblShipment[Shipment No],$B170,tblShipment[Item Name],$E170)=0),"Item not in this shipment","OK")))))))))))))))))</f>
        <v>OK</v>
      </c>
    </row>
    <row r="171" customFormat="false" ht="15" hidden="false" customHeight="false" outlineLevel="0" collapsed="false">
      <c r="A171" s="32" t="n">
        <v>46237</v>
      </c>
      <c r="B171" s="31" t="s">
        <v>162</v>
      </c>
      <c r="C171" s="31" t="s">
        <v>98</v>
      </c>
      <c r="D171" s="34" t="str">
        <f aca="false">IF($C171="","",IFERROR(IF(IFERROR(INDEX(tblMoveTypes[In / Out],MATCH($C171,tblMoveTypes[Movement],0)),"?")="IN","IN   ",IF(IFERROR(INDEX(tblMoveTypes[In / Out],MATCH($C171,tblMoveTypes[Movement],0)),"?")="OUT","OUT   ","--   "))&amp;"fill: "&amp;IF(IFERROR(INDEX(tblMoveTypes[Item?],MATCH($C171,tblMoveTypes[Movement],0)),"?")="Yes","Item  ","")&amp;IF(AND(IFERROR(INDEX(tblMoveTypes[Qty?],MATCH($C171,tblMoveTypes[Movement],0)),"?")="Yes",IFERROR(INDEX(tblMoveTypes[In / Out],MATCH($C171,tblMoveTypes[Movement],0)),"?")="IN"),"In  ","")&amp;IF(AND(IFERROR(INDEX(tblMoveTypes[Qty?],MATCH($C171,tblMoveTypes[Movement],0)),"?")="Yes",IFERROR(INDEX(tblMoveTypes[In / Out],MATCH($C171,tblMoveTypes[Movement],0)),"?")="OUT"),"Out  ","")&amp;IF(IFERROR(INDEX(tblMoveTypes[Orders?],MATCH($C171,tblMoveTypes[Movement],0)),"?")="Yes","Orders  ","")&amp;IF(IFERROR(INDEX(tblMoveTypes[Courier?],MATCH($C171,tblMoveTypes[Movement],0)),"?")="Yes","Courier  ","")&amp;IF(IFERROR(INDEX(tblMoveTypes[Reason?],MATCH($C171,tblMoveTypes[Movement],0)),"?")="Yes","Reason",""),"unknown movement"))</f>
        <v>OUT   fill: Item  Out  Courier  </v>
      </c>
      <c r="E171" s="31" t="s">
        <v>141</v>
      </c>
      <c r="F171" s="33"/>
      <c r="G171" s="33" t="n">
        <v>20</v>
      </c>
      <c r="H171" s="33"/>
      <c r="I171" s="31" t="s">
        <v>76</v>
      </c>
      <c r="J171" s="31"/>
      <c r="K171" s="31"/>
      <c r="L171" s="31"/>
      <c r="M171" s="34" t="str">
        <f aca="false">IF($E171="","",IFERROR(INDEX(tblItems[Item Code],MATCH($E171,tblItems[Item Name],0)),"?"))</f>
        <v>EG-FG-CAN-01-02-01-01</v>
      </c>
      <c r="N171" s="34" t="str">
        <f aca="false">IF($B171="","",IFERROR(INDEX(tblShipment[Market],MATCH($B171,tblShipment[Shipment No],0)),"?"))</f>
        <v>Qatar</v>
      </c>
      <c r="O171" s="35" t="n">
        <f aca="false">N($F171)+N($G171)</f>
        <v>20</v>
      </c>
      <c r="P171" s="34" t="str">
        <f aca="false">IF($A171="","",IF($L171="Yes","VOID",IF(COUNTIFS(tblMoveTypes[Movement],$C171)=0,"Unknown movement",IF(COUNTIF(tblShipment[Shipment No],$B171)=0,"Unknown shipment",IF(AND(IFERROR(INDEX(tblMoveTypes[Item?],MATCH($C171,tblMoveTypes[Movement],0)),"?")="Yes",$E171=""),"Item needed",IF(AND(IFERROR(INDEX(tblMoveTypes[Item?],MATCH($C171,tblMoveTypes[Movement],0)),"?")="No",$E171&lt;&gt;""),"Leave Item blank",IF(AND(IFERROR(INDEX(tblMoveTypes[In / Out],MATCH($C171,tblMoveTypes[Movement],0)),"?")="IN",$G171&lt;&gt;""),"Use the In column, not Out",IF(AND(IFERROR(INDEX(tblMoveTypes[In / Out],MATCH($C171,tblMoveTypes[Movement],0)),"?")="OUT",$F171&lt;&gt;""),"Use the Out column, not In",IF(AND(IFERROR(INDEX(tblMoveTypes[Qty?],MATCH($C171,tblMoveTypes[Movement],0)),"?")="Yes",N($F171)+N($G171)&lt;=0),"Qty needed",IF(AND(IFERROR(INDEX(tblMoveTypes[Qty?],MATCH($C171,tblMoveTypes[Movement],0)),"?")="No",N($F171)+N($G171)&gt;0),"Leave In and Out blank",IF(AND(IFERROR(INDEX(tblMoveTypes[Courier?],MATCH($C171,tblMoveTypes[Movement],0)),"?")="Yes",$I171=""),"Courier needed",IF(AND(IFERROR(INDEX(tblMoveTypes[Courier?],MATCH($C171,tblMoveTypes[Movement],0)),"?")="No",$I171&lt;&gt;""),"Leave Courier blank",IF(AND(IFERROR(INDEX(tblMoveTypes[Orders?],MATCH($C171,tblMoveTypes[Movement],0)),"?")="Yes",$H171=""),"Orders needed",IF(AND(IFERROR(INDEX(tblMoveTypes[Orders?],MATCH($C171,tblMoveTypes[Movement],0)),"?")="No",$H171&lt;&gt;""),"Leave Orders blank",IF(AND(IFERROR(INDEX(tblMoveTypes[Reason?],MATCH($C171,tblMoveTypes[Movement],0)),"?")="Yes",$J171=""),"Reason needed",IF($A171&lt;_xlfn.MINIFS(tblShipment[Arrival Date],tblShipment[Shipment No],$B171),"Date before arrival",IF(AND($E171&lt;&gt;"",COUNTIFS(tblShipment[Shipment No],$B171,tblShipment[Item Name],$E171)=0),"Item not in this shipment","OK")))))))))))))))))</f>
        <v>OK</v>
      </c>
    </row>
    <row r="172" customFormat="false" ht="15" hidden="false" customHeight="false" outlineLevel="0" collapsed="false">
      <c r="A172" s="32" t="n">
        <v>46237</v>
      </c>
      <c r="B172" s="31" t="s">
        <v>162</v>
      </c>
      <c r="C172" s="31" t="s">
        <v>98</v>
      </c>
      <c r="D172" s="34" t="str">
        <f aca="false">IF($C172="","",IFERROR(IF(IFERROR(INDEX(tblMoveTypes[In / Out],MATCH($C172,tblMoveTypes[Movement],0)),"?")="IN","IN   ",IF(IFERROR(INDEX(tblMoveTypes[In / Out],MATCH($C172,tblMoveTypes[Movement],0)),"?")="OUT","OUT   ","--   "))&amp;"fill: "&amp;IF(IFERROR(INDEX(tblMoveTypes[Item?],MATCH($C172,tblMoveTypes[Movement],0)),"?")="Yes","Item  ","")&amp;IF(AND(IFERROR(INDEX(tblMoveTypes[Qty?],MATCH($C172,tblMoveTypes[Movement],0)),"?")="Yes",IFERROR(INDEX(tblMoveTypes[In / Out],MATCH($C172,tblMoveTypes[Movement],0)),"?")="IN"),"In  ","")&amp;IF(AND(IFERROR(INDEX(tblMoveTypes[Qty?],MATCH($C172,tblMoveTypes[Movement],0)),"?")="Yes",IFERROR(INDEX(tblMoveTypes[In / Out],MATCH($C172,tblMoveTypes[Movement],0)),"?")="OUT"),"Out  ","")&amp;IF(IFERROR(INDEX(tblMoveTypes[Orders?],MATCH($C172,tblMoveTypes[Movement],0)),"?")="Yes","Orders  ","")&amp;IF(IFERROR(INDEX(tblMoveTypes[Courier?],MATCH($C172,tblMoveTypes[Movement],0)),"?")="Yes","Courier  ","")&amp;IF(IFERROR(INDEX(tblMoveTypes[Reason?],MATCH($C172,tblMoveTypes[Movement],0)),"?")="Yes","Reason",""),"unknown movement"))</f>
        <v>OUT   fill: Item  Out  Courier  </v>
      </c>
      <c r="E172" s="31" t="s">
        <v>122</v>
      </c>
      <c r="F172" s="33"/>
      <c r="G172" s="33" t="n">
        <v>25</v>
      </c>
      <c r="H172" s="33"/>
      <c r="I172" s="31" t="s">
        <v>76</v>
      </c>
      <c r="J172" s="31"/>
      <c r="K172" s="31"/>
      <c r="L172" s="31"/>
      <c r="M172" s="34" t="str">
        <f aca="false">IF($E172="","",IFERROR(INDEX(tblItems[Item Code],MATCH($E172,tblItems[Item Name],0)),"?"))</f>
        <v>EG-FG-GRP-01-02-01-01</v>
      </c>
      <c r="N172" s="34" t="str">
        <f aca="false">IF($B172="","",IFERROR(INDEX(tblShipment[Market],MATCH($B172,tblShipment[Shipment No],0)),"?"))</f>
        <v>Qatar</v>
      </c>
      <c r="O172" s="35" t="n">
        <f aca="false">N($F172)+N($G172)</f>
        <v>25</v>
      </c>
      <c r="P172" s="34" t="str">
        <f aca="false">IF($A172="","",IF($L172="Yes","VOID",IF(COUNTIFS(tblMoveTypes[Movement],$C172)=0,"Unknown movement",IF(COUNTIF(tblShipment[Shipment No],$B172)=0,"Unknown shipment",IF(AND(IFERROR(INDEX(tblMoveTypes[Item?],MATCH($C172,tblMoveTypes[Movement],0)),"?")="Yes",$E172=""),"Item needed",IF(AND(IFERROR(INDEX(tblMoveTypes[Item?],MATCH($C172,tblMoveTypes[Movement],0)),"?")="No",$E172&lt;&gt;""),"Leave Item blank",IF(AND(IFERROR(INDEX(tblMoveTypes[In / Out],MATCH($C172,tblMoveTypes[Movement],0)),"?")="IN",$G172&lt;&gt;""),"Use the In column, not Out",IF(AND(IFERROR(INDEX(tblMoveTypes[In / Out],MATCH($C172,tblMoveTypes[Movement],0)),"?")="OUT",$F172&lt;&gt;""),"Use the Out column, not In",IF(AND(IFERROR(INDEX(tblMoveTypes[Qty?],MATCH($C172,tblMoveTypes[Movement],0)),"?")="Yes",N($F172)+N($G172)&lt;=0),"Qty needed",IF(AND(IFERROR(INDEX(tblMoveTypes[Qty?],MATCH($C172,tblMoveTypes[Movement],0)),"?")="No",N($F172)+N($G172)&gt;0),"Leave In and Out blank",IF(AND(IFERROR(INDEX(tblMoveTypes[Courier?],MATCH($C172,tblMoveTypes[Movement],0)),"?")="Yes",$I172=""),"Courier needed",IF(AND(IFERROR(INDEX(tblMoveTypes[Courier?],MATCH($C172,tblMoveTypes[Movement],0)),"?")="No",$I172&lt;&gt;""),"Leave Courier blank",IF(AND(IFERROR(INDEX(tblMoveTypes[Orders?],MATCH($C172,tblMoveTypes[Movement],0)),"?")="Yes",$H172=""),"Orders needed",IF(AND(IFERROR(INDEX(tblMoveTypes[Orders?],MATCH($C172,tblMoveTypes[Movement],0)),"?")="No",$H172&lt;&gt;""),"Leave Orders blank",IF(AND(IFERROR(INDEX(tblMoveTypes[Reason?],MATCH($C172,tblMoveTypes[Movement],0)),"?")="Yes",$J172=""),"Reason needed",IF($A172&lt;_xlfn.MINIFS(tblShipment[Arrival Date],tblShipment[Shipment No],$B172),"Date before arrival",IF(AND($E172&lt;&gt;"",COUNTIFS(tblShipment[Shipment No],$B172,tblShipment[Item Name],$E172)=0),"Item not in this shipment","OK")))))))))))))))))</f>
        <v>OK</v>
      </c>
    </row>
    <row r="173" customFormat="false" ht="15" hidden="false" customHeight="false" outlineLevel="0" collapsed="false">
      <c r="A173" s="32" t="n">
        <v>46237</v>
      </c>
      <c r="B173" s="31" t="s">
        <v>162</v>
      </c>
      <c r="C173" s="31" t="s">
        <v>98</v>
      </c>
      <c r="D173" s="34" t="str">
        <f aca="false">IF($C173="","",IFERROR(IF(IFERROR(INDEX(tblMoveTypes[In / Out],MATCH($C173,tblMoveTypes[Movement],0)),"?")="IN","IN   ",IF(IFERROR(INDEX(tblMoveTypes[In / Out],MATCH($C173,tblMoveTypes[Movement],0)),"?")="OUT","OUT   ","--   "))&amp;"fill: "&amp;IF(IFERROR(INDEX(tblMoveTypes[Item?],MATCH($C173,tblMoveTypes[Movement],0)),"?")="Yes","Item  ","")&amp;IF(AND(IFERROR(INDEX(tblMoveTypes[Qty?],MATCH($C173,tblMoveTypes[Movement],0)),"?")="Yes",IFERROR(INDEX(tblMoveTypes[In / Out],MATCH($C173,tblMoveTypes[Movement],0)),"?")="IN"),"In  ","")&amp;IF(AND(IFERROR(INDEX(tblMoveTypes[Qty?],MATCH($C173,tblMoveTypes[Movement],0)),"?")="Yes",IFERROR(INDEX(tblMoveTypes[In / Out],MATCH($C173,tblMoveTypes[Movement],0)),"?")="OUT"),"Out  ","")&amp;IF(IFERROR(INDEX(tblMoveTypes[Orders?],MATCH($C173,tblMoveTypes[Movement],0)),"?")="Yes","Orders  ","")&amp;IF(IFERROR(INDEX(tblMoveTypes[Courier?],MATCH($C173,tblMoveTypes[Movement],0)),"?")="Yes","Courier  ","")&amp;IF(IFERROR(INDEX(tblMoveTypes[Reason?],MATCH($C173,tblMoveTypes[Movement],0)),"?")="Yes","Reason",""),"unknown movement"))</f>
        <v>OUT   fill: Item  Out  Courier  </v>
      </c>
      <c r="E173" s="31" t="s">
        <v>95</v>
      </c>
      <c r="F173" s="33"/>
      <c r="G173" s="33" t="n">
        <v>34</v>
      </c>
      <c r="H173" s="33"/>
      <c r="I173" s="31" t="s">
        <v>76</v>
      </c>
      <c r="J173" s="31"/>
      <c r="K173" s="31"/>
      <c r="L173" s="31"/>
      <c r="M173" s="34" t="str">
        <f aca="false">IF($E173="","",IFERROR(INDEX(tblItems[Item Code],MATCH($E173,tblItems[Item Name],0)),"?"))</f>
        <v>EG-FG-GUV-01-02-01-01</v>
      </c>
      <c r="N173" s="34" t="str">
        <f aca="false">IF($B173="","",IFERROR(INDEX(tblShipment[Market],MATCH($B173,tblShipment[Shipment No],0)),"?"))</f>
        <v>Qatar</v>
      </c>
      <c r="O173" s="35" t="n">
        <f aca="false">N($F173)+N($G173)</f>
        <v>34</v>
      </c>
      <c r="P173" s="34" t="str">
        <f aca="false">IF($A173="","",IF($L173="Yes","VOID",IF(COUNTIFS(tblMoveTypes[Movement],$C173)=0,"Unknown movement",IF(COUNTIF(tblShipment[Shipment No],$B173)=0,"Unknown shipment",IF(AND(IFERROR(INDEX(tblMoveTypes[Item?],MATCH($C173,tblMoveTypes[Movement],0)),"?")="Yes",$E173=""),"Item needed",IF(AND(IFERROR(INDEX(tblMoveTypes[Item?],MATCH($C173,tblMoveTypes[Movement],0)),"?")="No",$E173&lt;&gt;""),"Leave Item blank",IF(AND(IFERROR(INDEX(tblMoveTypes[In / Out],MATCH($C173,tblMoveTypes[Movement],0)),"?")="IN",$G173&lt;&gt;""),"Use the In column, not Out",IF(AND(IFERROR(INDEX(tblMoveTypes[In / Out],MATCH($C173,tblMoveTypes[Movement],0)),"?")="OUT",$F173&lt;&gt;""),"Use the Out column, not In",IF(AND(IFERROR(INDEX(tblMoveTypes[Qty?],MATCH($C173,tblMoveTypes[Movement],0)),"?")="Yes",N($F173)+N($G173)&lt;=0),"Qty needed",IF(AND(IFERROR(INDEX(tblMoveTypes[Qty?],MATCH($C173,tblMoveTypes[Movement],0)),"?")="No",N($F173)+N($G173)&gt;0),"Leave In and Out blank",IF(AND(IFERROR(INDEX(tblMoveTypes[Courier?],MATCH($C173,tblMoveTypes[Movement],0)),"?")="Yes",$I173=""),"Courier needed",IF(AND(IFERROR(INDEX(tblMoveTypes[Courier?],MATCH($C173,tblMoveTypes[Movement],0)),"?")="No",$I173&lt;&gt;""),"Leave Courier blank",IF(AND(IFERROR(INDEX(tblMoveTypes[Orders?],MATCH($C173,tblMoveTypes[Movement],0)),"?")="Yes",$H173=""),"Orders needed",IF(AND(IFERROR(INDEX(tblMoveTypes[Orders?],MATCH($C173,tblMoveTypes[Movement],0)),"?")="No",$H173&lt;&gt;""),"Leave Orders blank",IF(AND(IFERROR(INDEX(tblMoveTypes[Reason?],MATCH($C173,tblMoveTypes[Movement],0)),"?")="Yes",$J173=""),"Reason needed",IF($A173&lt;_xlfn.MINIFS(tblShipment[Arrival Date],tblShipment[Shipment No],$B173),"Date before arrival",IF(AND($E173&lt;&gt;"",COUNTIFS(tblShipment[Shipment No],$B173,tblShipment[Item Name],$E173)=0),"Item not in this shipment","OK")))))))))))))))))</f>
        <v>OK</v>
      </c>
    </row>
    <row r="174" customFormat="false" ht="15" hidden="false" customHeight="false" outlineLevel="0" collapsed="false">
      <c r="A174" s="32" t="n">
        <v>46237</v>
      </c>
      <c r="B174" s="31" t="s">
        <v>162</v>
      </c>
      <c r="C174" s="31" t="s">
        <v>98</v>
      </c>
      <c r="D174" s="34" t="str">
        <f aca="false">IF($C174="","",IFERROR(IF(IFERROR(INDEX(tblMoveTypes[In / Out],MATCH($C174,tblMoveTypes[Movement],0)),"?")="IN","IN   ",IF(IFERROR(INDEX(tblMoveTypes[In / Out],MATCH($C174,tblMoveTypes[Movement],0)),"?")="OUT","OUT   ","--   "))&amp;"fill: "&amp;IF(IFERROR(INDEX(tblMoveTypes[Item?],MATCH($C174,tblMoveTypes[Movement],0)),"?")="Yes","Item  ","")&amp;IF(AND(IFERROR(INDEX(tblMoveTypes[Qty?],MATCH($C174,tblMoveTypes[Movement],0)),"?")="Yes",IFERROR(INDEX(tblMoveTypes[In / Out],MATCH($C174,tblMoveTypes[Movement],0)),"?")="IN"),"In  ","")&amp;IF(AND(IFERROR(INDEX(tblMoveTypes[Qty?],MATCH($C174,tblMoveTypes[Movement],0)),"?")="Yes",IFERROR(INDEX(tblMoveTypes[In / Out],MATCH($C174,tblMoveTypes[Movement],0)),"?")="OUT"),"Out  ","")&amp;IF(IFERROR(INDEX(tblMoveTypes[Orders?],MATCH($C174,tblMoveTypes[Movement],0)),"?")="Yes","Orders  ","")&amp;IF(IFERROR(INDEX(tblMoveTypes[Courier?],MATCH($C174,tblMoveTypes[Movement],0)),"?")="Yes","Courier  ","")&amp;IF(IFERROR(INDEX(tblMoveTypes[Reason?],MATCH($C174,tblMoveTypes[Movement],0)),"?")="Yes","Reason",""),"unknown movement"))</f>
        <v>OUT   fill: Item  Out  Courier  </v>
      </c>
      <c r="E174" s="31" t="s">
        <v>91</v>
      </c>
      <c r="F174" s="33"/>
      <c r="G174" s="33" t="n">
        <v>54</v>
      </c>
      <c r="H174" s="33"/>
      <c r="I174" s="31" t="s">
        <v>76</v>
      </c>
      <c r="J174" s="31"/>
      <c r="K174" s="31"/>
      <c r="L174" s="31"/>
      <c r="M174" s="34" t="str">
        <f aca="false">IF($E174="","",IFERROR(INDEX(tblItems[Item Code],MATCH($E174,tblItems[Item Name],0)),"?"))</f>
        <v>EG-FG-FIG-01-02-01-01</v>
      </c>
      <c r="N174" s="34" t="str">
        <f aca="false">IF($B174="","",IFERROR(INDEX(tblShipment[Market],MATCH($B174,tblShipment[Shipment No],0)),"?"))</f>
        <v>Qatar</v>
      </c>
      <c r="O174" s="35" t="n">
        <f aca="false">N($F174)+N($G174)</f>
        <v>54</v>
      </c>
      <c r="P174" s="34" t="str">
        <f aca="false">IF($A174="","",IF($L174="Yes","VOID",IF(COUNTIFS(tblMoveTypes[Movement],$C174)=0,"Unknown movement",IF(COUNTIF(tblShipment[Shipment No],$B174)=0,"Unknown shipment",IF(AND(IFERROR(INDEX(tblMoveTypes[Item?],MATCH($C174,tblMoveTypes[Movement],0)),"?")="Yes",$E174=""),"Item needed",IF(AND(IFERROR(INDEX(tblMoveTypes[Item?],MATCH($C174,tblMoveTypes[Movement],0)),"?")="No",$E174&lt;&gt;""),"Leave Item blank",IF(AND(IFERROR(INDEX(tblMoveTypes[In / Out],MATCH($C174,tblMoveTypes[Movement],0)),"?")="IN",$G174&lt;&gt;""),"Use the In column, not Out",IF(AND(IFERROR(INDEX(tblMoveTypes[In / Out],MATCH($C174,tblMoveTypes[Movement],0)),"?")="OUT",$F174&lt;&gt;""),"Use the Out column, not In",IF(AND(IFERROR(INDEX(tblMoveTypes[Qty?],MATCH($C174,tblMoveTypes[Movement],0)),"?")="Yes",N($F174)+N($G174)&lt;=0),"Qty needed",IF(AND(IFERROR(INDEX(tblMoveTypes[Qty?],MATCH($C174,tblMoveTypes[Movement],0)),"?")="No",N($F174)+N($G174)&gt;0),"Leave In and Out blank",IF(AND(IFERROR(INDEX(tblMoveTypes[Courier?],MATCH($C174,tblMoveTypes[Movement],0)),"?")="Yes",$I174=""),"Courier needed",IF(AND(IFERROR(INDEX(tblMoveTypes[Courier?],MATCH($C174,tblMoveTypes[Movement],0)),"?")="No",$I174&lt;&gt;""),"Leave Courier blank",IF(AND(IFERROR(INDEX(tblMoveTypes[Orders?],MATCH($C174,tblMoveTypes[Movement],0)),"?")="Yes",$H174=""),"Orders needed",IF(AND(IFERROR(INDEX(tblMoveTypes[Orders?],MATCH($C174,tblMoveTypes[Movement],0)),"?")="No",$H174&lt;&gt;""),"Leave Orders blank",IF(AND(IFERROR(INDEX(tblMoveTypes[Reason?],MATCH($C174,tblMoveTypes[Movement],0)),"?")="Yes",$J174=""),"Reason needed",IF($A174&lt;_xlfn.MINIFS(tblShipment[Arrival Date],tblShipment[Shipment No],$B174),"Date before arrival",IF(AND($E174&lt;&gt;"",COUNTIFS(tblShipment[Shipment No],$B174,tblShipment[Item Name],$E174)=0),"Item not in this shipment","OK")))))))))))))))))</f>
        <v>OK</v>
      </c>
    </row>
    <row r="175" customFormat="false" ht="15" hidden="false" customHeight="false" outlineLevel="0" collapsed="false">
      <c r="A175" s="32" t="n">
        <v>46237</v>
      </c>
      <c r="B175" s="31" t="s">
        <v>162</v>
      </c>
      <c r="C175" s="31" t="s">
        <v>110</v>
      </c>
      <c r="D175" s="34" t="str">
        <f aca="false">IF($C175="","",IFERROR(IF(IFERROR(INDEX(tblMoveTypes[In / Out],MATCH($C175,tblMoveTypes[Movement],0)),"?")="IN","IN   ",IF(IFERROR(INDEX(tblMoveTypes[In / Out],MATCH($C175,tblMoveTypes[Movement],0)),"?")="OUT","OUT   ","--   "))&amp;"fill: "&amp;IF(IFERROR(INDEX(tblMoveTypes[Item?],MATCH($C175,tblMoveTypes[Movement],0)),"?")="Yes","Item  ","")&amp;IF(AND(IFERROR(INDEX(tblMoveTypes[Qty?],MATCH($C175,tblMoveTypes[Movement],0)),"?")="Yes",IFERROR(INDEX(tblMoveTypes[In / Out],MATCH($C175,tblMoveTypes[Movement],0)),"?")="IN"),"In  ","")&amp;IF(AND(IFERROR(INDEX(tblMoveTypes[Qty?],MATCH($C175,tblMoveTypes[Movement],0)),"?")="Yes",IFERROR(INDEX(tblMoveTypes[In / Out],MATCH($C175,tblMoveTypes[Movement],0)),"?")="OUT"),"Out  ","")&amp;IF(IFERROR(INDEX(tblMoveTypes[Orders?],MATCH($C175,tblMoveTypes[Movement],0)),"?")="Yes","Orders  ","")&amp;IF(IFERROR(INDEX(tblMoveTypes[Courier?],MATCH($C175,tblMoveTypes[Movement],0)),"?")="Yes","Courier  ","")&amp;IF(IFERROR(INDEX(tblMoveTypes[Reason?],MATCH($C175,tblMoveTypes[Movement],0)),"?")="Yes","Reason",""),"unknown movement"))</f>
        <v>--   fill: Orders  Courier  </v>
      </c>
      <c r="E175" s="31"/>
      <c r="F175" s="33"/>
      <c r="G175" s="33"/>
      <c r="H175" s="33" t="n">
        <v>160</v>
      </c>
      <c r="I175" s="31" t="s">
        <v>76</v>
      </c>
      <c r="J175" s="31"/>
      <c r="K175" s="31"/>
      <c r="L175" s="31"/>
      <c r="M175" s="34" t="str">
        <f aca="false">IF($E175="","",IFERROR(INDEX(tblItems[Item Code],MATCH($E175,tblItems[Item Name],0)),"?"))</f>
        <v/>
      </c>
      <c r="N175" s="34" t="str">
        <f aca="false">IF($B175="","",IFERROR(INDEX(tblShipment[Market],MATCH($B175,tblShipment[Shipment No],0)),"?"))</f>
        <v>Qatar</v>
      </c>
      <c r="O175" s="35" t="n">
        <f aca="false">N($F175)+N($G175)</f>
        <v>0</v>
      </c>
      <c r="P175" s="34" t="str">
        <f aca="false">IF($A175="","",IF($L175="Yes","VOID",IF(COUNTIFS(tblMoveTypes[Movement],$C175)=0,"Unknown movement",IF(COUNTIF(tblShipment[Shipment No],$B175)=0,"Unknown shipment",IF(AND(IFERROR(INDEX(tblMoveTypes[Item?],MATCH($C175,tblMoveTypes[Movement],0)),"?")="Yes",$E175=""),"Item needed",IF(AND(IFERROR(INDEX(tblMoveTypes[Item?],MATCH($C175,tblMoveTypes[Movement],0)),"?")="No",$E175&lt;&gt;""),"Leave Item blank",IF(AND(IFERROR(INDEX(tblMoveTypes[In / Out],MATCH($C175,tblMoveTypes[Movement],0)),"?")="IN",$G175&lt;&gt;""),"Use the In column, not Out",IF(AND(IFERROR(INDEX(tblMoveTypes[In / Out],MATCH($C175,tblMoveTypes[Movement],0)),"?")="OUT",$F175&lt;&gt;""),"Use the Out column, not In",IF(AND(IFERROR(INDEX(tblMoveTypes[Qty?],MATCH($C175,tblMoveTypes[Movement],0)),"?")="Yes",N($F175)+N($G175)&lt;=0),"Qty needed",IF(AND(IFERROR(INDEX(tblMoveTypes[Qty?],MATCH($C175,tblMoveTypes[Movement],0)),"?")="No",N($F175)+N($G175)&gt;0),"Leave In and Out blank",IF(AND(IFERROR(INDEX(tblMoveTypes[Courier?],MATCH($C175,tblMoveTypes[Movement],0)),"?")="Yes",$I175=""),"Courier needed",IF(AND(IFERROR(INDEX(tblMoveTypes[Courier?],MATCH($C175,tblMoveTypes[Movement],0)),"?")="No",$I175&lt;&gt;""),"Leave Courier blank",IF(AND(IFERROR(INDEX(tblMoveTypes[Orders?],MATCH($C175,tblMoveTypes[Movement],0)),"?")="Yes",$H175=""),"Orders needed",IF(AND(IFERROR(INDEX(tblMoveTypes[Orders?],MATCH($C175,tblMoveTypes[Movement],0)),"?")="No",$H175&lt;&gt;""),"Leave Orders blank",IF(AND(IFERROR(INDEX(tblMoveTypes[Reason?],MATCH($C175,tblMoveTypes[Movement],0)),"?")="Yes",$J175=""),"Reason needed",IF($A175&lt;_xlfn.MINIFS(tblShipment[Arrival Date],tblShipment[Shipment No],$B175),"Date before arrival",IF(AND($E175&lt;&gt;"",COUNTIFS(tblShipment[Shipment No],$B175,tblShipment[Item Name],$E175)=0),"Item not in this shipment","OK")))))))))))))))))</f>
        <v>OK</v>
      </c>
    </row>
    <row r="176" customFormat="false" ht="15" hidden="false" customHeight="false" outlineLevel="0" collapsed="false">
      <c r="A176" s="32" t="n">
        <v>46237</v>
      </c>
      <c r="B176" s="31" t="s">
        <v>162</v>
      </c>
      <c r="C176" s="31" t="s">
        <v>115</v>
      </c>
      <c r="D176" s="34" t="str">
        <f aca="false">IF($C176="","",IFERROR(IF(IFERROR(INDEX(tblMoveTypes[In / Out],MATCH($C176,tblMoveTypes[Movement],0)),"?")="IN","IN   ",IF(IFERROR(INDEX(tblMoveTypes[In / Out],MATCH($C176,tblMoveTypes[Movement],0)),"?")="OUT","OUT   ","--   "))&amp;"fill: "&amp;IF(IFERROR(INDEX(tblMoveTypes[Item?],MATCH($C176,tblMoveTypes[Movement],0)),"?")="Yes","Item  ","")&amp;IF(AND(IFERROR(INDEX(tblMoveTypes[Qty?],MATCH($C176,tblMoveTypes[Movement],0)),"?")="Yes",IFERROR(INDEX(tblMoveTypes[In / Out],MATCH($C176,tblMoveTypes[Movement],0)),"?")="IN"),"In  ","")&amp;IF(AND(IFERROR(INDEX(tblMoveTypes[Qty?],MATCH($C176,tblMoveTypes[Movement],0)),"?")="Yes",IFERROR(INDEX(tblMoveTypes[In / Out],MATCH($C176,tblMoveTypes[Movement],0)),"?")="OUT"),"Out  ","")&amp;IF(IFERROR(INDEX(tblMoveTypes[Orders?],MATCH($C176,tblMoveTypes[Movement],0)),"?")="Yes","Orders  ","")&amp;IF(IFERROR(INDEX(tblMoveTypes[Courier?],MATCH($C176,tblMoveTypes[Movement],0)),"?")="Yes","Courier  ","")&amp;IF(IFERROR(INDEX(tblMoveTypes[Reason?],MATCH($C176,tblMoveTypes[Movement],0)),"?")="Yes","Reason",""),"unknown movement"))</f>
        <v>OUT   fill: Out  Orders  Courier  </v>
      </c>
      <c r="E176" s="31"/>
      <c r="F176" s="33"/>
      <c r="G176" s="33" t="n">
        <v>262</v>
      </c>
      <c r="H176" s="33" t="n">
        <v>105</v>
      </c>
      <c r="I176" s="31" t="s">
        <v>76</v>
      </c>
      <c r="J176" s="31"/>
      <c r="K176" s="31"/>
      <c r="L176" s="31"/>
      <c r="M176" s="34" t="str">
        <f aca="false">IF($E176="","",IFERROR(INDEX(tblItems[Item Code],MATCH($E176,tblItems[Item Name],0)),"?"))</f>
        <v/>
      </c>
      <c r="N176" s="34" t="str">
        <f aca="false">IF($B176="","",IFERROR(INDEX(tblShipment[Market],MATCH($B176,tblShipment[Shipment No],0)),"?"))</f>
        <v>Qatar</v>
      </c>
      <c r="O176" s="35" t="n">
        <f aca="false">N($F176)+N($G176)</f>
        <v>262</v>
      </c>
      <c r="P176" s="34" t="str">
        <f aca="false">IF($A176="","",IF($L176="Yes","VOID",IF(COUNTIFS(tblMoveTypes[Movement],$C176)=0,"Unknown movement",IF(COUNTIF(tblShipment[Shipment No],$B176)=0,"Unknown shipment",IF(AND(IFERROR(INDEX(tblMoveTypes[Item?],MATCH($C176,tblMoveTypes[Movement],0)),"?")="Yes",$E176=""),"Item needed",IF(AND(IFERROR(INDEX(tblMoveTypes[Item?],MATCH($C176,tblMoveTypes[Movement],0)),"?")="No",$E176&lt;&gt;""),"Leave Item blank",IF(AND(IFERROR(INDEX(tblMoveTypes[In / Out],MATCH($C176,tblMoveTypes[Movement],0)),"?")="IN",$G176&lt;&gt;""),"Use the In column, not Out",IF(AND(IFERROR(INDEX(tblMoveTypes[In / Out],MATCH($C176,tblMoveTypes[Movement],0)),"?")="OUT",$F176&lt;&gt;""),"Use the Out column, not In",IF(AND(IFERROR(INDEX(tblMoveTypes[Qty?],MATCH($C176,tblMoveTypes[Movement],0)),"?")="Yes",N($F176)+N($G176)&lt;=0),"Qty needed",IF(AND(IFERROR(INDEX(tblMoveTypes[Qty?],MATCH($C176,tblMoveTypes[Movement],0)),"?")="No",N($F176)+N($G176)&gt;0),"Leave In and Out blank",IF(AND(IFERROR(INDEX(tblMoveTypes[Courier?],MATCH($C176,tblMoveTypes[Movement],0)),"?")="Yes",$I176=""),"Courier needed",IF(AND(IFERROR(INDEX(tblMoveTypes[Courier?],MATCH($C176,tblMoveTypes[Movement],0)),"?")="No",$I176&lt;&gt;""),"Leave Courier blank",IF(AND(IFERROR(INDEX(tblMoveTypes[Orders?],MATCH($C176,tblMoveTypes[Movement],0)),"?")="Yes",$H176=""),"Orders needed",IF(AND(IFERROR(INDEX(tblMoveTypes[Orders?],MATCH($C176,tblMoveTypes[Movement],0)),"?")="No",$H176&lt;&gt;""),"Leave Orders blank",IF(AND(IFERROR(INDEX(tblMoveTypes[Reason?],MATCH($C176,tblMoveTypes[Movement],0)),"?")="Yes",$J176=""),"Reason needed",IF($A176&lt;_xlfn.MINIFS(tblShipment[Arrival Date],tblShipment[Shipment No],$B176),"Date before arrival",IF(AND($E176&lt;&gt;"",COUNTIFS(tblShipment[Shipment No],$B176,tblShipment[Item Name],$E176)=0),"Item not in this shipment","OK")))))))))))))))))</f>
        <v>OK</v>
      </c>
    </row>
    <row r="177" customFormat="false" ht="15" hidden="false" customHeight="false" outlineLevel="0" collapsed="false">
      <c r="A177" s="32" t="n">
        <v>46238</v>
      </c>
      <c r="B177" s="31" t="s">
        <v>162</v>
      </c>
      <c r="C177" s="31" t="s">
        <v>115</v>
      </c>
      <c r="D177" s="34" t="str">
        <f aca="false">IF($C177="","",IFERROR(IF(IFERROR(INDEX(tblMoveTypes[In / Out],MATCH($C177,tblMoveTypes[Movement],0)),"?")="IN","IN   ",IF(IFERROR(INDEX(tblMoveTypes[In / Out],MATCH($C177,tblMoveTypes[Movement],0)),"?")="OUT","OUT   ","--   "))&amp;"fill: "&amp;IF(IFERROR(INDEX(tblMoveTypes[Item?],MATCH($C177,tblMoveTypes[Movement],0)),"?")="Yes","Item  ","")&amp;IF(AND(IFERROR(INDEX(tblMoveTypes[Qty?],MATCH($C177,tblMoveTypes[Movement],0)),"?")="Yes",IFERROR(INDEX(tblMoveTypes[In / Out],MATCH($C177,tblMoveTypes[Movement],0)),"?")="IN"),"In  ","")&amp;IF(AND(IFERROR(INDEX(tblMoveTypes[Qty?],MATCH($C177,tblMoveTypes[Movement],0)),"?")="Yes",IFERROR(INDEX(tblMoveTypes[In / Out],MATCH($C177,tblMoveTypes[Movement],0)),"?")="OUT"),"Out  ","")&amp;IF(IFERROR(INDEX(tblMoveTypes[Orders?],MATCH($C177,tblMoveTypes[Movement],0)),"?")="Yes","Orders  ","")&amp;IF(IFERROR(INDEX(tblMoveTypes[Courier?],MATCH($C177,tblMoveTypes[Movement],0)),"?")="Yes","Courier  ","")&amp;IF(IFERROR(INDEX(tblMoveTypes[Reason?],MATCH($C177,tblMoveTypes[Movement],0)),"?")="Yes","Reason",""),"unknown movement"))</f>
        <v>OUT   fill: Out  Orders  Courier  </v>
      </c>
      <c r="E177" s="31"/>
      <c r="F177" s="33"/>
      <c r="G177" s="33" t="n">
        <v>59</v>
      </c>
      <c r="H177" s="33" t="n">
        <v>24</v>
      </c>
      <c r="I177" s="31" t="s">
        <v>76</v>
      </c>
      <c r="J177" s="31"/>
      <c r="K177" s="31"/>
      <c r="L177" s="31"/>
      <c r="M177" s="34" t="str">
        <f aca="false">IF($E177="","",IFERROR(INDEX(tblItems[Item Code],MATCH($E177,tblItems[Item Name],0)),"?"))</f>
        <v/>
      </c>
      <c r="N177" s="34" t="str">
        <f aca="false">IF($B177="","",IFERROR(INDEX(tblShipment[Market],MATCH($B177,tblShipment[Shipment No],0)),"?"))</f>
        <v>Qatar</v>
      </c>
      <c r="O177" s="35" t="n">
        <f aca="false">N($F177)+N($G177)</f>
        <v>59</v>
      </c>
      <c r="P177" s="34" t="str">
        <f aca="false">IF($A177="","",IF($L177="Yes","VOID",IF(COUNTIFS(tblMoveTypes[Movement],$C177)=0,"Unknown movement",IF(COUNTIF(tblShipment[Shipment No],$B177)=0,"Unknown shipment",IF(AND(IFERROR(INDEX(tblMoveTypes[Item?],MATCH($C177,tblMoveTypes[Movement],0)),"?")="Yes",$E177=""),"Item needed",IF(AND(IFERROR(INDEX(tblMoveTypes[Item?],MATCH($C177,tblMoveTypes[Movement],0)),"?")="No",$E177&lt;&gt;""),"Leave Item blank",IF(AND(IFERROR(INDEX(tblMoveTypes[In / Out],MATCH($C177,tblMoveTypes[Movement],0)),"?")="IN",$G177&lt;&gt;""),"Use the In column, not Out",IF(AND(IFERROR(INDEX(tblMoveTypes[In / Out],MATCH($C177,tblMoveTypes[Movement],0)),"?")="OUT",$F177&lt;&gt;""),"Use the Out column, not In",IF(AND(IFERROR(INDEX(tblMoveTypes[Qty?],MATCH($C177,tblMoveTypes[Movement],0)),"?")="Yes",N($F177)+N($G177)&lt;=0),"Qty needed",IF(AND(IFERROR(INDEX(tblMoveTypes[Qty?],MATCH($C177,tblMoveTypes[Movement],0)),"?")="No",N($F177)+N($G177)&gt;0),"Leave In and Out blank",IF(AND(IFERROR(INDEX(tblMoveTypes[Courier?],MATCH($C177,tblMoveTypes[Movement],0)),"?")="Yes",$I177=""),"Courier needed",IF(AND(IFERROR(INDEX(tblMoveTypes[Courier?],MATCH($C177,tblMoveTypes[Movement],0)),"?")="No",$I177&lt;&gt;""),"Leave Courier blank",IF(AND(IFERROR(INDEX(tblMoveTypes[Orders?],MATCH($C177,tblMoveTypes[Movement],0)),"?")="Yes",$H177=""),"Orders needed",IF(AND(IFERROR(INDEX(tblMoveTypes[Orders?],MATCH($C177,tblMoveTypes[Movement],0)),"?")="No",$H177&lt;&gt;""),"Leave Orders blank",IF(AND(IFERROR(INDEX(tblMoveTypes[Reason?],MATCH($C177,tblMoveTypes[Movement],0)),"?")="Yes",$J177=""),"Reason needed",IF($A177&lt;_xlfn.MINIFS(tblShipment[Arrival Date],tblShipment[Shipment No],$B177),"Date before arrival",IF(AND($E177&lt;&gt;"",COUNTIFS(tblShipment[Shipment No],$B177,tblShipment[Item Name],$E177)=0),"Item not in this shipment","OK")))))))))))))))))</f>
        <v>OK</v>
      </c>
    </row>
    <row r="178" customFormat="false" ht="15" hidden="false" customHeight="false" outlineLevel="0" collapsed="false">
      <c r="A178" s="32" t="n">
        <v>46239</v>
      </c>
      <c r="B178" s="31" t="s">
        <v>163</v>
      </c>
      <c r="C178" s="31" t="s">
        <v>79</v>
      </c>
      <c r="D178" s="34" t="str">
        <f aca="false">IF($C178="","",IFERROR(IF(IFERROR(INDEX(tblMoveTypes[In / Out],MATCH($C178,tblMoveTypes[Movement],0)),"?")="IN","IN   ",IF(IFERROR(INDEX(tblMoveTypes[In / Out],MATCH($C178,tblMoveTypes[Movement],0)),"?")="OUT","OUT   ","--   "))&amp;"fill: "&amp;IF(IFERROR(INDEX(tblMoveTypes[Item?],MATCH($C178,tblMoveTypes[Movement],0)),"?")="Yes","Item  ","")&amp;IF(AND(IFERROR(INDEX(tblMoveTypes[Qty?],MATCH($C178,tblMoveTypes[Movement],0)),"?")="Yes",IFERROR(INDEX(tblMoveTypes[In / Out],MATCH($C178,tblMoveTypes[Movement],0)),"?")="IN"),"In  ","")&amp;IF(AND(IFERROR(INDEX(tblMoveTypes[Qty?],MATCH($C178,tblMoveTypes[Movement],0)),"?")="Yes",IFERROR(INDEX(tblMoveTypes[In / Out],MATCH($C178,tblMoveTypes[Movement],0)),"?")="OUT"),"Out  ","")&amp;IF(IFERROR(INDEX(tblMoveTypes[Orders?],MATCH($C178,tblMoveTypes[Movement],0)),"?")="Yes","Orders  ","")&amp;IF(IFERROR(INDEX(tblMoveTypes[Courier?],MATCH($C178,tblMoveTypes[Movement],0)),"?")="Yes","Courier  ","")&amp;IF(IFERROR(INDEX(tblMoveTypes[Reason?],MATCH($C178,tblMoveTypes[Movement],0)),"?")="Yes","Reason",""),"unknown movement"))</f>
        <v>IN   fill: Item  In  </v>
      </c>
      <c r="E178" s="31" t="s">
        <v>72</v>
      </c>
      <c r="F178" s="33" t="n">
        <v>95</v>
      </c>
      <c r="G178" s="33"/>
      <c r="H178" s="33"/>
      <c r="I178" s="31"/>
      <c r="J178" s="31"/>
      <c r="K178" s="31"/>
      <c r="L178" s="31"/>
      <c r="M178" s="34" t="str">
        <f aca="false">IF($E178="","",IFERROR(INDEX(tblItems[Item Code],MATCH($E178,tblItems[Item Name],0)),"?"))</f>
        <v>EG-FG-MNG-05-02-01-01</v>
      </c>
      <c r="N178" s="34" t="str">
        <f aca="false">IF($B178="","",IFERROR(INDEX(tblShipment[Market],MATCH($B178,tblShipment[Shipment No],0)),"?"))</f>
        <v>Qatar</v>
      </c>
      <c r="O178" s="35" t="n">
        <f aca="false">N($F178)+N($G178)</f>
        <v>95</v>
      </c>
      <c r="P178" s="34" t="str">
        <f aca="false">IF($A178="","",IF($L178="Yes","VOID",IF(COUNTIFS(tblMoveTypes[Movement],$C178)=0,"Unknown movement",IF(COUNTIF(tblShipment[Shipment No],$B178)=0,"Unknown shipment",IF(AND(IFERROR(INDEX(tblMoveTypes[Item?],MATCH($C178,tblMoveTypes[Movement],0)),"?")="Yes",$E178=""),"Item needed",IF(AND(IFERROR(INDEX(tblMoveTypes[Item?],MATCH($C178,tblMoveTypes[Movement],0)),"?")="No",$E178&lt;&gt;""),"Leave Item blank",IF(AND(IFERROR(INDEX(tblMoveTypes[In / Out],MATCH($C178,tblMoveTypes[Movement],0)),"?")="IN",$G178&lt;&gt;""),"Use the In column, not Out",IF(AND(IFERROR(INDEX(tblMoveTypes[In / Out],MATCH($C178,tblMoveTypes[Movement],0)),"?")="OUT",$F178&lt;&gt;""),"Use the Out column, not In",IF(AND(IFERROR(INDEX(tblMoveTypes[Qty?],MATCH($C178,tblMoveTypes[Movement],0)),"?")="Yes",N($F178)+N($G178)&lt;=0),"Qty needed",IF(AND(IFERROR(INDEX(tblMoveTypes[Qty?],MATCH($C178,tblMoveTypes[Movement],0)),"?")="No",N($F178)+N($G178)&gt;0),"Leave In and Out blank",IF(AND(IFERROR(INDEX(tblMoveTypes[Courier?],MATCH($C178,tblMoveTypes[Movement],0)),"?")="Yes",$I178=""),"Courier needed",IF(AND(IFERROR(INDEX(tblMoveTypes[Courier?],MATCH($C178,tblMoveTypes[Movement],0)),"?")="No",$I178&lt;&gt;""),"Leave Courier blank",IF(AND(IFERROR(INDEX(tblMoveTypes[Orders?],MATCH($C178,tblMoveTypes[Movement],0)),"?")="Yes",$H178=""),"Orders needed",IF(AND(IFERROR(INDEX(tblMoveTypes[Orders?],MATCH($C178,tblMoveTypes[Movement],0)),"?")="No",$H178&lt;&gt;""),"Leave Orders blank",IF(AND(IFERROR(INDEX(tblMoveTypes[Reason?],MATCH($C178,tblMoveTypes[Movement],0)),"?")="Yes",$J178=""),"Reason needed",IF($A178&lt;_xlfn.MINIFS(tblShipment[Arrival Date],tblShipment[Shipment No],$B178),"Date before arrival",IF(AND($E178&lt;&gt;"",COUNTIFS(tblShipment[Shipment No],$B178,tblShipment[Item Name],$E178)=0),"Item not in this shipment","OK")))))))))))))))))</f>
        <v>OK</v>
      </c>
    </row>
    <row r="179" customFormat="false" ht="15" hidden="false" customHeight="false" outlineLevel="0" collapsed="false">
      <c r="A179" s="32" t="n">
        <v>46239</v>
      </c>
      <c r="B179" s="31" t="s">
        <v>163</v>
      </c>
      <c r="C179" s="31" t="s">
        <v>78</v>
      </c>
      <c r="D179" s="34" t="str">
        <f aca="false">IF($C179="","",IFERROR(IF(IFERROR(INDEX(tblMoveTypes[In / Out],MATCH($C179,tblMoveTypes[Movement],0)),"?")="IN","IN   ",IF(IFERROR(INDEX(tblMoveTypes[In / Out],MATCH($C179,tblMoveTypes[Movement],0)),"?")="OUT","OUT   ","--   "))&amp;"fill: "&amp;IF(IFERROR(INDEX(tblMoveTypes[Item?],MATCH($C179,tblMoveTypes[Movement],0)),"?")="Yes","Item  ","")&amp;IF(AND(IFERROR(INDEX(tblMoveTypes[Qty?],MATCH($C179,tblMoveTypes[Movement],0)),"?")="Yes",IFERROR(INDEX(tblMoveTypes[In / Out],MATCH($C179,tblMoveTypes[Movement],0)),"?")="IN"),"In  ","")&amp;IF(AND(IFERROR(INDEX(tblMoveTypes[Qty?],MATCH($C179,tblMoveTypes[Movement],0)),"?")="Yes",IFERROR(INDEX(tblMoveTypes[In / Out],MATCH($C179,tblMoveTypes[Movement],0)),"?")="OUT"),"Out  ","")&amp;IF(IFERROR(INDEX(tblMoveTypes[Orders?],MATCH($C179,tblMoveTypes[Movement],0)),"?")="Yes","Orders  ","")&amp;IF(IFERROR(INDEX(tblMoveTypes[Courier?],MATCH($C179,tblMoveTypes[Movement],0)),"?")="Yes","Courier  ","")&amp;IF(IFERROR(INDEX(tblMoveTypes[Reason?],MATCH($C179,tblMoveTypes[Movement],0)),"?")="Yes","Reason",""),"unknown movement"))</f>
        <v>OUT   fill: Item  Out  Reason</v>
      </c>
      <c r="E179" s="31" t="s">
        <v>72</v>
      </c>
      <c r="F179" s="33"/>
      <c r="G179" s="33" t="n">
        <v>2</v>
      </c>
      <c r="H179" s="33"/>
      <c r="I179" s="31"/>
      <c r="J179" s="31" t="s">
        <v>77</v>
      </c>
      <c r="K179" s="31"/>
      <c r="L179" s="31"/>
      <c r="M179" s="34" t="str">
        <f aca="false">IF($E179="","",IFERROR(INDEX(tblItems[Item Code],MATCH($E179,tblItems[Item Name],0)),"?"))</f>
        <v>EG-FG-MNG-05-02-01-01</v>
      </c>
      <c r="N179" s="34" t="str">
        <f aca="false">IF($B179="","",IFERROR(INDEX(tblShipment[Market],MATCH($B179,tblShipment[Shipment No],0)),"?"))</f>
        <v>Qatar</v>
      </c>
      <c r="O179" s="35" t="n">
        <f aca="false">N($F179)+N($G179)</f>
        <v>2</v>
      </c>
      <c r="P179" s="34" t="str">
        <f aca="false">IF($A179="","",IF($L179="Yes","VOID",IF(COUNTIFS(tblMoveTypes[Movement],$C179)=0,"Unknown movement",IF(COUNTIF(tblShipment[Shipment No],$B179)=0,"Unknown shipment",IF(AND(IFERROR(INDEX(tblMoveTypes[Item?],MATCH($C179,tblMoveTypes[Movement],0)),"?")="Yes",$E179=""),"Item needed",IF(AND(IFERROR(INDEX(tblMoveTypes[Item?],MATCH($C179,tblMoveTypes[Movement],0)),"?")="No",$E179&lt;&gt;""),"Leave Item blank",IF(AND(IFERROR(INDEX(tblMoveTypes[In / Out],MATCH($C179,tblMoveTypes[Movement],0)),"?")="IN",$G179&lt;&gt;""),"Use the In column, not Out",IF(AND(IFERROR(INDEX(tblMoveTypes[In / Out],MATCH($C179,tblMoveTypes[Movement],0)),"?")="OUT",$F179&lt;&gt;""),"Use the Out column, not In",IF(AND(IFERROR(INDEX(tblMoveTypes[Qty?],MATCH($C179,tblMoveTypes[Movement],0)),"?")="Yes",N($F179)+N($G179)&lt;=0),"Qty needed",IF(AND(IFERROR(INDEX(tblMoveTypes[Qty?],MATCH($C179,tblMoveTypes[Movement],0)),"?")="No",N($F179)+N($G179)&gt;0),"Leave In and Out blank",IF(AND(IFERROR(INDEX(tblMoveTypes[Courier?],MATCH($C179,tblMoveTypes[Movement],0)),"?")="Yes",$I179=""),"Courier needed",IF(AND(IFERROR(INDEX(tblMoveTypes[Courier?],MATCH($C179,tblMoveTypes[Movement],0)),"?")="No",$I179&lt;&gt;""),"Leave Courier blank",IF(AND(IFERROR(INDEX(tblMoveTypes[Orders?],MATCH($C179,tblMoveTypes[Movement],0)),"?")="Yes",$H179=""),"Orders needed",IF(AND(IFERROR(INDEX(tblMoveTypes[Orders?],MATCH($C179,tblMoveTypes[Movement],0)),"?")="No",$H179&lt;&gt;""),"Leave Orders blank",IF(AND(IFERROR(INDEX(tblMoveTypes[Reason?],MATCH($C179,tblMoveTypes[Movement],0)),"?")="Yes",$J179=""),"Reason needed",IF($A179&lt;_xlfn.MINIFS(tblShipment[Arrival Date],tblShipment[Shipment No],$B179),"Date before arrival",IF(AND($E179&lt;&gt;"",COUNTIFS(tblShipment[Shipment No],$B179,tblShipment[Item Name],$E179)=0),"Item not in this shipment","OK")))))))))))))))))</f>
        <v>OK</v>
      </c>
    </row>
    <row r="180" customFormat="false" ht="15" hidden="false" customHeight="false" outlineLevel="0" collapsed="false">
      <c r="A180" s="32" t="n">
        <v>46239</v>
      </c>
      <c r="B180" s="31" t="s">
        <v>163</v>
      </c>
      <c r="C180" s="31" t="s">
        <v>79</v>
      </c>
      <c r="D180" s="34" t="str">
        <f aca="false">IF($C180="","",IFERROR(IF(IFERROR(INDEX(tblMoveTypes[In / Out],MATCH($C180,tblMoveTypes[Movement],0)),"?")="IN","IN   ",IF(IFERROR(INDEX(tblMoveTypes[In / Out],MATCH($C180,tblMoveTypes[Movement],0)),"?")="OUT","OUT   ","--   "))&amp;"fill: "&amp;IF(IFERROR(INDEX(tblMoveTypes[Item?],MATCH($C180,tblMoveTypes[Movement],0)),"?")="Yes","Item  ","")&amp;IF(AND(IFERROR(INDEX(tblMoveTypes[Qty?],MATCH($C180,tblMoveTypes[Movement],0)),"?")="Yes",IFERROR(INDEX(tblMoveTypes[In / Out],MATCH($C180,tblMoveTypes[Movement],0)),"?")="IN"),"In  ","")&amp;IF(AND(IFERROR(INDEX(tblMoveTypes[Qty?],MATCH($C180,tblMoveTypes[Movement],0)),"?")="Yes",IFERROR(INDEX(tblMoveTypes[In / Out],MATCH($C180,tblMoveTypes[Movement],0)),"?")="OUT"),"Out  ","")&amp;IF(IFERROR(INDEX(tblMoveTypes[Orders?],MATCH($C180,tblMoveTypes[Movement],0)),"?")="Yes","Orders  ","")&amp;IF(IFERROR(INDEX(tblMoveTypes[Courier?],MATCH($C180,tblMoveTypes[Movement],0)),"?")="Yes","Courier  ","")&amp;IF(IFERROR(INDEX(tblMoveTypes[Reason?],MATCH($C180,tblMoveTypes[Movement],0)),"?")="Yes","Reason",""),"unknown movement"))</f>
        <v>IN   fill: Item  In  </v>
      </c>
      <c r="E180" s="31" t="s">
        <v>91</v>
      </c>
      <c r="F180" s="33" t="n">
        <v>55</v>
      </c>
      <c r="G180" s="33"/>
      <c r="H180" s="33"/>
      <c r="I180" s="31"/>
      <c r="J180" s="31"/>
      <c r="K180" s="31"/>
      <c r="L180" s="31"/>
      <c r="M180" s="34" t="str">
        <f aca="false">IF($E180="","",IFERROR(INDEX(tblItems[Item Code],MATCH($E180,tblItems[Item Name],0)),"?"))</f>
        <v>EG-FG-FIG-01-02-01-01</v>
      </c>
      <c r="N180" s="34" t="str">
        <f aca="false">IF($B180="","",IFERROR(INDEX(tblShipment[Market],MATCH($B180,tblShipment[Shipment No],0)),"?"))</f>
        <v>Qatar</v>
      </c>
      <c r="O180" s="35" t="n">
        <f aca="false">N($F180)+N($G180)</f>
        <v>55</v>
      </c>
      <c r="P180" s="34" t="str">
        <f aca="false">IF($A180="","",IF($L180="Yes","VOID",IF(COUNTIFS(tblMoveTypes[Movement],$C180)=0,"Unknown movement",IF(COUNTIF(tblShipment[Shipment No],$B180)=0,"Unknown shipment",IF(AND(IFERROR(INDEX(tblMoveTypes[Item?],MATCH($C180,tblMoveTypes[Movement],0)),"?")="Yes",$E180=""),"Item needed",IF(AND(IFERROR(INDEX(tblMoveTypes[Item?],MATCH($C180,tblMoveTypes[Movement],0)),"?")="No",$E180&lt;&gt;""),"Leave Item blank",IF(AND(IFERROR(INDEX(tblMoveTypes[In / Out],MATCH($C180,tblMoveTypes[Movement],0)),"?")="IN",$G180&lt;&gt;""),"Use the In column, not Out",IF(AND(IFERROR(INDEX(tblMoveTypes[In / Out],MATCH($C180,tblMoveTypes[Movement],0)),"?")="OUT",$F180&lt;&gt;""),"Use the Out column, not In",IF(AND(IFERROR(INDEX(tblMoveTypes[Qty?],MATCH($C180,tblMoveTypes[Movement],0)),"?")="Yes",N($F180)+N($G180)&lt;=0),"Qty needed",IF(AND(IFERROR(INDEX(tblMoveTypes[Qty?],MATCH($C180,tblMoveTypes[Movement],0)),"?")="No",N($F180)+N($G180)&gt;0),"Leave In and Out blank",IF(AND(IFERROR(INDEX(tblMoveTypes[Courier?],MATCH($C180,tblMoveTypes[Movement],0)),"?")="Yes",$I180=""),"Courier needed",IF(AND(IFERROR(INDEX(tblMoveTypes[Courier?],MATCH($C180,tblMoveTypes[Movement],0)),"?")="No",$I180&lt;&gt;""),"Leave Courier blank",IF(AND(IFERROR(INDEX(tblMoveTypes[Orders?],MATCH($C180,tblMoveTypes[Movement],0)),"?")="Yes",$H180=""),"Orders needed",IF(AND(IFERROR(INDEX(tblMoveTypes[Orders?],MATCH($C180,tblMoveTypes[Movement],0)),"?")="No",$H180&lt;&gt;""),"Leave Orders blank",IF(AND(IFERROR(INDEX(tblMoveTypes[Reason?],MATCH($C180,tblMoveTypes[Movement],0)),"?")="Yes",$J180=""),"Reason needed",IF($A180&lt;_xlfn.MINIFS(tblShipment[Arrival Date],tblShipment[Shipment No],$B180),"Date before arrival",IF(AND($E180&lt;&gt;"",COUNTIFS(tblShipment[Shipment No],$B180,tblShipment[Item Name],$E180)=0),"Item not in this shipment","OK")))))))))))))))))</f>
        <v>OK</v>
      </c>
    </row>
    <row r="181" customFormat="false" ht="15" hidden="false" customHeight="false" outlineLevel="0" collapsed="false">
      <c r="A181" s="32" t="n">
        <v>46239</v>
      </c>
      <c r="B181" s="31" t="s">
        <v>163</v>
      </c>
      <c r="C181" s="31" t="s">
        <v>78</v>
      </c>
      <c r="D181" s="34" t="str">
        <f aca="false">IF($C181="","",IFERROR(IF(IFERROR(INDEX(tblMoveTypes[In / Out],MATCH($C181,tblMoveTypes[Movement],0)),"?")="IN","IN   ",IF(IFERROR(INDEX(tblMoveTypes[In / Out],MATCH($C181,tblMoveTypes[Movement],0)),"?")="OUT","OUT   ","--   "))&amp;"fill: "&amp;IF(IFERROR(INDEX(tblMoveTypes[Item?],MATCH($C181,tblMoveTypes[Movement],0)),"?")="Yes","Item  ","")&amp;IF(AND(IFERROR(INDEX(tblMoveTypes[Qty?],MATCH($C181,tblMoveTypes[Movement],0)),"?")="Yes",IFERROR(INDEX(tblMoveTypes[In / Out],MATCH($C181,tblMoveTypes[Movement],0)),"?")="IN"),"In  ","")&amp;IF(AND(IFERROR(INDEX(tblMoveTypes[Qty?],MATCH($C181,tblMoveTypes[Movement],0)),"?")="Yes",IFERROR(INDEX(tblMoveTypes[In / Out],MATCH($C181,tblMoveTypes[Movement],0)),"?")="OUT"),"Out  ","")&amp;IF(IFERROR(INDEX(tblMoveTypes[Orders?],MATCH($C181,tblMoveTypes[Movement],0)),"?")="Yes","Orders  ","")&amp;IF(IFERROR(INDEX(tblMoveTypes[Courier?],MATCH($C181,tblMoveTypes[Movement],0)),"?")="Yes","Courier  ","")&amp;IF(IFERROR(INDEX(tblMoveTypes[Reason?],MATCH($C181,tblMoveTypes[Movement],0)),"?")="Yes","Reason",""),"unknown movement"))</f>
        <v>OUT   fill: Item  Out  Reason</v>
      </c>
      <c r="E181" s="31" t="s">
        <v>91</v>
      </c>
      <c r="F181" s="33"/>
      <c r="G181" s="33" t="n">
        <v>1</v>
      </c>
      <c r="H181" s="33"/>
      <c r="I181" s="31"/>
      <c r="J181" s="31" t="s">
        <v>77</v>
      </c>
      <c r="K181" s="31"/>
      <c r="L181" s="31"/>
      <c r="M181" s="34" t="str">
        <f aca="false">IF($E181="","",IFERROR(INDEX(tblItems[Item Code],MATCH($E181,tblItems[Item Name],0)),"?"))</f>
        <v>EG-FG-FIG-01-02-01-01</v>
      </c>
      <c r="N181" s="34" t="str">
        <f aca="false">IF($B181="","",IFERROR(INDEX(tblShipment[Market],MATCH($B181,tblShipment[Shipment No],0)),"?"))</f>
        <v>Qatar</v>
      </c>
      <c r="O181" s="35" t="n">
        <f aca="false">N($F181)+N($G181)</f>
        <v>1</v>
      </c>
      <c r="P181" s="34" t="str">
        <f aca="false">IF($A181="","",IF($L181="Yes","VOID",IF(COUNTIFS(tblMoveTypes[Movement],$C181)=0,"Unknown movement",IF(COUNTIF(tblShipment[Shipment No],$B181)=0,"Unknown shipment",IF(AND(IFERROR(INDEX(tblMoveTypes[Item?],MATCH($C181,tblMoveTypes[Movement],0)),"?")="Yes",$E181=""),"Item needed",IF(AND(IFERROR(INDEX(tblMoveTypes[Item?],MATCH($C181,tblMoveTypes[Movement],0)),"?")="No",$E181&lt;&gt;""),"Leave Item blank",IF(AND(IFERROR(INDEX(tblMoveTypes[In / Out],MATCH($C181,tblMoveTypes[Movement],0)),"?")="IN",$G181&lt;&gt;""),"Use the In column, not Out",IF(AND(IFERROR(INDEX(tblMoveTypes[In / Out],MATCH($C181,tblMoveTypes[Movement],0)),"?")="OUT",$F181&lt;&gt;""),"Use the Out column, not In",IF(AND(IFERROR(INDEX(tblMoveTypes[Qty?],MATCH($C181,tblMoveTypes[Movement],0)),"?")="Yes",N($F181)+N($G181)&lt;=0),"Qty needed",IF(AND(IFERROR(INDEX(tblMoveTypes[Qty?],MATCH($C181,tblMoveTypes[Movement],0)),"?")="No",N($F181)+N($G181)&gt;0),"Leave In and Out blank",IF(AND(IFERROR(INDEX(tblMoveTypes[Courier?],MATCH($C181,tblMoveTypes[Movement],0)),"?")="Yes",$I181=""),"Courier needed",IF(AND(IFERROR(INDEX(tblMoveTypes[Courier?],MATCH($C181,tblMoveTypes[Movement],0)),"?")="No",$I181&lt;&gt;""),"Leave Courier blank",IF(AND(IFERROR(INDEX(tblMoveTypes[Orders?],MATCH($C181,tblMoveTypes[Movement],0)),"?")="Yes",$H181=""),"Orders needed",IF(AND(IFERROR(INDEX(tblMoveTypes[Orders?],MATCH($C181,tblMoveTypes[Movement],0)),"?")="No",$H181&lt;&gt;""),"Leave Orders blank",IF(AND(IFERROR(INDEX(tblMoveTypes[Reason?],MATCH($C181,tblMoveTypes[Movement],0)),"?")="Yes",$J181=""),"Reason needed",IF($A181&lt;_xlfn.MINIFS(tblShipment[Arrival Date],tblShipment[Shipment No],$B181),"Date before arrival",IF(AND($E181&lt;&gt;"",COUNTIFS(tblShipment[Shipment No],$B181,tblShipment[Item Name],$E181)=0),"Item not in this shipment","OK")))))))))))))))))</f>
        <v>OK</v>
      </c>
    </row>
    <row r="182" customFormat="false" ht="15" hidden="false" customHeight="false" outlineLevel="0" collapsed="false">
      <c r="A182" s="32" t="n">
        <v>46239</v>
      </c>
      <c r="B182" s="31" t="s">
        <v>163</v>
      </c>
      <c r="C182" s="31" t="s">
        <v>79</v>
      </c>
      <c r="D182" s="34" t="str">
        <f aca="false">IF($C182="","",IFERROR(IF(IFERROR(INDEX(tblMoveTypes[In / Out],MATCH($C182,tblMoveTypes[Movement],0)),"?")="IN","IN   ",IF(IFERROR(INDEX(tblMoveTypes[In / Out],MATCH($C182,tblMoveTypes[Movement],0)),"?")="OUT","OUT   ","--   "))&amp;"fill: "&amp;IF(IFERROR(INDEX(tblMoveTypes[Item?],MATCH($C182,tblMoveTypes[Movement],0)),"?")="Yes","Item  ","")&amp;IF(AND(IFERROR(INDEX(tblMoveTypes[Qty?],MATCH($C182,tblMoveTypes[Movement],0)),"?")="Yes",IFERROR(INDEX(tblMoveTypes[In / Out],MATCH($C182,tblMoveTypes[Movement],0)),"?")="IN"),"In  ","")&amp;IF(AND(IFERROR(INDEX(tblMoveTypes[Qty?],MATCH($C182,tblMoveTypes[Movement],0)),"?")="Yes",IFERROR(INDEX(tblMoveTypes[In / Out],MATCH($C182,tblMoveTypes[Movement],0)),"?")="OUT"),"Out  ","")&amp;IF(IFERROR(INDEX(tblMoveTypes[Orders?],MATCH($C182,tblMoveTypes[Movement],0)),"?")="Yes","Orders  ","")&amp;IF(IFERROR(INDEX(tblMoveTypes[Courier?],MATCH($C182,tblMoveTypes[Movement],0)),"?")="Yes","Courier  ","")&amp;IF(IFERROR(INDEX(tblMoveTypes[Reason?],MATCH($C182,tblMoveTypes[Movement],0)),"?")="Yes","Reason",""),"unknown movement"))</f>
        <v>IN   fill: Item  In  </v>
      </c>
      <c r="E182" s="31" t="s">
        <v>95</v>
      </c>
      <c r="F182" s="33" t="n">
        <v>45</v>
      </c>
      <c r="G182" s="33"/>
      <c r="H182" s="33"/>
      <c r="I182" s="31"/>
      <c r="J182" s="31"/>
      <c r="K182" s="31"/>
      <c r="L182" s="31"/>
      <c r="M182" s="34" t="str">
        <f aca="false">IF($E182="","",IFERROR(INDEX(tblItems[Item Code],MATCH($E182,tblItems[Item Name],0)),"?"))</f>
        <v>EG-FG-GUV-01-02-01-01</v>
      </c>
      <c r="N182" s="34" t="str">
        <f aca="false">IF($B182="","",IFERROR(INDEX(tblShipment[Market],MATCH($B182,tblShipment[Shipment No],0)),"?"))</f>
        <v>Qatar</v>
      </c>
      <c r="O182" s="35" t="n">
        <f aca="false">N($F182)+N($G182)</f>
        <v>45</v>
      </c>
      <c r="P182" s="34" t="str">
        <f aca="false">IF($A182="","",IF($L182="Yes","VOID",IF(COUNTIFS(tblMoveTypes[Movement],$C182)=0,"Unknown movement",IF(COUNTIF(tblShipment[Shipment No],$B182)=0,"Unknown shipment",IF(AND(IFERROR(INDEX(tblMoveTypes[Item?],MATCH($C182,tblMoveTypes[Movement],0)),"?")="Yes",$E182=""),"Item needed",IF(AND(IFERROR(INDEX(tblMoveTypes[Item?],MATCH($C182,tblMoveTypes[Movement],0)),"?")="No",$E182&lt;&gt;""),"Leave Item blank",IF(AND(IFERROR(INDEX(tblMoveTypes[In / Out],MATCH($C182,tblMoveTypes[Movement],0)),"?")="IN",$G182&lt;&gt;""),"Use the In column, not Out",IF(AND(IFERROR(INDEX(tblMoveTypes[In / Out],MATCH($C182,tblMoveTypes[Movement],0)),"?")="OUT",$F182&lt;&gt;""),"Use the Out column, not In",IF(AND(IFERROR(INDEX(tblMoveTypes[Qty?],MATCH($C182,tblMoveTypes[Movement],0)),"?")="Yes",N($F182)+N($G182)&lt;=0),"Qty needed",IF(AND(IFERROR(INDEX(tblMoveTypes[Qty?],MATCH($C182,tblMoveTypes[Movement],0)),"?")="No",N($F182)+N($G182)&gt;0),"Leave In and Out blank",IF(AND(IFERROR(INDEX(tblMoveTypes[Courier?],MATCH($C182,tblMoveTypes[Movement],0)),"?")="Yes",$I182=""),"Courier needed",IF(AND(IFERROR(INDEX(tblMoveTypes[Courier?],MATCH($C182,tblMoveTypes[Movement],0)),"?")="No",$I182&lt;&gt;""),"Leave Courier blank",IF(AND(IFERROR(INDEX(tblMoveTypes[Orders?],MATCH($C182,tblMoveTypes[Movement],0)),"?")="Yes",$H182=""),"Orders needed",IF(AND(IFERROR(INDEX(tblMoveTypes[Orders?],MATCH($C182,tblMoveTypes[Movement],0)),"?")="No",$H182&lt;&gt;""),"Leave Orders blank",IF(AND(IFERROR(INDEX(tblMoveTypes[Reason?],MATCH($C182,tblMoveTypes[Movement],0)),"?")="Yes",$J182=""),"Reason needed",IF($A182&lt;_xlfn.MINIFS(tblShipment[Arrival Date],tblShipment[Shipment No],$B182),"Date before arrival",IF(AND($E182&lt;&gt;"",COUNTIFS(tblShipment[Shipment No],$B182,tblShipment[Item Name],$E182)=0),"Item not in this shipment","OK")))))))))))))))))</f>
        <v>OK</v>
      </c>
    </row>
    <row r="183" customFormat="false" ht="15" hidden="false" customHeight="false" outlineLevel="0" collapsed="false">
      <c r="A183" s="32" t="n">
        <v>46239</v>
      </c>
      <c r="B183" s="31" t="s">
        <v>163</v>
      </c>
      <c r="C183" s="31" t="s">
        <v>78</v>
      </c>
      <c r="D183" s="34" t="str">
        <f aca="false">IF($C183="","",IFERROR(IF(IFERROR(INDEX(tblMoveTypes[In / Out],MATCH($C183,tblMoveTypes[Movement],0)),"?")="IN","IN   ",IF(IFERROR(INDEX(tblMoveTypes[In / Out],MATCH($C183,tblMoveTypes[Movement],0)),"?")="OUT","OUT   ","--   "))&amp;"fill: "&amp;IF(IFERROR(INDEX(tblMoveTypes[Item?],MATCH($C183,tblMoveTypes[Movement],0)),"?")="Yes","Item  ","")&amp;IF(AND(IFERROR(INDEX(tblMoveTypes[Qty?],MATCH($C183,tblMoveTypes[Movement],0)),"?")="Yes",IFERROR(INDEX(tblMoveTypes[In / Out],MATCH($C183,tblMoveTypes[Movement],0)),"?")="IN"),"In  ","")&amp;IF(AND(IFERROR(INDEX(tblMoveTypes[Qty?],MATCH($C183,tblMoveTypes[Movement],0)),"?")="Yes",IFERROR(INDEX(tblMoveTypes[In / Out],MATCH($C183,tblMoveTypes[Movement],0)),"?")="OUT"),"Out  ","")&amp;IF(IFERROR(INDEX(tblMoveTypes[Orders?],MATCH($C183,tblMoveTypes[Movement],0)),"?")="Yes","Orders  ","")&amp;IF(IFERROR(INDEX(tblMoveTypes[Courier?],MATCH($C183,tblMoveTypes[Movement],0)),"?")="Yes","Courier  ","")&amp;IF(IFERROR(INDEX(tblMoveTypes[Reason?],MATCH($C183,tblMoveTypes[Movement],0)),"?")="Yes","Reason",""),"unknown movement"))</f>
        <v>OUT   fill: Item  Out  Reason</v>
      </c>
      <c r="E183" s="31" t="s">
        <v>95</v>
      </c>
      <c r="F183" s="33"/>
      <c r="G183" s="33" t="n">
        <v>1</v>
      </c>
      <c r="H183" s="33"/>
      <c r="I183" s="31"/>
      <c r="J183" s="31" t="s">
        <v>77</v>
      </c>
      <c r="K183" s="31"/>
      <c r="L183" s="31"/>
      <c r="M183" s="34" t="str">
        <f aca="false">IF($E183="","",IFERROR(INDEX(tblItems[Item Code],MATCH($E183,tblItems[Item Name],0)),"?"))</f>
        <v>EG-FG-GUV-01-02-01-01</v>
      </c>
      <c r="N183" s="34" t="str">
        <f aca="false">IF($B183="","",IFERROR(INDEX(tblShipment[Market],MATCH($B183,tblShipment[Shipment No],0)),"?"))</f>
        <v>Qatar</v>
      </c>
      <c r="O183" s="35" t="n">
        <f aca="false">N($F183)+N($G183)</f>
        <v>1</v>
      </c>
      <c r="P183" s="34" t="str">
        <f aca="false">IF($A183="","",IF($L183="Yes","VOID",IF(COUNTIFS(tblMoveTypes[Movement],$C183)=0,"Unknown movement",IF(COUNTIF(tblShipment[Shipment No],$B183)=0,"Unknown shipment",IF(AND(IFERROR(INDEX(tblMoveTypes[Item?],MATCH($C183,tblMoveTypes[Movement],0)),"?")="Yes",$E183=""),"Item needed",IF(AND(IFERROR(INDEX(tblMoveTypes[Item?],MATCH($C183,tblMoveTypes[Movement],0)),"?")="No",$E183&lt;&gt;""),"Leave Item blank",IF(AND(IFERROR(INDEX(tblMoveTypes[In / Out],MATCH($C183,tblMoveTypes[Movement],0)),"?")="IN",$G183&lt;&gt;""),"Use the In column, not Out",IF(AND(IFERROR(INDEX(tblMoveTypes[In / Out],MATCH($C183,tblMoveTypes[Movement],0)),"?")="OUT",$F183&lt;&gt;""),"Use the Out column, not In",IF(AND(IFERROR(INDEX(tblMoveTypes[Qty?],MATCH($C183,tblMoveTypes[Movement],0)),"?")="Yes",N($F183)+N($G183)&lt;=0),"Qty needed",IF(AND(IFERROR(INDEX(tblMoveTypes[Qty?],MATCH($C183,tblMoveTypes[Movement],0)),"?")="No",N($F183)+N($G183)&gt;0),"Leave In and Out blank",IF(AND(IFERROR(INDEX(tblMoveTypes[Courier?],MATCH($C183,tblMoveTypes[Movement],0)),"?")="Yes",$I183=""),"Courier needed",IF(AND(IFERROR(INDEX(tblMoveTypes[Courier?],MATCH($C183,tblMoveTypes[Movement],0)),"?")="No",$I183&lt;&gt;""),"Leave Courier blank",IF(AND(IFERROR(INDEX(tblMoveTypes[Orders?],MATCH($C183,tblMoveTypes[Movement],0)),"?")="Yes",$H183=""),"Orders needed",IF(AND(IFERROR(INDEX(tblMoveTypes[Orders?],MATCH($C183,tblMoveTypes[Movement],0)),"?")="No",$H183&lt;&gt;""),"Leave Orders blank",IF(AND(IFERROR(INDEX(tblMoveTypes[Reason?],MATCH($C183,tblMoveTypes[Movement],0)),"?")="Yes",$J183=""),"Reason needed",IF($A183&lt;_xlfn.MINIFS(tblShipment[Arrival Date],tblShipment[Shipment No],$B183),"Date before arrival",IF(AND($E183&lt;&gt;"",COUNTIFS(tblShipment[Shipment No],$B183,tblShipment[Item Name],$E183)=0),"Item not in this shipment","OK")))))))))))))))))</f>
        <v>OK</v>
      </c>
    </row>
    <row r="184" customFormat="false" ht="15" hidden="false" customHeight="false" outlineLevel="0" collapsed="false">
      <c r="A184" s="32" t="n">
        <v>46239</v>
      </c>
      <c r="B184" s="31" t="s">
        <v>163</v>
      </c>
      <c r="C184" s="31" t="s">
        <v>79</v>
      </c>
      <c r="D184" s="34" t="str">
        <f aca="false">IF($C184="","",IFERROR(IF(IFERROR(INDEX(tblMoveTypes[In / Out],MATCH($C184,tblMoveTypes[Movement],0)),"?")="IN","IN   ",IF(IFERROR(INDEX(tblMoveTypes[In / Out],MATCH($C184,tblMoveTypes[Movement],0)),"?")="OUT","OUT   ","--   "))&amp;"fill: "&amp;IF(IFERROR(INDEX(tblMoveTypes[Item?],MATCH($C184,tblMoveTypes[Movement],0)),"?")="Yes","Item  ","")&amp;IF(AND(IFERROR(INDEX(tblMoveTypes[Qty?],MATCH($C184,tblMoveTypes[Movement],0)),"?")="Yes",IFERROR(INDEX(tblMoveTypes[In / Out],MATCH($C184,tblMoveTypes[Movement],0)),"?")="IN"),"In  ","")&amp;IF(AND(IFERROR(INDEX(tblMoveTypes[Qty?],MATCH($C184,tblMoveTypes[Movement],0)),"?")="Yes",IFERROR(INDEX(tblMoveTypes[In / Out],MATCH($C184,tblMoveTypes[Movement],0)),"?")="OUT"),"Out  ","")&amp;IF(IFERROR(INDEX(tblMoveTypes[Orders?],MATCH($C184,tblMoveTypes[Movement],0)),"?")="Yes","Orders  ","")&amp;IF(IFERROR(INDEX(tblMoveTypes[Courier?],MATCH($C184,tblMoveTypes[Movement],0)),"?")="Yes","Courier  ","")&amp;IF(IFERROR(INDEX(tblMoveTypes[Reason?],MATCH($C184,tblMoveTypes[Movement],0)),"?")="Yes","Reason",""),"unknown movement"))</f>
        <v>IN   fill: Item  In  </v>
      </c>
      <c r="E184" s="31" t="s">
        <v>106</v>
      </c>
      <c r="F184" s="33" t="n">
        <v>30</v>
      </c>
      <c r="G184" s="33"/>
      <c r="H184" s="33"/>
      <c r="I184" s="31"/>
      <c r="J184" s="31"/>
      <c r="K184" s="31"/>
      <c r="L184" s="31"/>
      <c r="M184" s="34" t="str">
        <f aca="false">IF($E184="","",IFERROR(INDEX(tblItems[Item Code],MATCH($E184,tblItems[Item Name],0)),"?"))</f>
        <v>EG-FG-DAT-01-02-01-01</v>
      </c>
      <c r="N184" s="34" t="str">
        <f aca="false">IF($B184="","",IFERROR(INDEX(tblShipment[Market],MATCH($B184,tblShipment[Shipment No],0)),"?"))</f>
        <v>Qatar</v>
      </c>
      <c r="O184" s="35" t="n">
        <f aca="false">N($F184)+N($G184)</f>
        <v>30</v>
      </c>
      <c r="P184" s="34" t="str">
        <f aca="false">IF($A184="","",IF($L184="Yes","VOID",IF(COUNTIFS(tblMoveTypes[Movement],$C184)=0,"Unknown movement",IF(COUNTIF(tblShipment[Shipment No],$B184)=0,"Unknown shipment",IF(AND(IFERROR(INDEX(tblMoveTypes[Item?],MATCH($C184,tblMoveTypes[Movement],0)),"?")="Yes",$E184=""),"Item needed",IF(AND(IFERROR(INDEX(tblMoveTypes[Item?],MATCH($C184,tblMoveTypes[Movement],0)),"?")="No",$E184&lt;&gt;""),"Leave Item blank",IF(AND(IFERROR(INDEX(tblMoveTypes[In / Out],MATCH($C184,tblMoveTypes[Movement],0)),"?")="IN",$G184&lt;&gt;""),"Use the In column, not Out",IF(AND(IFERROR(INDEX(tblMoveTypes[In / Out],MATCH($C184,tblMoveTypes[Movement],0)),"?")="OUT",$F184&lt;&gt;""),"Use the Out column, not In",IF(AND(IFERROR(INDEX(tblMoveTypes[Qty?],MATCH($C184,tblMoveTypes[Movement],0)),"?")="Yes",N($F184)+N($G184)&lt;=0),"Qty needed",IF(AND(IFERROR(INDEX(tblMoveTypes[Qty?],MATCH($C184,tblMoveTypes[Movement],0)),"?")="No",N($F184)+N($G184)&gt;0),"Leave In and Out blank",IF(AND(IFERROR(INDEX(tblMoveTypes[Courier?],MATCH($C184,tblMoveTypes[Movement],0)),"?")="Yes",$I184=""),"Courier needed",IF(AND(IFERROR(INDEX(tblMoveTypes[Courier?],MATCH($C184,tblMoveTypes[Movement],0)),"?")="No",$I184&lt;&gt;""),"Leave Courier blank",IF(AND(IFERROR(INDEX(tblMoveTypes[Orders?],MATCH($C184,tblMoveTypes[Movement],0)),"?")="Yes",$H184=""),"Orders needed",IF(AND(IFERROR(INDEX(tblMoveTypes[Orders?],MATCH($C184,tblMoveTypes[Movement],0)),"?")="No",$H184&lt;&gt;""),"Leave Orders blank",IF(AND(IFERROR(INDEX(tblMoveTypes[Reason?],MATCH($C184,tblMoveTypes[Movement],0)),"?")="Yes",$J184=""),"Reason needed",IF($A184&lt;_xlfn.MINIFS(tblShipment[Arrival Date],tblShipment[Shipment No],$B184),"Date before arrival",IF(AND($E184&lt;&gt;"",COUNTIFS(tblShipment[Shipment No],$B184,tblShipment[Item Name],$E184)=0),"Item not in this shipment","OK")))))))))))))))))</f>
        <v>OK</v>
      </c>
    </row>
    <row r="185" customFormat="false" ht="15" hidden="false" customHeight="false" outlineLevel="0" collapsed="false">
      <c r="A185" s="32" t="n">
        <v>46239</v>
      </c>
      <c r="B185" s="31" t="s">
        <v>163</v>
      </c>
      <c r="C185" s="31" t="s">
        <v>79</v>
      </c>
      <c r="D185" s="34" t="str">
        <f aca="false">IF($C185="","",IFERROR(IF(IFERROR(INDEX(tblMoveTypes[In / Out],MATCH($C185,tblMoveTypes[Movement],0)),"?")="IN","IN   ",IF(IFERROR(INDEX(tblMoveTypes[In / Out],MATCH($C185,tblMoveTypes[Movement],0)),"?")="OUT","OUT   ","--   "))&amp;"fill: "&amp;IF(IFERROR(INDEX(tblMoveTypes[Item?],MATCH($C185,tblMoveTypes[Movement],0)),"?")="Yes","Item  ","")&amp;IF(AND(IFERROR(INDEX(tblMoveTypes[Qty?],MATCH($C185,tblMoveTypes[Movement],0)),"?")="Yes",IFERROR(INDEX(tblMoveTypes[In / Out],MATCH($C185,tblMoveTypes[Movement],0)),"?")="IN"),"In  ","")&amp;IF(AND(IFERROR(INDEX(tblMoveTypes[Qty?],MATCH($C185,tblMoveTypes[Movement],0)),"?")="Yes",IFERROR(INDEX(tblMoveTypes[In / Out],MATCH($C185,tblMoveTypes[Movement],0)),"?")="OUT"),"Out  ","")&amp;IF(IFERROR(INDEX(tblMoveTypes[Orders?],MATCH($C185,tblMoveTypes[Movement],0)),"?")="Yes","Orders  ","")&amp;IF(IFERROR(INDEX(tblMoveTypes[Courier?],MATCH($C185,tblMoveTypes[Movement],0)),"?")="Yes","Courier  ","")&amp;IF(IFERROR(INDEX(tblMoveTypes[Reason?],MATCH($C185,tblMoveTypes[Movement],0)),"?")="Yes","Reason",""),"unknown movement"))</f>
        <v>IN   fill: Item  In  </v>
      </c>
      <c r="E185" s="31" t="s">
        <v>84</v>
      </c>
      <c r="F185" s="33" t="n">
        <v>95</v>
      </c>
      <c r="G185" s="33"/>
      <c r="H185" s="33"/>
      <c r="I185" s="31"/>
      <c r="J185" s="31"/>
      <c r="K185" s="31"/>
      <c r="L185" s="31"/>
      <c r="M185" s="34" t="str">
        <f aca="false">IF($E185="","",IFERROR(INDEX(tblItems[Item Code],MATCH($E185,tblItems[Item Name],0)),"?"))</f>
        <v>EG-FG-MNG-12-02-01-01</v>
      </c>
      <c r="N185" s="34" t="str">
        <f aca="false">IF($B185="","",IFERROR(INDEX(tblShipment[Market],MATCH($B185,tblShipment[Shipment No],0)),"?"))</f>
        <v>Qatar</v>
      </c>
      <c r="O185" s="35" t="n">
        <f aca="false">N($F185)+N($G185)</f>
        <v>95</v>
      </c>
      <c r="P185" s="34" t="str">
        <f aca="false">IF($A185="","",IF($L185="Yes","VOID",IF(COUNTIFS(tblMoveTypes[Movement],$C185)=0,"Unknown movement",IF(COUNTIF(tblShipment[Shipment No],$B185)=0,"Unknown shipment",IF(AND(IFERROR(INDEX(tblMoveTypes[Item?],MATCH($C185,tblMoveTypes[Movement],0)),"?")="Yes",$E185=""),"Item needed",IF(AND(IFERROR(INDEX(tblMoveTypes[Item?],MATCH($C185,tblMoveTypes[Movement],0)),"?")="No",$E185&lt;&gt;""),"Leave Item blank",IF(AND(IFERROR(INDEX(tblMoveTypes[In / Out],MATCH($C185,tblMoveTypes[Movement],0)),"?")="IN",$G185&lt;&gt;""),"Use the In column, not Out",IF(AND(IFERROR(INDEX(tblMoveTypes[In / Out],MATCH($C185,tblMoveTypes[Movement],0)),"?")="OUT",$F185&lt;&gt;""),"Use the Out column, not In",IF(AND(IFERROR(INDEX(tblMoveTypes[Qty?],MATCH($C185,tblMoveTypes[Movement],0)),"?")="Yes",N($F185)+N($G185)&lt;=0),"Qty needed",IF(AND(IFERROR(INDEX(tblMoveTypes[Qty?],MATCH($C185,tblMoveTypes[Movement],0)),"?")="No",N($F185)+N($G185)&gt;0),"Leave In and Out blank",IF(AND(IFERROR(INDEX(tblMoveTypes[Courier?],MATCH($C185,tblMoveTypes[Movement],0)),"?")="Yes",$I185=""),"Courier needed",IF(AND(IFERROR(INDEX(tblMoveTypes[Courier?],MATCH($C185,tblMoveTypes[Movement],0)),"?")="No",$I185&lt;&gt;""),"Leave Courier blank",IF(AND(IFERROR(INDEX(tblMoveTypes[Orders?],MATCH($C185,tblMoveTypes[Movement],0)),"?")="Yes",$H185=""),"Orders needed",IF(AND(IFERROR(INDEX(tblMoveTypes[Orders?],MATCH($C185,tblMoveTypes[Movement],0)),"?")="No",$H185&lt;&gt;""),"Leave Orders blank",IF(AND(IFERROR(INDEX(tblMoveTypes[Reason?],MATCH($C185,tblMoveTypes[Movement],0)),"?")="Yes",$J185=""),"Reason needed",IF($A185&lt;_xlfn.MINIFS(tblShipment[Arrival Date],tblShipment[Shipment No],$B185),"Date before arrival",IF(AND($E185&lt;&gt;"",COUNTIFS(tblShipment[Shipment No],$B185,tblShipment[Item Name],$E185)=0),"Item not in this shipment","OK")))))))))))))))))</f>
        <v>OK</v>
      </c>
    </row>
    <row r="186" customFormat="false" ht="15" hidden="false" customHeight="false" outlineLevel="0" collapsed="false">
      <c r="A186" s="32" t="n">
        <v>46239</v>
      </c>
      <c r="B186" s="31" t="s">
        <v>163</v>
      </c>
      <c r="C186" s="31" t="s">
        <v>78</v>
      </c>
      <c r="D186" s="34" t="str">
        <f aca="false">IF($C186="","",IFERROR(IF(IFERROR(INDEX(tblMoveTypes[In / Out],MATCH($C186,tblMoveTypes[Movement],0)),"?")="IN","IN   ",IF(IFERROR(INDEX(tblMoveTypes[In / Out],MATCH($C186,tblMoveTypes[Movement],0)),"?")="OUT","OUT   ","--   "))&amp;"fill: "&amp;IF(IFERROR(INDEX(tblMoveTypes[Item?],MATCH($C186,tblMoveTypes[Movement],0)),"?")="Yes","Item  ","")&amp;IF(AND(IFERROR(INDEX(tblMoveTypes[Qty?],MATCH($C186,tblMoveTypes[Movement],0)),"?")="Yes",IFERROR(INDEX(tblMoveTypes[In / Out],MATCH($C186,tblMoveTypes[Movement],0)),"?")="IN"),"In  ","")&amp;IF(AND(IFERROR(INDEX(tblMoveTypes[Qty?],MATCH($C186,tblMoveTypes[Movement],0)),"?")="Yes",IFERROR(INDEX(tblMoveTypes[In / Out],MATCH($C186,tblMoveTypes[Movement],0)),"?")="OUT"),"Out  ","")&amp;IF(IFERROR(INDEX(tblMoveTypes[Orders?],MATCH($C186,tblMoveTypes[Movement],0)),"?")="Yes","Orders  ","")&amp;IF(IFERROR(INDEX(tblMoveTypes[Courier?],MATCH($C186,tblMoveTypes[Movement],0)),"?")="Yes","Courier  ","")&amp;IF(IFERROR(INDEX(tblMoveTypes[Reason?],MATCH($C186,tblMoveTypes[Movement],0)),"?")="Yes","Reason",""),"unknown movement"))</f>
        <v>OUT   fill: Item  Out  Reason</v>
      </c>
      <c r="E186" s="31" t="s">
        <v>84</v>
      </c>
      <c r="F186" s="33"/>
      <c r="G186" s="33" t="n">
        <v>2</v>
      </c>
      <c r="H186" s="33"/>
      <c r="I186" s="31"/>
      <c r="J186" s="31" t="s">
        <v>86</v>
      </c>
      <c r="K186" s="31"/>
      <c r="L186" s="31"/>
      <c r="M186" s="34" t="str">
        <f aca="false">IF($E186="","",IFERROR(INDEX(tblItems[Item Code],MATCH($E186,tblItems[Item Name],0)),"?"))</f>
        <v>EG-FG-MNG-12-02-01-01</v>
      </c>
      <c r="N186" s="34" t="str">
        <f aca="false">IF($B186="","",IFERROR(INDEX(tblShipment[Market],MATCH($B186,tblShipment[Shipment No],0)),"?"))</f>
        <v>Qatar</v>
      </c>
      <c r="O186" s="35" t="n">
        <f aca="false">N($F186)+N($G186)</f>
        <v>2</v>
      </c>
      <c r="P186" s="34" t="str">
        <f aca="false">IF($A186="","",IF($L186="Yes","VOID",IF(COUNTIFS(tblMoveTypes[Movement],$C186)=0,"Unknown movement",IF(COUNTIF(tblShipment[Shipment No],$B186)=0,"Unknown shipment",IF(AND(IFERROR(INDEX(tblMoveTypes[Item?],MATCH($C186,tblMoveTypes[Movement],0)),"?")="Yes",$E186=""),"Item needed",IF(AND(IFERROR(INDEX(tblMoveTypes[Item?],MATCH($C186,tblMoveTypes[Movement],0)),"?")="No",$E186&lt;&gt;""),"Leave Item blank",IF(AND(IFERROR(INDEX(tblMoveTypes[In / Out],MATCH($C186,tblMoveTypes[Movement],0)),"?")="IN",$G186&lt;&gt;""),"Use the In column, not Out",IF(AND(IFERROR(INDEX(tblMoveTypes[In / Out],MATCH($C186,tblMoveTypes[Movement],0)),"?")="OUT",$F186&lt;&gt;""),"Use the Out column, not In",IF(AND(IFERROR(INDEX(tblMoveTypes[Qty?],MATCH($C186,tblMoveTypes[Movement],0)),"?")="Yes",N($F186)+N($G186)&lt;=0),"Qty needed",IF(AND(IFERROR(INDEX(tblMoveTypes[Qty?],MATCH($C186,tblMoveTypes[Movement],0)),"?")="No",N($F186)+N($G186)&gt;0),"Leave In and Out blank",IF(AND(IFERROR(INDEX(tblMoveTypes[Courier?],MATCH($C186,tblMoveTypes[Movement],0)),"?")="Yes",$I186=""),"Courier needed",IF(AND(IFERROR(INDEX(tblMoveTypes[Courier?],MATCH($C186,tblMoveTypes[Movement],0)),"?")="No",$I186&lt;&gt;""),"Leave Courier blank",IF(AND(IFERROR(INDEX(tblMoveTypes[Orders?],MATCH($C186,tblMoveTypes[Movement],0)),"?")="Yes",$H186=""),"Orders needed",IF(AND(IFERROR(INDEX(tblMoveTypes[Orders?],MATCH($C186,tblMoveTypes[Movement],0)),"?")="No",$H186&lt;&gt;""),"Leave Orders blank",IF(AND(IFERROR(INDEX(tblMoveTypes[Reason?],MATCH($C186,tblMoveTypes[Movement],0)),"?")="Yes",$J186=""),"Reason needed",IF($A186&lt;_xlfn.MINIFS(tblShipment[Arrival Date],tblShipment[Shipment No],$B186),"Date before arrival",IF(AND($E186&lt;&gt;"",COUNTIFS(tblShipment[Shipment No],$B186,tblShipment[Item Name],$E186)=0),"Item not in this shipment","OK")))))))))))))))))</f>
        <v>OK</v>
      </c>
    </row>
    <row r="187" customFormat="false" ht="15" hidden="false" customHeight="false" outlineLevel="0" collapsed="false">
      <c r="A187" s="32" t="n">
        <v>46239</v>
      </c>
      <c r="B187" s="31" t="s">
        <v>163</v>
      </c>
      <c r="C187" s="31" t="s">
        <v>79</v>
      </c>
      <c r="D187" s="34" t="str">
        <f aca="false">IF($C187="","",IFERROR(IF(IFERROR(INDEX(tblMoveTypes[In / Out],MATCH($C187,tblMoveTypes[Movement],0)),"?")="IN","IN   ",IF(IFERROR(INDEX(tblMoveTypes[In / Out],MATCH($C187,tblMoveTypes[Movement],0)),"?")="OUT","OUT   ","--   "))&amp;"fill: "&amp;IF(IFERROR(INDEX(tblMoveTypes[Item?],MATCH($C187,tblMoveTypes[Movement],0)),"?")="Yes","Item  ","")&amp;IF(AND(IFERROR(INDEX(tblMoveTypes[Qty?],MATCH($C187,tblMoveTypes[Movement],0)),"?")="Yes",IFERROR(INDEX(tblMoveTypes[In / Out],MATCH($C187,tblMoveTypes[Movement],0)),"?")="IN"),"In  ","")&amp;IF(AND(IFERROR(INDEX(tblMoveTypes[Qty?],MATCH($C187,tblMoveTypes[Movement],0)),"?")="Yes",IFERROR(INDEX(tblMoveTypes[In / Out],MATCH($C187,tblMoveTypes[Movement],0)),"?")="OUT"),"Out  ","")&amp;IF(IFERROR(INDEX(tblMoveTypes[Orders?],MATCH($C187,tblMoveTypes[Movement],0)),"?")="Yes","Orders  ","")&amp;IF(IFERROR(INDEX(tblMoveTypes[Courier?],MATCH($C187,tblMoveTypes[Movement],0)),"?")="Yes","Courier  ","")&amp;IF(IFERROR(INDEX(tblMoveTypes[Reason?],MATCH($C187,tblMoveTypes[Movement],0)),"?")="Yes","Reason",""),"unknown movement"))</f>
        <v>IN   fill: Item  In  </v>
      </c>
      <c r="E187" s="31" t="s">
        <v>100</v>
      </c>
      <c r="F187" s="33" t="n">
        <v>35</v>
      </c>
      <c r="G187" s="33"/>
      <c r="H187" s="33"/>
      <c r="I187" s="31"/>
      <c r="J187" s="31"/>
      <c r="K187" s="31"/>
      <c r="L187" s="31"/>
      <c r="M187" s="34" t="str">
        <f aca="false">IF($E187="","",IFERROR(INDEX(tblItems[Item Code],MATCH($E187,tblItems[Item Name],0)),"?"))</f>
        <v>EG-FG-MNG-18-02-01-01</v>
      </c>
      <c r="N187" s="34" t="str">
        <f aca="false">IF($B187="","",IFERROR(INDEX(tblShipment[Market],MATCH($B187,tblShipment[Shipment No],0)),"?"))</f>
        <v>Qatar</v>
      </c>
      <c r="O187" s="35" t="n">
        <f aca="false">N($F187)+N($G187)</f>
        <v>35</v>
      </c>
      <c r="P187" s="34" t="str">
        <f aca="false">IF($A187="","",IF($L187="Yes","VOID",IF(COUNTIFS(tblMoveTypes[Movement],$C187)=0,"Unknown movement",IF(COUNTIF(tblShipment[Shipment No],$B187)=0,"Unknown shipment",IF(AND(IFERROR(INDEX(tblMoveTypes[Item?],MATCH($C187,tblMoveTypes[Movement],0)),"?")="Yes",$E187=""),"Item needed",IF(AND(IFERROR(INDEX(tblMoveTypes[Item?],MATCH($C187,tblMoveTypes[Movement],0)),"?")="No",$E187&lt;&gt;""),"Leave Item blank",IF(AND(IFERROR(INDEX(tblMoveTypes[In / Out],MATCH($C187,tblMoveTypes[Movement],0)),"?")="IN",$G187&lt;&gt;""),"Use the In column, not Out",IF(AND(IFERROR(INDEX(tblMoveTypes[In / Out],MATCH($C187,tblMoveTypes[Movement],0)),"?")="OUT",$F187&lt;&gt;""),"Use the Out column, not In",IF(AND(IFERROR(INDEX(tblMoveTypes[Qty?],MATCH($C187,tblMoveTypes[Movement],0)),"?")="Yes",N($F187)+N($G187)&lt;=0),"Qty needed",IF(AND(IFERROR(INDEX(tblMoveTypes[Qty?],MATCH($C187,tblMoveTypes[Movement],0)),"?")="No",N($F187)+N($G187)&gt;0),"Leave In and Out blank",IF(AND(IFERROR(INDEX(tblMoveTypes[Courier?],MATCH($C187,tblMoveTypes[Movement],0)),"?")="Yes",$I187=""),"Courier needed",IF(AND(IFERROR(INDEX(tblMoveTypes[Courier?],MATCH($C187,tblMoveTypes[Movement],0)),"?")="No",$I187&lt;&gt;""),"Leave Courier blank",IF(AND(IFERROR(INDEX(tblMoveTypes[Orders?],MATCH($C187,tblMoveTypes[Movement],0)),"?")="Yes",$H187=""),"Orders needed",IF(AND(IFERROR(INDEX(tblMoveTypes[Orders?],MATCH($C187,tblMoveTypes[Movement],0)),"?")="No",$H187&lt;&gt;""),"Leave Orders blank",IF(AND(IFERROR(INDEX(tblMoveTypes[Reason?],MATCH($C187,tblMoveTypes[Movement],0)),"?")="Yes",$J187=""),"Reason needed",IF($A187&lt;_xlfn.MINIFS(tblShipment[Arrival Date],tblShipment[Shipment No],$B187),"Date before arrival",IF(AND($E187&lt;&gt;"",COUNTIFS(tblShipment[Shipment No],$B187,tblShipment[Item Name],$E187)=0),"Item not in this shipment","OK")))))))))))))))))</f>
        <v>OK</v>
      </c>
    </row>
    <row r="188" customFormat="false" ht="15" hidden="false" customHeight="false" outlineLevel="0" collapsed="false">
      <c r="A188" s="32" t="n">
        <v>46239</v>
      </c>
      <c r="B188" s="31" t="s">
        <v>163</v>
      </c>
      <c r="C188" s="31" t="s">
        <v>78</v>
      </c>
      <c r="D188" s="34" t="str">
        <f aca="false">IF($C188="","",IFERROR(IF(IFERROR(INDEX(tblMoveTypes[In / Out],MATCH($C188,tblMoveTypes[Movement],0)),"?")="IN","IN   ",IF(IFERROR(INDEX(tblMoveTypes[In / Out],MATCH($C188,tblMoveTypes[Movement],0)),"?")="OUT","OUT   ","--   "))&amp;"fill: "&amp;IF(IFERROR(INDEX(tblMoveTypes[Item?],MATCH($C188,tblMoveTypes[Movement],0)),"?")="Yes","Item  ","")&amp;IF(AND(IFERROR(INDEX(tblMoveTypes[Qty?],MATCH($C188,tblMoveTypes[Movement],0)),"?")="Yes",IFERROR(INDEX(tblMoveTypes[In / Out],MATCH($C188,tblMoveTypes[Movement],0)),"?")="IN"),"In  ","")&amp;IF(AND(IFERROR(INDEX(tblMoveTypes[Qty?],MATCH($C188,tblMoveTypes[Movement],0)),"?")="Yes",IFERROR(INDEX(tblMoveTypes[In / Out],MATCH($C188,tblMoveTypes[Movement],0)),"?")="OUT"),"Out  ","")&amp;IF(IFERROR(INDEX(tblMoveTypes[Orders?],MATCH($C188,tblMoveTypes[Movement],0)),"?")="Yes","Orders  ","")&amp;IF(IFERROR(INDEX(tblMoveTypes[Courier?],MATCH($C188,tblMoveTypes[Movement],0)),"?")="Yes","Courier  ","")&amp;IF(IFERROR(INDEX(tblMoveTypes[Reason?],MATCH($C188,tblMoveTypes[Movement],0)),"?")="Yes","Reason",""),"unknown movement"))</f>
        <v>OUT   fill: Item  Out  Reason</v>
      </c>
      <c r="E188" s="31" t="s">
        <v>100</v>
      </c>
      <c r="F188" s="33"/>
      <c r="G188" s="33" t="n">
        <v>1</v>
      </c>
      <c r="H188" s="33"/>
      <c r="I188" s="31"/>
      <c r="J188" s="31" t="s">
        <v>77</v>
      </c>
      <c r="K188" s="31"/>
      <c r="L188" s="31"/>
      <c r="M188" s="34" t="str">
        <f aca="false">IF($E188="","",IFERROR(INDEX(tblItems[Item Code],MATCH($E188,tblItems[Item Name],0)),"?"))</f>
        <v>EG-FG-MNG-18-02-01-01</v>
      </c>
      <c r="N188" s="34" t="str">
        <f aca="false">IF($B188="","",IFERROR(INDEX(tblShipment[Market],MATCH($B188,tblShipment[Shipment No],0)),"?"))</f>
        <v>Qatar</v>
      </c>
      <c r="O188" s="35" t="n">
        <f aca="false">N($F188)+N($G188)</f>
        <v>1</v>
      </c>
      <c r="P188" s="34" t="str">
        <f aca="false">IF($A188="","",IF($L188="Yes","VOID",IF(COUNTIFS(tblMoveTypes[Movement],$C188)=0,"Unknown movement",IF(COUNTIF(tblShipment[Shipment No],$B188)=0,"Unknown shipment",IF(AND(IFERROR(INDEX(tblMoveTypes[Item?],MATCH($C188,tblMoveTypes[Movement],0)),"?")="Yes",$E188=""),"Item needed",IF(AND(IFERROR(INDEX(tblMoveTypes[Item?],MATCH($C188,tblMoveTypes[Movement],0)),"?")="No",$E188&lt;&gt;""),"Leave Item blank",IF(AND(IFERROR(INDEX(tblMoveTypes[In / Out],MATCH($C188,tblMoveTypes[Movement],0)),"?")="IN",$G188&lt;&gt;""),"Use the In column, not Out",IF(AND(IFERROR(INDEX(tblMoveTypes[In / Out],MATCH($C188,tblMoveTypes[Movement],0)),"?")="OUT",$F188&lt;&gt;""),"Use the Out column, not In",IF(AND(IFERROR(INDEX(tblMoveTypes[Qty?],MATCH($C188,tblMoveTypes[Movement],0)),"?")="Yes",N($F188)+N($G188)&lt;=0),"Qty needed",IF(AND(IFERROR(INDEX(tblMoveTypes[Qty?],MATCH($C188,tblMoveTypes[Movement],0)),"?")="No",N($F188)+N($G188)&gt;0),"Leave In and Out blank",IF(AND(IFERROR(INDEX(tblMoveTypes[Courier?],MATCH($C188,tblMoveTypes[Movement],0)),"?")="Yes",$I188=""),"Courier needed",IF(AND(IFERROR(INDEX(tblMoveTypes[Courier?],MATCH($C188,tblMoveTypes[Movement],0)),"?")="No",$I188&lt;&gt;""),"Leave Courier blank",IF(AND(IFERROR(INDEX(tblMoveTypes[Orders?],MATCH($C188,tblMoveTypes[Movement],0)),"?")="Yes",$H188=""),"Orders needed",IF(AND(IFERROR(INDEX(tblMoveTypes[Orders?],MATCH($C188,tblMoveTypes[Movement],0)),"?")="No",$H188&lt;&gt;""),"Leave Orders blank",IF(AND(IFERROR(INDEX(tblMoveTypes[Reason?],MATCH($C188,tblMoveTypes[Movement],0)),"?")="Yes",$J188=""),"Reason needed",IF($A188&lt;_xlfn.MINIFS(tblShipment[Arrival Date],tblShipment[Shipment No],$B188),"Date before arrival",IF(AND($E188&lt;&gt;"",COUNTIFS(tblShipment[Shipment No],$B188,tblShipment[Item Name],$E188)=0),"Item not in this shipment","OK")))))))))))))))))</f>
        <v>OK</v>
      </c>
    </row>
    <row r="189" customFormat="false" ht="15" hidden="false" customHeight="false" outlineLevel="0" collapsed="false">
      <c r="A189" s="32" t="n">
        <v>46239</v>
      </c>
      <c r="B189" s="31" t="s">
        <v>163</v>
      </c>
      <c r="C189" s="31" t="s">
        <v>79</v>
      </c>
      <c r="D189" s="34" t="str">
        <f aca="false">IF($C189="","",IFERROR(IF(IFERROR(INDEX(tblMoveTypes[In / Out],MATCH($C189,tblMoveTypes[Movement],0)),"?")="IN","IN   ",IF(IFERROR(INDEX(tblMoveTypes[In / Out],MATCH($C189,tblMoveTypes[Movement],0)),"?")="OUT","OUT   ","--   "))&amp;"fill: "&amp;IF(IFERROR(INDEX(tblMoveTypes[Item?],MATCH($C189,tblMoveTypes[Movement],0)),"?")="Yes","Item  ","")&amp;IF(AND(IFERROR(INDEX(tblMoveTypes[Qty?],MATCH($C189,tblMoveTypes[Movement],0)),"?")="Yes",IFERROR(INDEX(tblMoveTypes[In / Out],MATCH($C189,tblMoveTypes[Movement],0)),"?")="IN"),"In  ","")&amp;IF(AND(IFERROR(INDEX(tblMoveTypes[Qty?],MATCH($C189,tblMoveTypes[Movement],0)),"?")="Yes",IFERROR(INDEX(tblMoveTypes[In / Out],MATCH($C189,tblMoveTypes[Movement],0)),"?")="OUT"),"Out  ","")&amp;IF(IFERROR(INDEX(tblMoveTypes[Orders?],MATCH($C189,tblMoveTypes[Movement],0)),"?")="Yes","Orders  ","")&amp;IF(IFERROR(INDEX(tblMoveTypes[Courier?],MATCH($C189,tblMoveTypes[Movement],0)),"?")="Yes","Courier  ","")&amp;IF(IFERROR(INDEX(tblMoveTypes[Reason?],MATCH($C189,tblMoveTypes[Movement],0)),"?")="Yes","Reason",""),"unknown movement"))</f>
        <v>IN   fill: Item  In  </v>
      </c>
      <c r="E189" s="31" t="s">
        <v>117</v>
      </c>
      <c r="F189" s="33" t="n">
        <v>25</v>
      </c>
      <c r="G189" s="33"/>
      <c r="H189" s="33"/>
      <c r="I189" s="31"/>
      <c r="J189" s="31"/>
      <c r="K189" s="31"/>
      <c r="L189" s="31"/>
      <c r="M189" s="34" t="str">
        <f aca="false">IF($E189="","",IFERROR(INDEX(tblItems[Item Code],MATCH($E189,tblItems[Item Name],0)),"?"))</f>
        <v>EG-FG-MNG-06-02-01-01</v>
      </c>
      <c r="N189" s="34" t="str">
        <f aca="false">IF($B189="","",IFERROR(INDEX(tblShipment[Market],MATCH($B189,tblShipment[Shipment No],0)),"?"))</f>
        <v>Qatar</v>
      </c>
      <c r="O189" s="35" t="n">
        <f aca="false">N($F189)+N($G189)</f>
        <v>25</v>
      </c>
      <c r="P189" s="34" t="str">
        <f aca="false">IF($A189="","",IF($L189="Yes","VOID",IF(COUNTIFS(tblMoveTypes[Movement],$C189)=0,"Unknown movement",IF(COUNTIF(tblShipment[Shipment No],$B189)=0,"Unknown shipment",IF(AND(IFERROR(INDEX(tblMoveTypes[Item?],MATCH($C189,tblMoveTypes[Movement],0)),"?")="Yes",$E189=""),"Item needed",IF(AND(IFERROR(INDEX(tblMoveTypes[Item?],MATCH($C189,tblMoveTypes[Movement],0)),"?")="No",$E189&lt;&gt;""),"Leave Item blank",IF(AND(IFERROR(INDEX(tblMoveTypes[In / Out],MATCH($C189,tblMoveTypes[Movement],0)),"?")="IN",$G189&lt;&gt;""),"Use the In column, not Out",IF(AND(IFERROR(INDEX(tblMoveTypes[In / Out],MATCH($C189,tblMoveTypes[Movement],0)),"?")="OUT",$F189&lt;&gt;""),"Use the Out column, not In",IF(AND(IFERROR(INDEX(tblMoveTypes[Qty?],MATCH($C189,tblMoveTypes[Movement],0)),"?")="Yes",N($F189)+N($G189)&lt;=0),"Qty needed",IF(AND(IFERROR(INDEX(tblMoveTypes[Qty?],MATCH($C189,tblMoveTypes[Movement],0)),"?")="No",N($F189)+N($G189)&gt;0),"Leave In and Out blank",IF(AND(IFERROR(INDEX(tblMoveTypes[Courier?],MATCH($C189,tblMoveTypes[Movement],0)),"?")="Yes",$I189=""),"Courier needed",IF(AND(IFERROR(INDEX(tblMoveTypes[Courier?],MATCH($C189,tblMoveTypes[Movement],0)),"?")="No",$I189&lt;&gt;""),"Leave Courier blank",IF(AND(IFERROR(INDEX(tblMoveTypes[Orders?],MATCH($C189,tblMoveTypes[Movement],0)),"?")="Yes",$H189=""),"Orders needed",IF(AND(IFERROR(INDEX(tblMoveTypes[Orders?],MATCH($C189,tblMoveTypes[Movement],0)),"?")="No",$H189&lt;&gt;""),"Leave Orders blank",IF(AND(IFERROR(INDEX(tblMoveTypes[Reason?],MATCH($C189,tblMoveTypes[Movement],0)),"?")="Yes",$J189=""),"Reason needed",IF($A189&lt;_xlfn.MINIFS(tblShipment[Arrival Date],tblShipment[Shipment No],$B189),"Date before arrival",IF(AND($E189&lt;&gt;"",COUNTIFS(tblShipment[Shipment No],$B189,tblShipment[Item Name],$E189)=0),"Item not in this shipment","OK")))))))))))))))))</f>
        <v>OK</v>
      </c>
    </row>
    <row r="190" customFormat="false" ht="15" hidden="false" customHeight="false" outlineLevel="0" collapsed="false">
      <c r="A190" s="32" t="n">
        <v>46239</v>
      </c>
      <c r="B190" s="31" t="s">
        <v>163</v>
      </c>
      <c r="C190" s="31" t="s">
        <v>78</v>
      </c>
      <c r="D190" s="34" t="str">
        <f aca="false">IF($C190="","",IFERROR(IF(IFERROR(INDEX(tblMoveTypes[In / Out],MATCH($C190,tblMoveTypes[Movement],0)),"?")="IN","IN   ",IF(IFERROR(INDEX(tblMoveTypes[In / Out],MATCH($C190,tblMoveTypes[Movement],0)),"?")="OUT","OUT   ","--   "))&amp;"fill: "&amp;IF(IFERROR(INDEX(tblMoveTypes[Item?],MATCH($C190,tblMoveTypes[Movement],0)),"?")="Yes","Item  ","")&amp;IF(AND(IFERROR(INDEX(tblMoveTypes[Qty?],MATCH($C190,tblMoveTypes[Movement],0)),"?")="Yes",IFERROR(INDEX(tblMoveTypes[In / Out],MATCH($C190,tblMoveTypes[Movement],0)),"?")="IN"),"In  ","")&amp;IF(AND(IFERROR(INDEX(tblMoveTypes[Qty?],MATCH($C190,tblMoveTypes[Movement],0)),"?")="Yes",IFERROR(INDEX(tblMoveTypes[In / Out],MATCH($C190,tblMoveTypes[Movement],0)),"?")="OUT"),"Out  ","")&amp;IF(IFERROR(INDEX(tblMoveTypes[Orders?],MATCH($C190,tblMoveTypes[Movement],0)),"?")="Yes","Orders  ","")&amp;IF(IFERROR(INDEX(tblMoveTypes[Courier?],MATCH($C190,tblMoveTypes[Movement],0)),"?")="Yes","Courier  ","")&amp;IF(IFERROR(INDEX(tblMoveTypes[Reason?],MATCH($C190,tblMoveTypes[Movement],0)),"?")="Yes","Reason",""),"unknown movement"))</f>
        <v>OUT   fill: Item  Out  Reason</v>
      </c>
      <c r="E190" s="31" t="s">
        <v>117</v>
      </c>
      <c r="F190" s="33"/>
      <c r="G190" s="33" t="n">
        <v>1</v>
      </c>
      <c r="H190" s="33"/>
      <c r="I190" s="31"/>
      <c r="J190" s="31" t="s">
        <v>77</v>
      </c>
      <c r="K190" s="31"/>
      <c r="L190" s="31"/>
      <c r="M190" s="34" t="str">
        <f aca="false">IF($E190="","",IFERROR(INDEX(tblItems[Item Code],MATCH($E190,tblItems[Item Name],0)),"?"))</f>
        <v>EG-FG-MNG-06-02-01-01</v>
      </c>
      <c r="N190" s="34" t="str">
        <f aca="false">IF($B190="","",IFERROR(INDEX(tblShipment[Market],MATCH($B190,tblShipment[Shipment No],0)),"?"))</f>
        <v>Qatar</v>
      </c>
      <c r="O190" s="35" t="n">
        <f aca="false">N($F190)+N($G190)</f>
        <v>1</v>
      </c>
      <c r="P190" s="34" t="str">
        <f aca="false">IF($A190="","",IF($L190="Yes","VOID",IF(COUNTIFS(tblMoveTypes[Movement],$C190)=0,"Unknown movement",IF(COUNTIF(tblShipment[Shipment No],$B190)=0,"Unknown shipment",IF(AND(IFERROR(INDEX(tblMoveTypes[Item?],MATCH($C190,tblMoveTypes[Movement],0)),"?")="Yes",$E190=""),"Item needed",IF(AND(IFERROR(INDEX(tblMoveTypes[Item?],MATCH($C190,tblMoveTypes[Movement],0)),"?")="No",$E190&lt;&gt;""),"Leave Item blank",IF(AND(IFERROR(INDEX(tblMoveTypes[In / Out],MATCH($C190,tblMoveTypes[Movement],0)),"?")="IN",$G190&lt;&gt;""),"Use the In column, not Out",IF(AND(IFERROR(INDEX(tblMoveTypes[In / Out],MATCH($C190,tblMoveTypes[Movement],0)),"?")="OUT",$F190&lt;&gt;""),"Use the Out column, not In",IF(AND(IFERROR(INDEX(tblMoveTypes[Qty?],MATCH($C190,tblMoveTypes[Movement],0)),"?")="Yes",N($F190)+N($G190)&lt;=0),"Qty needed",IF(AND(IFERROR(INDEX(tblMoveTypes[Qty?],MATCH($C190,tblMoveTypes[Movement],0)),"?")="No",N($F190)+N($G190)&gt;0),"Leave In and Out blank",IF(AND(IFERROR(INDEX(tblMoveTypes[Courier?],MATCH($C190,tblMoveTypes[Movement],0)),"?")="Yes",$I190=""),"Courier needed",IF(AND(IFERROR(INDEX(tblMoveTypes[Courier?],MATCH($C190,tblMoveTypes[Movement],0)),"?")="No",$I190&lt;&gt;""),"Leave Courier blank",IF(AND(IFERROR(INDEX(tblMoveTypes[Orders?],MATCH($C190,tblMoveTypes[Movement],0)),"?")="Yes",$H190=""),"Orders needed",IF(AND(IFERROR(INDEX(tblMoveTypes[Orders?],MATCH($C190,tblMoveTypes[Movement],0)),"?")="No",$H190&lt;&gt;""),"Leave Orders blank",IF(AND(IFERROR(INDEX(tblMoveTypes[Reason?],MATCH($C190,tblMoveTypes[Movement],0)),"?")="Yes",$J190=""),"Reason needed",IF($A190&lt;_xlfn.MINIFS(tblShipment[Arrival Date],tblShipment[Shipment No],$B190),"Date before arrival",IF(AND($E190&lt;&gt;"",COUNTIFS(tblShipment[Shipment No],$B190,tblShipment[Item Name],$E190)=0),"Item not in this shipment","OK")))))))))))))))))</f>
        <v>OK</v>
      </c>
    </row>
    <row r="191" customFormat="false" ht="15" hidden="false" customHeight="false" outlineLevel="0" collapsed="false">
      <c r="A191" s="32" t="n">
        <v>46239</v>
      </c>
      <c r="B191" s="31" t="s">
        <v>163</v>
      </c>
      <c r="C191" s="31" t="s">
        <v>87</v>
      </c>
      <c r="D191" s="34" t="str">
        <f aca="false">IF($C191="","",IFERROR(IF(IFERROR(INDEX(tblMoveTypes[In / Out],MATCH($C191,tblMoveTypes[Movement],0)),"?")="IN","IN   ",IF(IFERROR(INDEX(tblMoveTypes[In / Out],MATCH($C191,tblMoveTypes[Movement],0)),"?")="OUT","OUT   ","--   "))&amp;"fill: "&amp;IF(IFERROR(INDEX(tblMoveTypes[Item?],MATCH($C191,tblMoveTypes[Movement],0)),"?")="Yes","Item  ","")&amp;IF(AND(IFERROR(INDEX(tblMoveTypes[Qty?],MATCH($C191,tblMoveTypes[Movement],0)),"?")="Yes",IFERROR(INDEX(tblMoveTypes[In / Out],MATCH($C191,tblMoveTypes[Movement],0)),"?")="IN"),"In  ","")&amp;IF(AND(IFERROR(INDEX(tblMoveTypes[Qty?],MATCH($C191,tblMoveTypes[Movement],0)),"?")="Yes",IFERROR(INDEX(tblMoveTypes[In / Out],MATCH($C191,tblMoveTypes[Movement],0)),"?")="OUT"),"Out  ","")&amp;IF(IFERROR(INDEX(tblMoveTypes[Orders?],MATCH($C191,tblMoveTypes[Movement],0)),"?")="Yes","Orders  ","")&amp;IF(IFERROR(INDEX(tblMoveTypes[Courier?],MATCH($C191,tblMoveTypes[Movement],0)),"?")="Yes","Courier  ","")&amp;IF(IFERROR(INDEX(tblMoveTypes[Reason?],MATCH($C191,tblMoveTypes[Movement],0)),"?")="Yes","Reason",""),"unknown movement"))</f>
        <v>OUT   fill: Item  Out  </v>
      </c>
      <c r="E191" s="31" t="s">
        <v>122</v>
      </c>
      <c r="F191" s="33"/>
      <c r="G191" s="33" t="n">
        <v>3</v>
      </c>
      <c r="H191" s="33"/>
      <c r="I191" s="31"/>
      <c r="J191" s="31"/>
      <c r="K191" s="31" t="s">
        <v>179</v>
      </c>
      <c r="L191" s="31"/>
      <c r="M191" s="34" t="str">
        <f aca="false">IF($E191="","",IFERROR(INDEX(tblItems[Item Code],MATCH($E191,tblItems[Item Name],0)),"?"))</f>
        <v>EG-FG-GRP-01-02-01-01</v>
      </c>
      <c r="N191" s="34" t="str">
        <f aca="false">IF($B191="","",IFERROR(INDEX(tblShipment[Market],MATCH($B191,tblShipment[Shipment No],0)),"?"))</f>
        <v>Qatar</v>
      </c>
      <c r="O191" s="35" t="n">
        <f aca="false">N($F191)+N($G191)</f>
        <v>3</v>
      </c>
      <c r="P191" s="34" t="str">
        <f aca="false">IF($A191="","",IF($L191="Yes","VOID",IF(COUNTIFS(tblMoveTypes[Movement],$C191)=0,"Unknown movement",IF(COUNTIF(tblShipment[Shipment No],$B191)=0,"Unknown shipment",IF(AND(IFERROR(INDEX(tblMoveTypes[Item?],MATCH($C191,tblMoveTypes[Movement],0)),"?")="Yes",$E191=""),"Item needed",IF(AND(IFERROR(INDEX(tblMoveTypes[Item?],MATCH($C191,tblMoveTypes[Movement],0)),"?")="No",$E191&lt;&gt;""),"Leave Item blank",IF(AND(IFERROR(INDEX(tblMoveTypes[In / Out],MATCH($C191,tblMoveTypes[Movement],0)),"?")="IN",$G191&lt;&gt;""),"Use the In column, not Out",IF(AND(IFERROR(INDEX(tblMoveTypes[In / Out],MATCH($C191,tblMoveTypes[Movement],0)),"?")="OUT",$F191&lt;&gt;""),"Use the Out column, not In",IF(AND(IFERROR(INDEX(tblMoveTypes[Qty?],MATCH($C191,tblMoveTypes[Movement],0)),"?")="Yes",N($F191)+N($G191)&lt;=0),"Qty needed",IF(AND(IFERROR(INDEX(tblMoveTypes[Qty?],MATCH($C191,tblMoveTypes[Movement],0)),"?")="No",N($F191)+N($G191)&gt;0),"Leave In and Out blank",IF(AND(IFERROR(INDEX(tblMoveTypes[Courier?],MATCH($C191,tblMoveTypes[Movement],0)),"?")="Yes",$I191=""),"Courier needed",IF(AND(IFERROR(INDEX(tblMoveTypes[Courier?],MATCH($C191,tblMoveTypes[Movement],0)),"?")="No",$I191&lt;&gt;""),"Leave Courier blank",IF(AND(IFERROR(INDEX(tblMoveTypes[Orders?],MATCH($C191,tblMoveTypes[Movement],0)),"?")="Yes",$H191=""),"Orders needed",IF(AND(IFERROR(INDEX(tblMoveTypes[Orders?],MATCH($C191,tblMoveTypes[Movement],0)),"?")="No",$H191&lt;&gt;""),"Leave Orders blank",IF(AND(IFERROR(INDEX(tblMoveTypes[Reason?],MATCH($C191,tblMoveTypes[Movement],0)),"?")="Yes",$J191=""),"Reason needed",IF($A191&lt;_xlfn.MINIFS(tblShipment[Arrival Date],tblShipment[Shipment No],$B191),"Date before arrival",IF(AND($E191&lt;&gt;"",COUNTIFS(tblShipment[Shipment No],$B191,tblShipment[Item Name],$E191)=0),"Item not in this shipment","OK")))))))))))))))))</f>
        <v>OK</v>
      </c>
    </row>
    <row r="192" customFormat="false" ht="15" hidden="false" customHeight="false" outlineLevel="0" collapsed="false">
      <c r="A192" s="32" t="n">
        <v>46239</v>
      </c>
      <c r="B192" s="31" t="s">
        <v>163</v>
      </c>
      <c r="C192" s="31" t="s">
        <v>79</v>
      </c>
      <c r="D192" s="34" t="str">
        <f aca="false">IF($C192="","",IFERROR(IF(IFERROR(INDEX(tblMoveTypes[In / Out],MATCH($C192,tblMoveTypes[Movement],0)),"?")="IN","IN   ",IF(IFERROR(INDEX(tblMoveTypes[In / Out],MATCH($C192,tblMoveTypes[Movement],0)),"?")="OUT","OUT   ","--   "))&amp;"fill: "&amp;IF(IFERROR(INDEX(tblMoveTypes[Item?],MATCH($C192,tblMoveTypes[Movement],0)),"?")="Yes","Item  ","")&amp;IF(AND(IFERROR(INDEX(tblMoveTypes[Qty?],MATCH($C192,tblMoveTypes[Movement],0)),"?")="Yes",IFERROR(INDEX(tblMoveTypes[In / Out],MATCH($C192,tblMoveTypes[Movement],0)),"?")="IN"),"In  ","")&amp;IF(AND(IFERROR(INDEX(tblMoveTypes[Qty?],MATCH($C192,tblMoveTypes[Movement],0)),"?")="Yes",IFERROR(INDEX(tblMoveTypes[In / Out],MATCH($C192,tblMoveTypes[Movement],0)),"?")="OUT"),"Out  ","")&amp;IF(IFERROR(INDEX(tblMoveTypes[Orders?],MATCH($C192,tblMoveTypes[Movement],0)),"?")="Yes","Orders  ","")&amp;IF(IFERROR(INDEX(tblMoveTypes[Courier?],MATCH($C192,tblMoveTypes[Movement],0)),"?")="Yes","Courier  ","")&amp;IF(IFERROR(INDEX(tblMoveTypes[Reason?],MATCH($C192,tblMoveTypes[Movement],0)),"?")="Yes","Reason",""),"unknown movement"))</f>
        <v>IN   fill: Item  In  </v>
      </c>
      <c r="E192" s="31" t="s">
        <v>122</v>
      </c>
      <c r="F192" s="33" t="n">
        <v>17</v>
      </c>
      <c r="G192" s="33"/>
      <c r="H192" s="33"/>
      <c r="I192" s="31"/>
      <c r="J192" s="31"/>
      <c r="K192" s="31"/>
      <c r="L192" s="31"/>
      <c r="M192" s="34" t="str">
        <f aca="false">IF($E192="","",IFERROR(INDEX(tblItems[Item Code],MATCH($E192,tblItems[Item Name],0)),"?"))</f>
        <v>EG-FG-GRP-01-02-01-01</v>
      </c>
      <c r="N192" s="34" t="str">
        <f aca="false">IF($B192="","",IFERROR(INDEX(tblShipment[Market],MATCH($B192,tblShipment[Shipment No],0)),"?"))</f>
        <v>Qatar</v>
      </c>
      <c r="O192" s="35" t="n">
        <f aca="false">N($F192)+N($G192)</f>
        <v>17</v>
      </c>
      <c r="P192" s="34" t="str">
        <f aca="false">IF($A192="","",IF($L192="Yes","VOID",IF(COUNTIFS(tblMoveTypes[Movement],$C192)=0,"Unknown movement",IF(COUNTIF(tblShipment[Shipment No],$B192)=0,"Unknown shipment",IF(AND(IFERROR(INDEX(tblMoveTypes[Item?],MATCH($C192,tblMoveTypes[Movement],0)),"?")="Yes",$E192=""),"Item needed",IF(AND(IFERROR(INDEX(tblMoveTypes[Item?],MATCH($C192,tblMoveTypes[Movement],0)),"?")="No",$E192&lt;&gt;""),"Leave Item blank",IF(AND(IFERROR(INDEX(tblMoveTypes[In / Out],MATCH($C192,tblMoveTypes[Movement],0)),"?")="IN",$G192&lt;&gt;""),"Use the In column, not Out",IF(AND(IFERROR(INDEX(tblMoveTypes[In / Out],MATCH($C192,tblMoveTypes[Movement],0)),"?")="OUT",$F192&lt;&gt;""),"Use the Out column, not In",IF(AND(IFERROR(INDEX(tblMoveTypes[Qty?],MATCH($C192,tblMoveTypes[Movement],0)),"?")="Yes",N($F192)+N($G192)&lt;=0),"Qty needed",IF(AND(IFERROR(INDEX(tblMoveTypes[Qty?],MATCH($C192,tblMoveTypes[Movement],0)),"?")="No",N($F192)+N($G192)&gt;0),"Leave In and Out blank",IF(AND(IFERROR(INDEX(tblMoveTypes[Courier?],MATCH($C192,tblMoveTypes[Movement],0)),"?")="Yes",$I192=""),"Courier needed",IF(AND(IFERROR(INDEX(tblMoveTypes[Courier?],MATCH($C192,tblMoveTypes[Movement],0)),"?")="No",$I192&lt;&gt;""),"Leave Courier blank",IF(AND(IFERROR(INDEX(tblMoveTypes[Orders?],MATCH($C192,tblMoveTypes[Movement],0)),"?")="Yes",$H192=""),"Orders needed",IF(AND(IFERROR(INDEX(tblMoveTypes[Orders?],MATCH($C192,tblMoveTypes[Movement],0)),"?")="No",$H192&lt;&gt;""),"Leave Orders blank",IF(AND(IFERROR(INDEX(tblMoveTypes[Reason?],MATCH($C192,tblMoveTypes[Movement],0)),"?")="Yes",$J192=""),"Reason needed",IF($A192&lt;_xlfn.MINIFS(tblShipment[Arrival Date],tblShipment[Shipment No],$B192),"Date before arrival",IF(AND($E192&lt;&gt;"",COUNTIFS(tblShipment[Shipment No],$B192,tblShipment[Item Name],$E192)=0),"Item not in this shipment","OK")))))))))))))))))</f>
        <v>OK</v>
      </c>
    </row>
    <row r="193" customFormat="false" ht="15" hidden="false" customHeight="false" outlineLevel="0" collapsed="false">
      <c r="A193" s="32" t="n">
        <v>46239</v>
      </c>
      <c r="B193" s="31" t="s">
        <v>163</v>
      </c>
      <c r="C193" s="31" t="s">
        <v>103</v>
      </c>
      <c r="D193" s="34" t="str">
        <f aca="false">IF($C193="","",IFERROR(IF(IFERROR(INDEX(tblMoveTypes[In / Out],MATCH($C193,tblMoveTypes[Movement],0)),"?")="IN","IN   ",IF(IFERROR(INDEX(tblMoveTypes[In / Out],MATCH($C193,tblMoveTypes[Movement],0)),"?")="OUT","OUT   ","--   "))&amp;"fill: "&amp;IF(IFERROR(INDEX(tblMoveTypes[Item?],MATCH($C193,tblMoveTypes[Movement],0)),"?")="Yes","Item  ","")&amp;IF(AND(IFERROR(INDEX(tblMoveTypes[Qty?],MATCH($C193,tblMoveTypes[Movement],0)),"?")="Yes",IFERROR(INDEX(tblMoveTypes[In / Out],MATCH($C193,tblMoveTypes[Movement],0)),"?")="IN"),"In  ","")&amp;IF(AND(IFERROR(INDEX(tblMoveTypes[Qty?],MATCH($C193,tblMoveTypes[Movement],0)),"?")="Yes",IFERROR(INDEX(tblMoveTypes[In / Out],MATCH($C193,tblMoveTypes[Movement],0)),"?")="OUT"),"Out  ","")&amp;IF(IFERROR(INDEX(tblMoveTypes[Orders?],MATCH($C193,tblMoveTypes[Movement],0)),"?")="Yes","Orders  ","")&amp;IF(IFERROR(INDEX(tblMoveTypes[Courier?],MATCH($C193,tblMoveTypes[Movement],0)),"?")="Yes","Courier  ","")&amp;IF(IFERROR(INDEX(tblMoveTypes[Reason?],MATCH($C193,tblMoveTypes[Movement],0)),"?")="Yes","Reason",""),"unknown movement"))</f>
        <v>--   fill: Orders  </v>
      </c>
      <c r="E193" s="31"/>
      <c r="F193" s="33"/>
      <c r="G193" s="33"/>
      <c r="H193" s="33" t="n">
        <v>165</v>
      </c>
      <c r="I193" s="31"/>
      <c r="J193" s="31"/>
      <c r="K193" s="31"/>
      <c r="L193" s="31"/>
      <c r="M193" s="34" t="str">
        <f aca="false">IF($E193="","",IFERROR(INDEX(tblItems[Item Code],MATCH($E193,tblItems[Item Name],0)),"?"))</f>
        <v/>
      </c>
      <c r="N193" s="34" t="str">
        <f aca="false">IF($B193="","",IFERROR(INDEX(tblShipment[Market],MATCH($B193,tblShipment[Shipment No],0)),"?"))</f>
        <v>Qatar</v>
      </c>
      <c r="O193" s="35" t="n">
        <f aca="false">N($F193)+N($G193)</f>
        <v>0</v>
      </c>
      <c r="P193" s="34" t="str">
        <f aca="false">IF($A193="","",IF($L193="Yes","VOID",IF(COUNTIFS(tblMoveTypes[Movement],$C193)=0,"Unknown movement",IF(COUNTIF(tblShipment[Shipment No],$B193)=0,"Unknown shipment",IF(AND(IFERROR(INDEX(tblMoveTypes[Item?],MATCH($C193,tblMoveTypes[Movement],0)),"?")="Yes",$E193=""),"Item needed",IF(AND(IFERROR(INDEX(tblMoveTypes[Item?],MATCH($C193,tblMoveTypes[Movement],0)),"?")="No",$E193&lt;&gt;""),"Leave Item blank",IF(AND(IFERROR(INDEX(tblMoveTypes[In / Out],MATCH($C193,tblMoveTypes[Movement],0)),"?")="IN",$G193&lt;&gt;""),"Use the In column, not Out",IF(AND(IFERROR(INDEX(tblMoveTypes[In / Out],MATCH($C193,tblMoveTypes[Movement],0)),"?")="OUT",$F193&lt;&gt;""),"Use the Out column, not In",IF(AND(IFERROR(INDEX(tblMoveTypes[Qty?],MATCH($C193,tblMoveTypes[Movement],0)),"?")="Yes",N($F193)+N($G193)&lt;=0),"Qty needed",IF(AND(IFERROR(INDEX(tblMoveTypes[Qty?],MATCH($C193,tblMoveTypes[Movement],0)),"?")="No",N($F193)+N($G193)&gt;0),"Leave In and Out blank",IF(AND(IFERROR(INDEX(tblMoveTypes[Courier?],MATCH($C193,tblMoveTypes[Movement],0)),"?")="Yes",$I193=""),"Courier needed",IF(AND(IFERROR(INDEX(tblMoveTypes[Courier?],MATCH($C193,tblMoveTypes[Movement],0)),"?")="No",$I193&lt;&gt;""),"Leave Courier blank",IF(AND(IFERROR(INDEX(tblMoveTypes[Orders?],MATCH($C193,tblMoveTypes[Movement],0)),"?")="Yes",$H193=""),"Orders needed",IF(AND(IFERROR(INDEX(tblMoveTypes[Orders?],MATCH($C193,tblMoveTypes[Movement],0)),"?")="No",$H193&lt;&gt;""),"Leave Orders blank",IF(AND(IFERROR(INDEX(tblMoveTypes[Reason?],MATCH($C193,tblMoveTypes[Movement],0)),"?")="Yes",$J193=""),"Reason needed",IF($A193&lt;_xlfn.MINIFS(tblShipment[Arrival Date],tblShipment[Shipment No],$B193),"Date before arrival",IF(AND($E193&lt;&gt;"",COUNTIFS(tblShipment[Shipment No],$B193,tblShipment[Item Name],$E193)=0),"Item not in this shipment","OK")))))))))))))))))</f>
        <v>OK</v>
      </c>
    </row>
    <row r="194" customFormat="false" ht="15" hidden="false" customHeight="false" outlineLevel="0" collapsed="false">
      <c r="A194" s="32" t="n">
        <v>46239</v>
      </c>
      <c r="B194" s="31" t="s">
        <v>163</v>
      </c>
      <c r="C194" s="31" t="s">
        <v>98</v>
      </c>
      <c r="D194" s="34" t="str">
        <f aca="false">IF($C194="","",IFERROR(IF(IFERROR(INDEX(tblMoveTypes[In / Out],MATCH($C194,tblMoveTypes[Movement],0)),"?")="IN","IN   ",IF(IFERROR(INDEX(tblMoveTypes[In / Out],MATCH($C194,tblMoveTypes[Movement],0)),"?")="OUT","OUT   ","--   "))&amp;"fill: "&amp;IF(IFERROR(INDEX(tblMoveTypes[Item?],MATCH($C194,tblMoveTypes[Movement],0)),"?")="Yes","Item  ","")&amp;IF(AND(IFERROR(INDEX(tblMoveTypes[Qty?],MATCH($C194,tblMoveTypes[Movement],0)),"?")="Yes",IFERROR(INDEX(tblMoveTypes[In / Out],MATCH($C194,tblMoveTypes[Movement],0)),"?")="IN"),"In  ","")&amp;IF(AND(IFERROR(INDEX(tblMoveTypes[Qty?],MATCH($C194,tblMoveTypes[Movement],0)),"?")="Yes",IFERROR(INDEX(tblMoveTypes[In / Out],MATCH($C194,tblMoveTypes[Movement],0)),"?")="OUT"),"Out  ","")&amp;IF(IFERROR(INDEX(tblMoveTypes[Orders?],MATCH($C194,tblMoveTypes[Movement],0)),"?")="Yes","Orders  ","")&amp;IF(IFERROR(INDEX(tblMoveTypes[Courier?],MATCH($C194,tblMoveTypes[Movement],0)),"?")="Yes","Courier  ","")&amp;IF(IFERROR(INDEX(tblMoveTypes[Reason?],MATCH($C194,tblMoveTypes[Movement],0)),"?")="Yes","Reason",""),"unknown movement"))</f>
        <v>OUT   fill: Item  Out  Courier  </v>
      </c>
      <c r="E194" s="31" t="s">
        <v>72</v>
      </c>
      <c r="F194" s="33"/>
      <c r="G194" s="33" t="n">
        <v>93</v>
      </c>
      <c r="H194" s="33"/>
      <c r="I194" s="31" t="s">
        <v>76</v>
      </c>
      <c r="J194" s="31"/>
      <c r="K194" s="31"/>
      <c r="L194" s="31"/>
      <c r="M194" s="34" t="str">
        <f aca="false">IF($E194="","",IFERROR(INDEX(tblItems[Item Code],MATCH($E194,tblItems[Item Name],0)),"?"))</f>
        <v>EG-FG-MNG-05-02-01-01</v>
      </c>
      <c r="N194" s="34" t="str">
        <f aca="false">IF($B194="","",IFERROR(INDEX(tblShipment[Market],MATCH($B194,tblShipment[Shipment No],0)),"?"))</f>
        <v>Qatar</v>
      </c>
      <c r="O194" s="35" t="n">
        <f aca="false">N($F194)+N($G194)</f>
        <v>93</v>
      </c>
      <c r="P194" s="34" t="str">
        <f aca="false">IF($A194="","",IF($L194="Yes","VOID",IF(COUNTIFS(tblMoveTypes[Movement],$C194)=0,"Unknown movement",IF(COUNTIF(tblShipment[Shipment No],$B194)=0,"Unknown shipment",IF(AND(IFERROR(INDEX(tblMoveTypes[Item?],MATCH($C194,tblMoveTypes[Movement],0)),"?")="Yes",$E194=""),"Item needed",IF(AND(IFERROR(INDEX(tblMoveTypes[Item?],MATCH($C194,tblMoveTypes[Movement],0)),"?")="No",$E194&lt;&gt;""),"Leave Item blank",IF(AND(IFERROR(INDEX(tblMoveTypes[In / Out],MATCH($C194,tblMoveTypes[Movement],0)),"?")="IN",$G194&lt;&gt;""),"Use the In column, not Out",IF(AND(IFERROR(INDEX(tblMoveTypes[In / Out],MATCH($C194,tblMoveTypes[Movement],0)),"?")="OUT",$F194&lt;&gt;""),"Use the Out column, not In",IF(AND(IFERROR(INDEX(tblMoveTypes[Qty?],MATCH($C194,tblMoveTypes[Movement],0)),"?")="Yes",N($F194)+N($G194)&lt;=0),"Qty needed",IF(AND(IFERROR(INDEX(tblMoveTypes[Qty?],MATCH($C194,tblMoveTypes[Movement],0)),"?")="No",N($F194)+N($G194)&gt;0),"Leave In and Out blank",IF(AND(IFERROR(INDEX(tblMoveTypes[Courier?],MATCH($C194,tblMoveTypes[Movement],0)),"?")="Yes",$I194=""),"Courier needed",IF(AND(IFERROR(INDEX(tblMoveTypes[Courier?],MATCH($C194,tblMoveTypes[Movement],0)),"?")="No",$I194&lt;&gt;""),"Leave Courier blank",IF(AND(IFERROR(INDEX(tblMoveTypes[Orders?],MATCH($C194,tblMoveTypes[Movement],0)),"?")="Yes",$H194=""),"Orders needed",IF(AND(IFERROR(INDEX(tblMoveTypes[Orders?],MATCH($C194,tblMoveTypes[Movement],0)),"?")="No",$H194&lt;&gt;""),"Leave Orders blank",IF(AND(IFERROR(INDEX(tblMoveTypes[Reason?],MATCH($C194,tblMoveTypes[Movement],0)),"?")="Yes",$J194=""),"Reason needed",IF($A194&lt;_xlfn.MINIFS(tblShipment[Arrival Date],tblShipment[Shipment No],$B194),"Date before arrival",IF(AND($E194&lt;&gt;"",COUNTIFS(tblShipment[Shipment No],$B194,tblShipment[Item Name],$E194)=0),"Item not in this shipment","OK")))))))))))))))))</f>
        <v>OK</v>
      </c>
    </row>
    <row r="195" customFormat="false" ht="15" hidden="false" customHeight="false" outlineLevel="0" collapsed="false">
      <c r="A195" s="32" t="n">
        <v>46239</v>
      </c>
      <c r="B195" s="31" t="s">
        <v>163</v>
      </c>
      <c r="C195" s="31" t="s">
        <v>98</v>
      </c>
      <c r="D195" s="34" t="str">
        <f aca="false">IF($C195="","",IFERROR(IF(IFERROR(INDEX(tblMoveTypes[In / Out],MATCH($C195,tblMoveTypes[Movement],0)),"?")="IN","IN   ",IF(IFERROR(INDEX(tblMoveTypes[In / Out],MATCH($C195,tblMoveTypes[Movement],0)),"?")="OUT","OUT   ","--   "))&amp;"fill: "&amp;IF(IFERROR(INDEX(tblMoveTypes[Item?],MATCH($C195,tblMoveTypes[Movement],0)),"?")="Yes","Item  ","")&amp;IF(AND(IFERROR(INDEX(tblMoveTypes[Qty?],MATCH($C195,tblMoveTypes[Movement],0)),"?")="Yes",IFERROR(INDEX(tblMoveTypes[In / Out],MATCH($C195,tblMoveTypes[Movement],0)),"?")="IN"),"In  ","")&amp;IF(AND(IFERROR(INDEX(tblMoveTypes[Qty?],MATCH($C195,tblMoveTypes[Movement],0)),"?")="Yes",IFERROR(INDEX(tblMoveTypes[In / Out],MATCH($C195,tblMoveTypes[Movement],0)),"?")="OUT"),"Out  ","")&amp;IF(IFERROR(INDEX(tblMoveTypes[Orders?],MATCH($C195,tblMoveTypes[Movement],0)),"?")="Yes","Orders  ","")&amp;IF(IFERROR(INDEX(tblMoveTypes[Courier?],MATCH($C195,tblMoveTypes[Movement],0)),"?")="Yes","Courier  ","")&amp;IF(IFERROR(INDEX(tblMoveTypes[Reason?],MATCH($C195,tblMoveTypes[Movement],0)),"?")="Yes","Reason",""),"unknown movement"))</f>
        <v>OUT   fill: Item  Out  Courier  </v>
      </c>
      <c r="E195" s="31" t="s">
        <v>91</v>
      </c>
      <c r="F195" s="33"/>
      <c r="G195" s="33" t="n">
        <v>54</v>
      </c>
      <c r="H195" s="33"/>
      <c r="I195" s="31" t="s">
        <v>76</v>
      </c>
      <c r="J195" s="31"/>
      <c r="K195" s="31"/>
      <c r="L195" s="31"/>
      <c r="M195" s="34" t="str">
        <f aca="false">IF($E195="","",IFERROR(INDEX(tblItems[Item Code],MATCH($E195,tblItems[Item Name],0)),"?"))</f>
        <v>EG-FG-FIG-01-02-01-01</v>
      </c>
      <c r="N195" s="34" t="str">
        <f aca="false">IF($B195="","",IFERROR(INDEX(tblShipment[Market],MATCH($B195,tblShipment[Shipment No],0)),"?"))</f>
        <v>Qatar</v>
      </c>
      <c r="O195" s="35" t="n">
        <f aca="false">N($F195)+N($G195)</f>
        <v>54</v>
      </c>
      <c r="P195" s="34" t="str">
        <f aca="false">IF($A195="","",IF($L195="Yes","VOID",IF(COUNTIFS(tblMoveTypes[Movement],$C195)=0,"Unknown movement",IF(COUNTIF(tblShipment[Shipment No],$B195)=0,"Unknown shipment",IF(AND(IFERROR(INDEX(tblMoveTypes[Item?],MATCH($C195,tblMoveTypes[Movement],0)),"?")="Yes",$E195=""),"Item needed",IF(AND(IFERROR(INDEX(tblMoveTypes[Item?],MATCH($C195,tblMoveTypes[Movement],0)),"?")="No",$E195&lt;&gt;""),"Leave Item blank",IF(AND(IFERROR(INDEX(tblMoveTypes[In / Out],MATCH($C195,tblMoveTypes[Movement],0)),"?")="IN",$G195&lt;&gt;""),"Use the In column, not Out",IF(AND(IFERROR(INDEX(tblMoveTypes[In / Out],MATCH($C195,tblMoveTypes[Movement],0)),"?")="OUT",$F195&lt;&gt;""),"Use the Out column, not In",IF(AND(IFERROR(INDEX(tblMoveTypes[Qty?],MATCH($C195,tblMoveTypes[Movement],0)),"?")="Yes",N($F195)+N($G195)&lt;=0),"Qty needed",IF(AND(IFERROR(INDEX(tblMoveTypes[Qty?],MATCH($C195,tblMoveTypes[Movement],0)),"?")="No",N($F195)+N($G195)&gt;0),"Leave In and Out blank",IF(AND(IFERROR(INDEX(tblMoveTypes[Courier?],MATCH($C195,tblMoveTypes[Movement],0)),"?")="Yes",$I195=""),"Courier needed",IF(AND(IFERROR(INDEX(tblMoveTypes[Courier?],MATCH($C195,tblMoveTypes[Movement],0)),"?")="No",$I195&lt;&gt;""),"Leave Courier blank",IF(AND(IFERROR(INDEX(tblMoveTypes[Orders?],MATCH($C195,tblMoveTypes[Movement],0)),"?")="Yes",$H195=""),"Orders needed",IF(AND(IFERROR(INDEX(tblMoveTypes[Orders?],MATCH($C195,tblMoveTypes[Movement],0)),"?")="No",$H195&lt;&gt;""),"Leave Orders blank",IF(AND(IFERROR(INDEX(tblMoveTypes[Reason?],MATCH($C195,tblMoveTypes[Movement],0)),"?")="Yes",$J195=""),"Reason needed",IF($A195&lt;_xlfn.MINIFS(tblShipment[Arrival Date],tblShipment[Shipment No],$B195),"Date before arrival",IF(AND($E195&lt;&gt;"",COUNTIFS(tblShipment[Shipment No],$B195,tblShipment[Item Name],$E195)=0),"Item not in this shipment","OK")))))))))))))))))</f>
        <v>OK</v>
      </c>
    </row>
    <row r="196" customFormat="false" ht="15" hidden="false" customHeight="false" outlineLevel="0" collapsed="false">
      <c r="A196" s="32" t="n">
        <v>46239</v>
      </c>
      <c r="B196" s="31" t="s">
        <v>163</v>
      </c>
      <c r="C196" s="31" t="s">
        <v>98</v>
      </c>
      <c r="D196" s="34" t="str">
        <f aca="false">IF($C196="","",IFERROR(IF(IFERROR(INDEX(tblMoveTypes[In / Out],MATCH($C196,tblMoveTypes[Movement],0)),"?")="IN","IN   ",IF(IFERROR(INDEX(tblMoveTypes[In / Out],MATCH($C196,tblMoveTypes[Movement],0)),"?")="OUT","OUT   ","--   "))&amp;"fill: "&amp;IF(IFERROR(INDEX(tblMoveTypes[Item?],MATCH($C196,tblMoveTypes[Movement],0)),"?")="Yes","Item  ","")&amp;IF(AND(IFERROR(INDEX(tblMoveTypes[Qty?],MATCH($C196,tblMoveTypes[Movement],0)),"?")="Yes",IFERROR(INDEX(tblMoveTypes[In / Out],MATCH($C196,tblMoveTypes[Movement],0)),"?")="IN"),"In  ","")&amp;IF(AND(IFERROR(INDEX(tblMoveTypes[Qty?],MATCH($C196,tblMoveTypes[Movement],0)),"?")="Yes",IFERROR(INDEX(tblMoveTypes[In / Out],MATCH($C196,tblMoveTypes[Movement],0)),"?")="OUT"),"Out  ","")&amp;IF(IFERROR(INDEX(tblMoveTypes[Orders?],MATCH($C196,tblMoveTypes[Movement],0)),"?")="Yes","Orders  ","")&amp;IF(IFERROR(INDEX(tblMoveTypes[Courier?],MATCH($C196,tblMoveTypes[Movement],0)),"?")="Yes","Courier  ","")&amp;IF(IFERROR(INDEX(tblMoveTypes[Reason?],MATCH($C196,tblMoveTypes[Movement],0)),"?")="Yes","Reason",""),"unknown movement"))</f>
        <v>OUT   fill: Item  Out  Courier  </v>
      </c>
      <c r="E196" s="31" t="s">
        <v>95</v>
      </c>
      <c r="F196" s="33"/>
      <c r="G196" s="33" t="n">
        <v>44</v>
      </c>
      <c r="H196" s="33"/>
      <c r="I196" s="31" t="s">
        <v>76</v>
      </c>
      <c r="J196" s="31"/>
      <c r="K196" s="31"/>
      <c r="L196" s="31"/>
      <c r="M196" s="34" t="str">
        <f aca="false">IF($E196="","",IFERROR(INDEX(tblItems[Item Code],MATCH($E196,tblItems[Item Name],0)),"?"))</f>
        <v>EG-FG-GUV-01-02-01-01</v>
      </c>
      <c r="N196" s="34" t="str">
        <f aca="false">IF($B196="","",IFERROR(INDEX(tblShipment[Market],MATCH($B196,tblShipment[Shipment No],0)),"?"))</f>
        <v>Qatar</v>
      </c>
      <c r="O196" s="35" t="n">
        <f aca="false">N($F196)+N($G196)</f>
        <v>44</v>
      </c>
      <c r="P196" s="34" t="str">
        <f aca="false">IF($A196="","",IF($L196="Yes","VOID",IF(COUNTIFS(tblMoveTypes[Movement],$C196)=0,"Unknown movement",IF(COUNTIF(tblShipment[Shipment No],$B196)=0,"Unknown shipment",IF(AND(IFERROR(INDEX(tblMoveTypes[Item?],MATCH($C196,tblMoveTypes[Movement],0)),"?")="Yes",$E196=""),"Item needed",IF(AND(IFERROR(INDEX(tblMoveTypes[Item?],MATCH($C196,tblMoveTypes[Movement],0)),"?")="No",$E196&lt;&gt;""),"Leave Item blank",IF(AND(IFERROR(INDEX(tblMoveTypes[In / Out],MATCH($C196,tblMoveTypes[Movement],0)),"?")="IN",$G196&lt;&gt;""),"Use the In column, not Out",IF(AND(IFERROR(INDEX(tblMoveTypes[In / Out],MATCH($C196,tblMoveTypes[Movement],0)),"?")="OUT",$F196&lt;&gt;""),"Use the Out column, not In",IF(AND(IFERROR(INDEX(tblMoveTypes[Qty?],MATCH($C196,tblMoveTypes[Movement],0)),"?")="Yes",N($F196)+N($G196)&lt;=0),"Qty needed",IF(AND(IFERROR(INDEX(tblMoveTypes[Qty?],MATCH($C196,tblMoveTypes[Movement],0)),"?")="No",N($F196)+N($G196)&gt;0),"Leave In and Out blank",IF(AND(IFERROR(INDEX(tblMoveTypes[Courier?],MATCH($C196,tblMoveTypes[Movement],0)),"?")="Yes",$I196=""),"Courier needed",IF(AND(IFERROR(INDEX(tblMoveTypes[Courier?],MATCH($C196,tblMoveTypes[Movement],0)),"?")="No",$I196&lt;&gt;""),"Leave Courier blank",IF(AND(IFERROR(INDEX(tblMoveTypes[Orders?],MATCH($C196,tblMoveTypes[Movement],0)),"?")="Yes",$H196=""),"Orders needed",IF(AND(IFERROR(INDEX(tblMoveTypes[Orders?],MATCH($C196,tblMoveTypes[Movement],0)),"?")="No",$H196&lt;&gt;""),"Leave Orders blank",IF(AND(IFERROR(INDEX(tblMoveTypes[Reason?],MATCH($C196,tblMoveTypes[Movement],0)),"?")="Yes",$J196=""),"Reason needed",IF($A196&lt;_xlfn.MINIFS(tblShipment[Arrival Date],tblShipment[Shipment No],$B196),"Date before arrival",IF(AND($E196&lt;&gt;"",COUNTIFS(tblShipment[Shipment No],$B196,tblShipment[Item Name],$E196)=0),"Item not in this shipment","OK")))))))))))))))))</f>
        <v>OK</v>
      </c>
    </row>
    <row r="197" customFormat="false" ht="15" hidden="false" customHeight="false" outlineLevel="0" collapsed="false">
      <c r="A197" s="32" t="n">
        <v>46239</v>
      </c>
      <c r="B197" s="31" t="s">
        <v>163</v>
      </c>
      <c r="C197" s="31" t="s">
        <v>98</v>
      </c>
      <c r="D197" s="34" t="str">
        <f aca="false">IF($C197="","",IFERROR(IF(IFERROR(INDEX(tblMoveTypes[In / Out],MATCH($C197,tblMoveTypes[Movement],0)),"?")="IN","IN   ",IF(IFERROR(INDEX(tblMoveTypes[In / Out],MATCH($C197,tblMoveTypes[Movement],0)),"?")="OUT","OUT   ","--   "))&amp;"fill: "&amp;IF(IFERROR(INDEX(tblMoveTypes[Item?],MATCH($C197,tblMoveTypes[Movement],0)),"?")="Yes","Item  ","")&amp;IF(AND(IFERROR(INDEX(tblMoveTypes[Qty?],MATCH($C197,tblMoveTypes[Movement],0)),"?")="Yes",IFERROR(INDEX(tblMoveTypes[In / Out],MATCH($C197,tblMoveTypes[Movement],0)),"?")="IN"),"In  ","")&amp;IF(AND(IFERROR(INDEX(tblMoveTypes[Qty?],MATCH($C197,tblMoveTypes[Movement],0)),"?")="Yes",IFERROR(INDEX(tblMoveTypes[In / Out],MATCH($C197,tblMoveTypes[Movement],0)),"?")="OUT"),"Out  ","")&amp;IF(IFERROR(INDEX(tblMoveTypes[Orders?],MATCH($C197,tblMoveTypes[Movement],0)),"?")="Yes","Orders  ","")&amp;IF(IFERROR(INDEX(tblMoveTypes[Courier?],MATCH($C197,tblMoveTypes[Movement],0)),"?")="Yes","Courier  ","")&amp;IF(IFERROR(INDEX(tblMoveTypes[Reason?],MATCH($C197,tblMoveTypes[Movement],0)),"?")="Yes","Reason",""),"unknown movement"))</f>
        <v>OUT   fill: Item  Out  Courier  </v>
      </c>
      <c r="E197" s="31" t="s">
        <v>106</v>
      </c>
      <c r="F197" s="33"/>
      <c r="G197" s="33" t="n">
        <v>30</v>
      </c>
      <c r="H197" s="33"/>
      <c r="I197" s="31" t="s">
        <v>76</v>
      </c>
      <c r="J197" s="31"/>
      <c r="K197" s="31"/>
      <c r="L197" s="31"/>
      <c r="M197" s="34" t="str">
        <f aca="false">IF($E197="","",IFERROR(INDEX(tblItems[Item Code],MATCH($E197,tblItems[Item Name],0)),"?"))</f>
        <v>EG-FG-DAT-01-02-01-01</v>
      </c>
      <c r="N197" s="34" t="str">
        <f aca="false">IF($B197="","",IFERROR(INDEX(tblShipment[Market],MATCH($B197,tblShipment[Shipment No],0)),"?"))</f>
        <v>Qatar</v>
      </c>
      <c r="O197" s="35" t="n">
        <f aca="false">N($F197)+N($G197)</f>
        <v>30</v>
      </c>
      <c r="P197" s="34" t="str">
        <f aca="false">IF($A197="","",IF($L197="Yes","VOID",IF(COUNTIFS(tblMoveTypes[Movement],$C197)=0,"Unknown movement",IF(COUNTIF(tblShipment[Shipment No],$B197)=0,"Unknown shipment",IF(AND(IFERROR(INDEX(tblMoveTypes[Item?],MATCH($C197,tblMoveTypes[Movement],0)),"?")="Yes",$E197=""),"Item needed",IF(AND(IFERROR(INDEX(tblMoveTypes[Item?],MATCH($C197,tblMoveTypes[Movement],0)),"?")="No",$E197&lt;&gt;""),"Leave Item blank",IF(AND(IFERROR(INDEX(tblMoveTypes[In / Out],MATCH($C197,tblMoveTypes[Movement],0)),"?")="IN",$G197&lt;&gt;""),"Use the In column, not Out",IF(AND(IFERROR(INDEX(tblMoveTypes[In / Out],MATCH($C197,tblMoveTypes[Movement],0)),"?")="OUT",$F197&lt;&gt;""),"Use the Out column, not In",IF(AND(IFERROR(INDEX(tblMoveTypes[Qty?],MATCH($C197,tblMoveTypes[Movement],0)),"?")="Yes",N($F197)+N($G197)&lt;=0),"Qty needed",IF(AND(IFERROR(INDEX(tblMoveTypes[Qty?],MATCH($C197,tblMoveTypes[Movement],0)),"?")="No",N($F197)+N($G197)&gt;0),"Leave In and Out blank",IF(AND(IFERROR(INDEX(tblMoveTypes[Courier?],MATCH($C197,tblMoveTypes[Movement],0)),"?")="Yes",$I197=""),"Courier needed",IF(AND(IFERROR(INDEX(tblMoveTypes[Courier?],MATCH($C197,tblMoveTypes[Movement],0)),"?")="No",$I197&lt;&gt;""),"Leave Courier blank",IF(AND(IFERROR(INDEX(tblMoveTypes[Orders?],MATCH($C197,tblMoveTypes[Movement],0)),"?")="Yes",$H197=""),"Orders needed",IF(AND(IFERROR(INDEX(tblMoveTypes[Orders?],MATCH($C197,tblMoveTypes[Movement],0)),"?")="No",$H197&lt;&gt;""),"Leave Orders blank",IF(AND(IFERROR(INDEX(tblMoveTypes[Reason?],MATCH($C197,tblMoveTypes[Movement],0)),"?")="Yes",$J197=""),"Reason needed",IF($A197&lt;_xlfn.MINIFS(tblShipment[Arrival Date],tblShipment[Shipment No],$B197),"Date before arrival",IF(AND($E197&lt;&gt;"",COUNTIFS(tblShipment[Shipment No],$B197,tblShipment[Item Name],$E197)=0),"Item not in this shipment","OK")))))))))))))))))</f>
        <v>OK</v>
      </c>
    </row>
    <row r="198" customFormat="false" ht="15" hidden="false" customHeight="false" outlineLevel="0" collapsed="false">
      <c r="A198" s="32" t="n">
        <v>46239</v>
      </c>
      <c r="B198" s="31" t="s">
        <v>163</v>
      </c>
      <c r="C198" s="31" t="s">
        <v>98</v>
      </c>
      <c r="D198" s="34" t="str">
        <f aca="false">IF($C198="","",IFERROR(IF(IFERROR(INDEX(tblMoveTypes[In / Out],MATCH($C198,tblMoveTypes[Movement],0)),"?")="IN","IN   ",IF(IFERROR(INDEX(tblMoveTypes[In / Out],MATCH($C198,tblMoveTypes[Movement],0)),"?")="OUT","OUT   ","--   "))&amp;"fill: "&amp;IF(IFERROR(INDEX(tblMoveTypes[Item?],MATCH($C198,tblMoveTypes[Movement],0)),"?")="Yes","Item  ","")&amp;IF(AND(IFERROR(INDEX(tblMoveTypes[Qty?],MATCH($C198,tblMoveTypes[Movement],0)),"?")="Yes",IFERROR(INDEX(tblMoveTypes[In / Out],MATCH($C198,tblMoveTypes[Movement],0)),"?")="IN"),"In  ","")&amp;IF(AND(IFERROR(INDEX(tblMoveTypes[Qty?],MATCH($C198,tblMoveTypes[Movement],0)),"?")="Yes",IFERROR(INDEX(tblMoveTypes[In / Out],MATCH($C198,tblMoveTypes[Movement],0)),"?")="OUT"),"Out  ","")&amp;IF(IFERROR(INDEX(tblMoveTypes[Orders?],MATCH($C198,tblMoveTypes[Movement],0)),"?")="Yes","Orders  ","")&amp;IF(IFERROR(INDEX(tblMoveTypes[Courier?],MATCH($C198,tblMoveTypes[Movement],0)),"?")="Yes","Courier  ","")&amp;IF(IFERROR(INDEX(tblMoveTypes[Reason?],MATCH($C198,tblMoveTypes[Movement],0)),"?")="Yes","Reason",""),"unknown movement"))</f>
        <v>OUT   fill: Item  Out  Courier  </v>
      </c>
      <c r="E198" s="31" t="s">
        <v>84</v>
      </c>
      <c r="F198" s="33"/>
      <c r="G198" s="33" t="n">
        <v>93</v>
      </c>
      <c r="H198" s="33"/>
      <c r="I198" s="31" t="s">
        <v>76</v>
      </c>
      <c r="J198" s="31"/>
      <c r="K198" s="31"/>
      <c r="L198" s="31"/>
      <c r="M198" s="34" t="str">
        <f aca="false">IF($E198="","",IFERROR(INDEX(tblItems[Item Code],MATCH($E198,tblItems[Item Name],0)),"?"))</f>
        <v>EG-FG-MNG-12-02-01-01</v>
      </c>
      <c r="N198" s="34" t="str">
        <f aca="false">IF($B198="","",IFERROR(INDEX(tblShipment[Market],MATCH($B198,tblShipment[Shipment No],0)),"?"))</f>
        <v>Qatar</v>
      </c>
      <c r="O198" s="35" t="n">
        <f aca="false">N($F198)+N($G198)</f>
        <v>93</v>
      </c>
      <c r="P198" s="34" t="str">
        <f aca="false">IF($A198="","",IF($L198="Yes","VOID",IF(COUNTIFS(tblMoveTypes[Movement],$C198)=0,"Unknown movement",IF(COUNTIF(tblShipment[Shipment No],$B198)=0,"Unknown shipment",IF(AND(IFERROR(INDEX(tblMoveTypes[Item?],MATCH($C198,tblMoveTypes[Movement],0)),"?")="Yes",$E198=""),"Item needed",IF(AND(IFERROR(INDEX(tblMoveTypes[Item?],MATCH($C198,tblMoveTypes[Movement],0)),"?")="No",$E198&lt;&gt;""),"Leave Item blank",IF(AND(IFERROR(INDEX(tblMoveTypes[In / Out],MATCH($C198,tblMoveTypes[Movement],0)),"?")="IN",$G198&lt;&gt;""),"Use the In column, not Out",IF(AND(IFERROR(INDEX(tblMoveTypes[In / Out],MATCH($C198,tblMoveTypes[Movement],0)),"?")="OUT",$F198&lt;&gt;""),"Use the Out column, not In",IF(AND(IFERROR(INDEX(tblMoveTypes[Qty?],MATCH($C198,tblMoveTypes[Movement],0)),"?")="Yes",N($F198)+N($G198)&lt;=0),"Qty needed",IF(AND(IFERROR(INDEX(tblMoveTypes[Qty?],MATCH($C198,tblMoveTypes[Movement],0)),"?")="No",N($F198)+N($G198)&gt;0),"Leave In and Out blank",IF(AND(IFERROR(INDEX(tblMoveTypes[Courier?],MATCH($C198,tblMoveTypes[Movement],0)),"?")="Yes",$I198=""),"Courier needed",IF(AND(IFERROR(INDEX(tblMoveTypes[Courier?],MATCH($C198,tblMoveTypes[Movement],0)),"?")="No",$I198&lt;&gt;""),"Leave Courier blank",IF(AND(IFERROR(INDEX(tblMoveTypes[Orders?],MATCH($C198,tblMoveTypes[Movement],0)),"?")="Yes",$H198=""),"Orders needed",IF(AND(IFERROR(INDEX(tblMoveTypes[Orders?],MATCH($C198,tblMoveTypes[Movement],0)),"?")="No",$H198&lt;&gt;""),"Leave Orders blank",IF(AND(IFERROR(INDEX(tblMoveTypes[Reason?],MATCH($C198,tblMoveTypes[Movement],0)),"?")="Yes",$J198=""),"Reason needed",IF($A198&lt;_xlfn.MINIFS(tblShipment[Arrival Date],tblShipment[Shipment No],$B198),"Date before arrival",IF(AND($E198&lt;&gt;"",COUNTIFS(tblShipment[Shipment No],$B198,tblShipment[Item Name],$E198)=0),"Item not in this shipment","OK")))))))))))))))))</f>
        <v>OK</v>
      </c>
    </row>
    <row r="199" customFormat="false" ht="15" hidden="false" customHeight="false" outlineLevel="0" collapsed="false">
      <c r="A199" s="32" t="n">
        <v>46239</v>
      </c>
      <c r="B199" s="31" t="s">
        <v>163</v>
      </c>
      <c r="C199" s="31" t="s">
        <v>98</v>
      </c>
      <c r="D199" s="34" t="str">
        <f aca="false">IF($C199="","",IFERROR(IF(IFERROR(INDEX(tblMoveTypes[In / Out],MATCH($C199,tblMoveTypes[Movement],0)),"?")="IN","IN   ",IF(IFERROR(INDEX(tblMoveTypes[In / Out],MATCH($C199,tblMoveTypes[Movement],0)),"?")="OUT","OUT   ","--   "))&amp;"fill: "&amp;IF(IFERROR(INDEX(tblMoveTypes[Item?],MATCH($C199,tblMoveTypes[Movement],0)),"?")="Yes","Item  ","")&amp;IF(AND(IFERROR(INDEX(tblMoveTypes[Qty?],MATCH($C199,tblMoveTypes[Movement],0)),"?")="Yes",IFERROR(INDEX(tblMoveTypes[In / Out],MATCH($C199,tblMoveTypes[Movement],0)),"?")="IN"),"In  ","")&amp;IF(AND(IFERROR(INDEX(tblMoveTypes[Qty?],MATCH($C199,tblMoveTypes[Movement],0)),"?")="Yes",IFERROR(INDEX(tblMoveTypes[In / Out],MATCH($C199,tblMoveTypes[Movement],0)),"?")="OUT"),"Out  ","")&amp;IF(IFERROR(INDEX(tblMoveTypes[Orders?],MATCH($C199,tblMoveTypes[Movement],0)),"?")="Yes","Orders  ","")&amp;IF(IFERROR(INDEX(tblMoveTypes[Courier?],MATCH($C199,tblMoveTypes[Movement],0)),"?")="Yes","Courier  ","")&amp;IF(IFERROR(INDEX(tblMoveTypes[Reason?],MATCH($C199,tblMoveTypes[Movement],0)),"?")="Yes","Reason",""),"unknown movement"))</f>
        <v>OUT   fill: Item  Out  Courier  </v>
      </c>
      <c r="E199" s="31" t="s">
        <v>100</v>
      </c>
      <c r="F199" s="33"/>
      <c r="G199" s="33" t="n">
        <v>34</v>
      </c>
      <c r="H199" s="33"/>
      <c r="I199" s="31" t="s">
        <v>76</v>
      </c>
      <c r="J199" s="31"/>
      <c r="K199" s="31"/>
      <c r="L199" s="31"/>
      <c r="M199" s="34" t="str">
        <f aca="false">IF($E199="","",IFERROR(INDEX(tblItems[Item Code],MATCH($E199,tblItems[Item Name],0)),"?"))</f>
        <v>EG-FG-MNG-18-02-01-01</v>
      </c>
      <c r="N199" s="34" t="str">
        <f aca="false">IF($B199="","",IFERROR(INDEX(tblShipment[Market],MATCH($B199,tblShipment[Shipment No],0)),"?"))</f>
        <v>Qatar</v>
      </c>
      <c r="O199" s="35" t="n">
        <f aca="false">N($F199)+N($G199)</f>
        <v>34</v>
      </c>
      <c r="P199" s="34" t="str">
        <f aca="false">IF($A199="","",IF($L199="Yes","VOID",IF(COUNTIFS(tblMoveTypes[Movement],$C199)=0,"Unknown movement",IF(COUNTIF(tblShipment[Shipment No],$B199)=0,"Unknown shipment",IF(AND(IFERROR(INDEX(tblMoveTypes[Item?],MATCH($C199,tblMoveTypes[Movement],0)),"?")="Yes",$E199=""),"Item needed",IF(AND(IFERROR(INDEX(tblMoveTypes[Item?],MATCH($C199,tblMoveTypes[Movement],0)),"?")="No",$E199&lt;&gt;""),"Leave Item blank",IF(AND(IFERROR(INDEX(tblMoveTypes[In / Out],MATCH($C199,tblMoveTypes[Movement],0)),"?")="IN",$G199&lt;&gt;""),"Use the In column, not Out",IF(AND(IFERROR(INDEX(tblMoveTypes[In / Out],MATCH($C199,tblMoveTypes[Movement],0)),"?")="OUT",$F199&lt;&gt;""),"Use the Out column, not In",IF(AND(IFERROR(INDEX(tblMoveTypes[Qty?],MATCH($C199,tblMoveTypes[Movement],0)),"?")="Yes",N($F199)+N($G199)&lt;=0),"Qty needed",IF(AND(IFERROR(INDEX(tblMoveTypes[Qty?],MATCH($C199,tblMoveTypes[Movement],0)),"?")="No",N($F199)+N($G199)&gt;0),"Leave In and Out blank",IF(AND(IFERROR(INDEX(tblMoveTypes[Courier?],MATCH($C199,tblMoveTypes[Movement],0)),"?")="Yes",$I199=""),"Courier needed",IF(AND(IFERROR(INDEX(tblMoveTypes[Courier?],MATCH($C199,tblMoveTypes[Movement],0)),"?")="No",$I199&lt;&gt;""),"Leave Courier blank",IF(AND(IFERROR(INDEX(tblMoveTypes[Orders?],MATCH($C199,tblMoveTypes[Movement],0)),"?")="Yes",$H199=""),"Orders needed",IF(AND(IFERROR(INDEX(tblMoveTypes[Orders?],MATCH($C199,tblMoveTypes[Movement],0)),"?")="No",$H199&lt;&gt;""),"Leave Orders blank",IF(AND(IFERROR(INDEX(tblMoveTypes[Reason?],MATCH($C199,tblMoveTypes[Movement],0)),"?")="Yes",$J199=""),"Reason needed",IF($A199&lt;_xlfn.MINIFS(tblShipment[Arrival Date],tblShipment[Shipment No],$B199),"Date before arrival",IF(AND($E199&lt;&gt;"",COUNTIFS(tblShipment[Shipment No],$B199,tblShipment[Item Name],$E199)=0),"Item not in this shipment","OK")))))))))))))))))</f>
        <v>OK</v>
      </c>
    </row>
    <row r="200" customFormat="false" ht="15" hidden="false" customHeight="false" outlineLevel="0" collapsed="false">
      <c r="A200" s="32" t="n">
        <v>46239</v>
      </c>
      <c r="B200" s="31" t="s">
        <v>163</v>
      </c>
      <c r="C200" s="31" t="s">
        <v>98</v>
      </c>
      <c r="D200" s="34" t="str">
        <f aca="false">IF($C200="","",IFERROR(IF(IFERROR(INDEX(tblMoveTypes[In / Out],MATCH($C200,tblMoveTypes[Movement],0)),"?")="IN","IN   ",IF(IFERROR(INDEX(tblMoveTypes[In / Out],MATCH($C200,tblMoveTypes[Movement],0)),"?")="OUT","OUT   ","--   "))&amp;"fill: "&amp;IF(IFERROR(INDEX(tblMoveTypes[Item?],MATCH($C200,tblMoveTypes[Movement],0)),"?")="Yes","Item  ","")&amp;IF(AND(IFERROR(INDEX(tblMoveTypes[Qty?],MATCH($C200,tblMoveTypes[Movement],0)),"?")="Yes",IFERROR(INDEX(tblMoveTypes[In / Out],MATCH($C200,tblMoveTypes[Movement],0)),"?")="IN"),"In  ","")&amp;IF(AND(IFERROR(INDEX(tblMoveTypes[Qty?],MATCH($C200,tblMoveTypes[Movement],0)),"?")="Yes",IFERROR(INDEX(tblMoveTypes[In / Out],MATCH($C200,tblMoveTypes[Movement],0)),"?")="OUT"),"Out  ","")&amp;IF(IFERROR(INDEX(tblMoveTypes[Orders?],MATCH($C200,tblMoveTypes[Movement],0)),"?")="Yes","Orders  ","")&amp;IF(IFERROR(INDEX(tblMoveTypes[Courier?],MATCH($C200,tblMoveTypes[Movement],0)),"?")="Yes","Courier  ","")&amp;IF(IFERROR(INDEX(tblMoveTypes[Reason?],MATCH($C200,tblMoveTypes[Movement],0)),"?")="Yes","Reason",""),"unknown movement"))</f>
        <v>OUT   fill: Item  Out  Courier  </v>
      </c>
      <c r="E200" s="31" t="s">
        <v>117</v>
      </c>
      <c r="F200" s="33"/>
      <c r="G200" s="33" t="n">
        <v>24</v>
      </c>
      <c r="H200" s="33"/>
      <c r="I200" s="31" t="s">
        <v>76</v>
      </c>
      <c r="J200" s="31"/>
      <c r="K200" s="31"/>
      <c r="L200" s="31"/>
      <c r="M200" s="34" t="str">
        <f aca="false">IF($E200="","",IFERROR(INDEX(tblItems[Item Code],MATCH($E200,tblItems[Item Name],0)),"?"))</f>
        <v>EG-FG-MNG-06-02-01-01</v>
      </c>
      <c r="N200" s="34" t="str">
        <f aca="false">IF($B200="","",IFERROR(INDEX(tblShipment[Market],MATCH($B200,tblShipment[Shipment No],0)),"?"))</f>
        <v>Qatar</v>
      </c>
      <c r="O200" s="35" t="n">
        <f aca="false">N($F200)+N($G200)</f>
        <v>24</v>
      </c>
      <c r="P200" s="34" t="str">
        <f aca="false">IF($A200="","",IF($L200="Yes","VOID",IF(COUNTIFS(tblMoveTypes[Movement],$C200)=0,"Unknown movement",IF(COUNTIF(tblShipment[Shipment No],$B200)=0,"Unknown shipment",IF(AND(IFERROR(INDEX(tblMoveTypes[Item?],MATCH($C200,tblMoveTypes[Movement],0)),"?")="Yes",$E200=""),"Item needed",IF(AND(IFERROR(INDEX(tblMoveTypes[Item?],MATCH($C200,tblMoveTypes[Movement],0)),"?")="No",$E200&lt;&gt;""),"Leave Item blank",IF(AND(IFERROR(INDEX(tblMoveTypes[In / Out],MATCH($C200,tblMoveTypes[Movement],0)),"?")="IN",$G200&lt;&gt;""),"Use the In column, not Out",IF(AND(IFERROR(INDEX(tblMoveTypes[In / Out],MATCH($C200,tblMoveTypes[Movement],0)),"?")="OUT",$F200&lt;&gt;""),"Use the Out column, not In",IF(AND(IFERROR(INDEX(tblMoveTypes[Qty?],MATCH($C200,tblMoveTypes[Movement],0)),"?")="Yes",N($F200)+N($G200)&lt;=0),"Qty needed",IF(AND(IFERROR(INDEX(tblMoveTypes[Qty?],MATCH($C200,tblMoveTypes[Movement],0)),"?")="No",N($F200)+N($G200)&gt;0),"Leave In and Out blank",IF(AND(IFERROR(INDEX(tblMoveTypes[Courier?],MATCH($C200,tblMoveTypes[Movement],0)),"?")="Yes",$I200=""),"Courier needed",IF(AND(IFERROR(INDEX(tblMoveTypes[Courier?],MATCH($C200,tblMoveTypes[Movement],0)),"?")="No",$I200&lt;&gt;""),"Leave Courier blank",IF(AND(IFERROR(INDEX(tblMoveTypes[Orders?],MATCH($C200,tblMoveTypes[Movement],0)),"?")="Yes",$H200=""),"Orders needed",IF(AND(IFERROR(INDEX(tblMoveTypes[Orders?],MATCH($C200,tblMoveTypes[Movement],0)),"?")="No",$H200&lt;&gt;""),"Leave Orders blank",IF(AND(IFERROR(INDEX(tblMoveTypes[Reason?],MATCH($C200,tblMoveTypes[Movement],0)),"?")="Yes",$J200=""),"Reason needed",IF($A200&lt;_xlfn.MINIFS(tblShipment[Arrival Date],tblShipment[Shipment No],$B200),"Date before arrival",IF(AND($E200&lt;&gt;"",COUNTIFS(tblShipment[Shipment No],$B200,tblShipment[Item Name],$E200)=0),"Item not in this shipment","OK")))))))))))))))))</f>
        <v>OK</v>
      </c>
    </row>
    <row r="201" customFormat="false" ht="15" hidden="false" customHeight="false" outlineLevel="0" collapsed="false">
      <c r="A201" s="32" t="n">
        <v>46239</v>
      </c>
      <c r="B201" s="31" t="s">
        <v>163</v>
      </c>
      <c r="C201" s="31" t="s">
        <v>98</v>
      </c>
      <c r="D201" s="34" t="str">
        <f aca="false">IF($C201="","",IFERROR(IF(IFERROR(INDEX(tblMoveTypes[In / Out],MATCH($C201,tblMoveTypes[Movement],0)),"?")="IN","IN   ",IF(IFERROR(INDEX(tblMoveTypes[In / Out],MATCH($C201,tblMoveTypes[Movement],0)),"?")="OUT","OUT   ","--   "))&amp;"fill: "&amp;IF(IFERROR(INDEX(tblMoveTypes[Item?],MATCH($C201,tblMoveTypes[Movement],0)),"?")="Yes","Item  ","")&amp;IF(AND(IFERROR(INDEX(tblMoveTypes[Qty?],MATCH($C201,tblMoveTypes[Movement],0)),"?")="Yes",IFERROR(INDEX(tblMoveTypes[In / Out],MATCH($C201,tblMoveTypes[Movement],0)),"?")="IN"),"In  ","")&amp;IF(AND(IFERROR(INDEX(tblMoveTypes[Qty?],MATCH($C201,tblMoveTypes[Movement],0)),"?")="Yes",IFERROR(INDEX(tblMoveTypes[In / Out],MATCH($C201,tblMoveTypes[Movement],0)),"?")="OUT"),"Out  ","")&amp;IF(IFERROR(INDEX(tblMoveTypes[Orders?],MATCH($C201,tblMoveTypes[Movement],0)),"?")="Yes","Orders  ","")&amp;IF(IFERROR(INDEX(tblMoveTypes[Courier?],MATCH($C201,tblMoveTypes[Movement],0)),"?")="Yes","Courier  ","")&amp;IF(IFERROR(INDEX(tblMoveTypes[Reason?],MATCH($C201,tblMoveTypes[Movement],0)),"?")="Yes","Reason",""),"unknown movement"))</f>
        <v>OUT   fill: Item  Out  Courier  </v>
      </c>
      <c r="E201" s="31" t="s">
        <v>122</v>
      </c>
      <c r="F201" s="33"/>
      <c r="G201" s="33" t="n">
        <v>17</v>
      </c>
      <c r="H201" s="33"/>
      <c r="I201" s="31" t="s">
        <v>76</v>
      </c>
      <c r="J201" s="31"/>
      <c r="K201" s="31"/>
      <c r="L201" s="31"/>
      <c r="M201" s="34" t="str">
        <f aca="false">IF($E201="","",IFERROR(INDEX(tblItems[Item Code],MATCH($E201,tblItems[Item Name],0)),"?"))</f>
        <v>EG-FG-GRP-01-02-01-01</v>
      </c>
      <c r="N201" s="34" t="str">
        <f aca="false">IF($B201="","",IFERROR(INDEX(tblShipment[Market],MATCH($B201,tblShipment[Shipment No],0)),"?"))</f>
        <v>Qatar</v>
      </c>
      <c r="O201" s="35" t="n">
        <f aca="false">N($F201)+N($G201)</f>
        <v>17</v>
      </c>
      <c r="P201" s="34" t="str">
        <f aca="false">IF($A201="","",IF($L201="Yes","VOID",IF(COUNTIFS(tblMoveTypes[Movement],$C201)=0,"Unknown movement",IF(COUNTIF(tblShipment[Shipment No],$B201)=0,"Unknown shipment",IF(AND(IFERROR(INDEX(tblMoveTypes[Item?],MATCH($C201,tblMoveTypes[Movement],0)),"?")="Yes",$E201=""),"Item needed",IF(AND(IFERROR(INDEX(tblMoveTypes[Item?],MATCH($C201,tblMoveTypes[Movement],0)),"?")="No",$E201&lt;&gt;""),"Leave Item blank",IF(AND(IFERROR(INDEX(tblMoveTypes[In / Out],MATCH($C201,tblMoveTypes[Movement],0)),"?")="IN",$G201&lt;&gt;""),"Use the In column, not Out",IF(AND(IFERROR(INDEX(tblMoveTypes[In / Out],MATCH($C201,tblMoveTypes[Movement],0)),"?")="OUT",$F201&lt;&gt;""),"Use the Out column, not In",IF(AND(IFERROR(INDEX(tblMoveTypes[Qty?],MATCH($C201,tblMoveTypes[Movement],0)),"?")="Yes",N($F201)+N($G201)&lt;=0),"Qty needed",IF(AND(IFERROR(INDEX(tblMoveTypes[Qty?],MATCH($C201,tblMoveTypes[Movement],0)),"?")="No",N($F201)+N($G201)&gt;0),"Leave In and Out blank",IF(AND(IFERROR(INDEX(tblMoveTypes[Courier?],MATCH($C201,tblMoveTypes[Movement],0)),"?")="Yes",$I201=""),"Courier needed",IF(AND(IFERROR(INDEX(tblMoveTypes[Courier?],MATCH($C201,tblMoveTypes[Movement],0)),"?")="No",$I201&lt;&gt;""),"Leave Courier blank",IF(AND(IFERROR(INDEX(tblMoveTypes[Orders?],MATCH($C201,tblMoveTypes[Movement],0)),"?")="Yes",$H201=""),"Orders needed",IF(AND(IFERROR(INDEX(tblMoveTypes[Orders?],MATCH($C201,tblMoveTypes[Movement],0)),"?")="No",$H201&lt;&gt;""),"Leave Orders blank",IF(AND(IFERROR(INDEX(tblMoveTypes[Reason?],MATCH($C201,tblMoveTypes[Movement],0)),"?")="Yes",$J201=""),"Reason needed",IF($A201&lt;_xlfn.MINIFS(tblShipment[Arrival Date],tblShipment[Shipment No],$B201),"Date before arrival",IF(AND($E201&lt;&gt;"",COUNTIFS(tblShipment[Shipment No],$B201,tblShipment[Item Name],$E201)=0),"Item not in this shipment","OK")))))))))))))))))</f>
        <v>OK</v>
      </c>
    </row>
    <row r="202" customFormat="false" ht="15" hidden="false" customHeight="false" outlineLevel="0" collapsed="false">
      <c r="A202" s="32" t="n">
        <v>46239</v>
      </c>
      <c r="B202" s="31" t="s">
        <v>163</v>
      </c>
      <c r="C202" s="31" t="s">
        <v>110</v>
      </c>
      <c r="D202" s="34" t="str">
        <f aca="false">IF($C202="","",IFERROR(IF(IFERROR(INDEX(tblMoveTypes[In / Out],MATCH($C202,tblMoveTypes[Movement],0)),"?")="IN","IN   ",IF(IFERROR(INDEX(tblMoveTypes[In / Out],MATCH($C202,tblMoveTypes[Movement],0)),"?")="OUT","OUT   ","--   "))&amp;"fill: "&amp;IF(IFERROR(INDEX(tblMoveTypes[Item?],MATCH($C202,tblMoveTypes[Movement],0)),"?")="Yes","Item  ","")&amp;IF(AND(IFERROR(INDEX(tblMoveTypes[Qty?],MATCH($C202,tblMoveTypes[Movement],0)),"?")="Yes",IFERROR(INDEX(tblMoveTypes[In / Out],MATCH($C202,tblMoveTypes[Movement],0)),"?")="IN"),"In  ","")&amp;IF(AND(IFERROR(INDEX(tblMoveTypes[Qty?],MATCH($C202,tblMoveTypes[Movement],0)),"?")="Yes",IFERROR(INDEX(tblMoveTypes[In / Out],MATCH($C202,tblMoveTypes[Movement],0)),"?")="OUT"),"Out  ","")&amp;IF(IFERROR(INDEX(tblMoveTypes[Orders?],MATCH($C202,tblMoveTypes[Movement],0)),"?")="Yes","Orders  ","")&amp;IF(IFERROR(INDEX(tblMoveTypes[Courier?],MATCH($C202,tblMoveTypes[Movement],0)),"?")="Yes","Courier  ","")&amp;IF(IFERROR(INDEX(tblMoveTypes[Reason?],MATCH($C202,tblMoveTypes[Movement],0)),"?")="Yes","Reason",""),"unknown movement"))</f>
        <v>--   fill: Orders  Courier  </v>
      </c>
      <c r="E202" s="31"/>
      <c r="F202" s="33"/>
      <c r="G202" s="33"/>
      <c r="H202" s="33" t="n">
        <v>157</v>
      </c>
      <c r="I202" s="31" t="s">
        <v>76</v>
      </c>
      <c r="J202" s="31"/>
      <c r="K202" s="31"/>
      <c r="L202" s="31"/>
      <c r="M202" s="34" t="str">
        <f aca="false">IF($E202="","",IFERROR(INDEX(tblItems[Item Code],MATCH($E202,tblItems[Item Name],0)),"?"))</f>
        <v/>
      </c>
      <c r="N202" s="34" t="str">
        <f aca="false">IF($B202="","",IFERROR(INDEX(tblShipment[Market],MATCH($B202,tblShipment[Shipment No],0)),"?"))</f>
        <v>Qatar</v>
      </c>
      <c r="O202" s="35" t="n">
        <f aca="false">N($F202)+N($G202)</f>
        <v>0</v>
      </c>
      <c r="P202" s="34" t="str">
        <f aca="false">IF($A202="","",IF($L202="Yes","VOID",IF(COUNTIFS(tblMoveTypes[Movement],$C202)=0,"Unknown movement",IF(COUNTIF(tblShipment[Shipment No],$B202)=0,"Unknown shipment",IF(AND(IFERROR(INDEX(tblMoveTypes[Item?],MATCH($C202,tblMoveTypes[Movement],0)),"?")="Yes",$E202=""),"Item needed",IF(AND(IFERROR(INDEX(tblMoveTypes[Item?],MATCH($C202,tblMoveTypes[Movement],0)),"?")="No",$E202&lt;&gt;""),"Leave Item blank",IF(AND(IFERROR(INDEX(tblMoveTypes[In / Out],MATCH($C202,tblMoveTypes[Movement],0)),"?")="IN",$G202&lt;&gt;""),"Use the In column, not Out",IF(AND(IFERROR(INDEX(tblMoveTypes[In / Out],MATCH($C202,tblMoveTypes[Movement],0)),"?")="OUT",$F202&lt;&gt;""),"Use the Out column, not In",IF(AND(IFERROR(INDEX(tblMoveTypes[Qty?],MATCH($C202,tblMoveTypes[Movement],0)),"?")="Yes",N($F202)+N($G202)&lt;=0),"Qty needed",IF(AND(IFERROR(INDEX(tblMoveTypes[Qty?],MATCH($C202,tblMoveTypes[Movement],0)),"?")="No",N($F202)+N($G202)&gt;0),"Leave In and Out blank",IF(AND(IFERROR(INDEX(tblMoveTypes[Courier?],MATCH($C202,tblMoveTypes[Movement],0)),"?")="Yes",$I202=""),"Courier needed",IF(AND(IFERROR(INDEX(tblMoveTypes[Courier?],MATCH($C202,tblMoveTypes[Movement],0)),"?")="No",$I202&lt;&gt;""),"Leave Courier blank",IF(AND(IFERROR(INDEX(tblMoveTypes[Orders?],MATCH($C202,tblMoveTypes[Movement],0)),"?")="Yes",$H202=""),"Orders needed",IF(AND(IFERROR(INDEX(tblMoveTypes[Orders?],MATCH($C202,tblMoveTypes[Movement],0)),"?")="No",$H202&lt;&gt;""),"Leave Orders blank",IF(AND(IFERROR(INDEX(tblMoveTypes[Reason?],MATCH($C202,tblMoveTypes[Movement],0)),"?")="Yes",$J202=""),"Reason needed",IF($A202&lt;_xlfn.MINIFS(tblShipment[Arrival Date],tblShipment[Shipment No],$B202),"Date before arrival",IF(AND($E202&lt;&gt;"",COUNTIFS(tblShipment[Shipment No],$B202,tblShipment[Item Name],$E202)=0),"Item not in this shipment","OK")))))))))))))))))</f>
        <v>OK</v>
      </c>
    </row>
    <row r="203" customFormat="false" ht="15" hidden="false" customHeight="false" outlineLevel="0" collapsed="false">
      <c r="A203" s="32" t="n">
        <v>46239</v>
      </c>
      <c r="B203" s="31" t="s">
        <v>163</v>
      </c>
      <c r="C203" s="31" t="s">
        <v>115</v>
      </c>
      <c r="D203" s="34" t="str">
        <f aca="false">IF($C203="","",IFERROR(IF(IFERROR(INDEX(tblMoveTypes[In / Out],MATCH($C203,tblMoveTypes[Movement],0)),"?")="IN","IN   ",IF(IFERROR(INDEX(tblMoveTypes[In / Out],MATCH($C203,tblMoveTypes[Movement],0)),"?")="OUT","OUT   ","--   "))&amp;"fill: "&amp;IF(IFERROR(INDEX(tblMoveTypes[Item?],MATCH($C203,tblMoveTypes[Movement],0)),"?")="Yes","Item  ","")&amp;IF(AND(IFERROR(INDEX(tblMoveTypes[Qty?],MATCH($C203,tblMoveTypes[Movement],0)),"?")="Yes",IFERROR(INDEX(tblMoveTypes[In / Out],MATCH($C203,tblMoveTypes[Movement],0)),"?")="IN"),"In  ","")&amp;IF(AND(IFERROR(INDEX(tblMoveTypes[Qty?],MATCH($C203,tblMoveTypes[Movement],0)),"?")="Yes",IFERROR(INDEX(tblMoveTypes[In / Out],MATCH($C203,tblMoveTypes[Movement],0)),"?")="OUT"),"Out  ","")&amp;IF(IFERROR(INDEX(tblMoveTypes[Orders?],MATCH($C203,tblMoveTypes[Movement],0)),"?")="Yes","Orders  ","")&amp;IF(IFERROR(INDEX(tblMoveTypes[Courier?],MATCH($C203,tblMoveTypes[Movement],0)),"?")="Yes","Courier  ","")&amp;IF(IFERROR(INDEX(tblMoveTypes[Reason?],MATCH($C203,tblMoveTypes[Movement],0)),"?")="Yes","Reason",""),"unknown movement"))</f>
        <v>OUT   fill: Out  Orders  Courier  </v>
      </c>
      <c r="E203" s="31"/>
      <c r="F203" s="33"/>
      <c r="G203" s="33" t="n">
        <v>263</v>
      </c>
      <c r="H203" s="33" t="n">
        <v>106</v>
      </c>
      <c r="I203" s="31" t="s">
        <v>76</v>
      </c>
      <c r="J203" s="31"/>
      <c r="K203" s="31"/>
      <c r="L203" s="31"/>
      <c r="M203" s="34" t="str">
        <f aca="false">IF($E203="","",IFERROR(INDEX(tblItems[Item Code],MATCH($E203,tblItems[Item Name],0)),"?"))</f>
        <v/>
      </c>
      <c r="N203" s="34" t="str">
        <f aca="false">IF($B203="","",IFERROR(INDEX(tblShipment[Market],MATCH($B203,tblShipment[Shipment No],0)),"?"))</f>
        <v>Qatar</v>
      </c>
      <c r="O203" s="35" t="n">
        <f aca="false">N($F203)+N($G203)</f>
        <v>263</v>
      </c>
      <c r="P203" s="34" t="str">
        <f aca="false">IF($A203="","",IF($L203="Yes","VOID",IF(COUNTIFS(tblMoveTypes[Movement],$C203)=0,"Unknown movement",IF(COUNTIF(tblShipment[Shipment No],$B203)=0,"Unknown shipment",IF(AND(IFERROR(INDEX(tblMoveTypes[Item?],MATCH($C203,tblMoveTypes[Movement],0)),"?")="Yes",$E203=""),"Item needed",IF(AND(IFERROR(INDEX(tblMoveTypes[Item?],MATCH($C203,tblMoveTypes[Movement],0)),"?")="No",$E203&lt;&gt;""),"Leave Item blank",IF(AND(IFERROR(INDEX(tblMoveTypes[In / Out],MATCH($C203,tblMoveTypes[Movement],0)),"?")="IN",$G203&lt;&gt;""),"Use the In column, not Out",IF(AND(IFERROR(INDEX(tblMoveTypes[In / Out],MATCH($C203,tblMoveTypes[Movement],0)),"?")="OUT",$F203&lt;&gt;""),"Use the Out column, not In",IF(AND(IFERROR(INDEX(tblMoveTypes[Qty?],MATCH($C203,tblMoveTypes[Movement],0)),"?")="Yes",N($F203)+N($G203)&lt;=0),"Qty needed",IF(AND(IFERROR(INDEX(tblMoveTypes[Qty?],MATCH($C203,tblMoveTypes[Movement],0)),"?")="No",N($F203)+N($G203)&gt;0),"Leave In and Out blank",IF(AND(IFERROR(INDEX(tblMoveTypes[Courier?],MATCH($C203,tblMoveTypes[Movement],0)),"?")="Yes",$I203=""),"Courier needed",IF(AND(IFERROR(INDEX(tblMoveTypes[Courier?],MATCH($C203,tblMoveTypes[Movement],0)),"?")="No",$I203&lt;&gt;""),"Leave Courier blank",IF(AND(IFERROR(INDEX(tblMoveTypes[Orders?],MATCH($C203,tblMoveTypes[Movement],0)),"?")="Yes",$H203=""),"Orders needed",IF(AND(IFERROR(INDEX(tblMoveTypes[Orders?],MATCH($C203,tblMoveTypes[Movement],0)),"?")="No",$H203&lt;&gt;""),"Leave Orders blank",IF(AND(IFERROR(INDEX(tblMoveTypes[Reason?],MATCH($C203,tblMoveTypes[Movement],0)),"?")="Yes",$J203=""),"Reason needed",IF($A203&lt;_xlfn.MINIFS(tblShipment[Arrival Date],tblShipment[Shipment No],$B203),"Date before arrival",IF(AND($E203&lt;&gt;"",COUNTIFS(tblShipment[Shipment No],$B203,tblShipment[Item Name],$E203)=0),"Item not in this shipment","OK")))))))))))))))))</f>
        <v>OK</v>
      </c>
    </row>
    <row r="204" customFormat="false" ht="15" hidden="false" customHeight="false" outlineLevel="0" collapsed="false">
      <c r="A204" s="32" t="n">
        <v>46240</v>
      </c>
      <c r="B204" s="31" t="s">
        <v>162</v>
      </c>
      <c r="C204" s="31" t="s">
        <v>115</v>
      </c>
      <c r="D204" s="34" t="str">
        <f aca="false">IF($C204="","",IFERROR(IF(IFERROR(INDEX(tblMoveTypes[In / Out],MATCH($C204,tblMoveTypes[Movement],0)),"?")="IN","IN   ",IF(IFERROR(INDEX(tblMoveTypes[In / Out],MATCH($C204,tblMoveTypes[Movement],0)),"?")="OUT","OUT   ","--   "))&amp;"fill: "&amp;IF(IFERROR(INDEX(tblMoveTypes[Item?],MATCH($C204,tblMoveTypes[Movement],0)),"?")="Yes","Item  ","")&amp;IF(AND(IFERROR(INDEX(tblMoveTypes[Qty?],MATCH($C204,tblMoveTypes[Movement],0)),"?")="Yes",IFERROR(INDEX(tblMoveTypes[In / Out],MATCH($C204,tblMoveTypes[Movement],0)),"?")="IN"),"In  ","")&amp;IF(AND(IFERROR(INDEX(tblMoveTypes[Qty?],MATCH($C204,tblMoveTypes[Movement],0)),"?")="Yes",IFERROR(INDEX(tblMoveTypes[In / Out],MATCH($C204,tblMoveTypes[Movement],0)),"?")="OUT"),"Out  ","")&amp;IF(IFERROR(INDEX(tblMoveTypes[Orders?],MATCH($C204,tblMoveTypes[Movement],0)),"?")="Yes","Orders  ","")&amp;IF(IFERROR(INDEX(tblMoveTypes[Courier?],MATCH($C204,tblMoveTypes[Movement],0)),"?")="Yes","Courier  ","")&amp;IF(IFERROR(INDEX(tblMoveTypes[Reason?],MATCH($C204,tblMoveTypes[Movement],0)),"?")="Yes","Reason",""),"unknown movement"))</f>
        <v>OUT   fill: Out  Orders  Courier  </v>
      </c>
      <c r="E204" s="31"/>
      <c r="F204" s="33"/>
      <c r="G204" s="33" t="n">
        <v>70</v>
      </c>
      <c r="H204" s="33" t="n">
        <v>28</v>
      </c>
      <c r="I204" s="31" t="s">
        <v>76</v>
      </c>
      <c r="J204" s="31"/>
      <c r="K204" s="31"/>
      <c r="L204" s="31"/>
      <c r="M204" s="34" t="str">
        <f aca="false">IF($E204="","",IFERROR(INDEX(tblItems[Item Code],MATCH($E204,tblItems[Item Name],0)),"?"))</f>
        <v/>
      </c>
      <c r="N204" s="34" t="str">
        <f aca="false">IF($B204="","",IFERROR(INDEX(tblShipment[Market],MATCH($B204,tblShipment[Shipment No],0)),"?"))</f>
        <v>Qatar</v>
      </c>
      <c r="O204" s="35" t="n">
        <f aca="false">N($F204)+N($G204)</f>
        <v>70</v>
      </c>
      <c r="P204" s="34" t="str">
        <f aca="false">IF($A204="","",IF($L204="Yes","VOID",IF(COUNTIFS(tblMoveTypes[Movement],$C204)=0,"Unknown movement",IF(COUNTIF(tblShipment[Shipment No],$B204)=0,"Unknown shipment",IF(AND(IFERROR(INDEX(tblMoveTypes[Item?],MATCH($C204,tblMoveTypes[Movement],0)),"?")="Yes",$E204=""),"Item needed",IF(AND(IFERROR(INDEX(tblMoveTypes[Item?],MATCH($C204,tblMoveTypes[Movement],0)),"?")="No",$E204&lt;&gt;""),"Leave Item blank",IF(AND(IFERROR(INDEX(tblMoveTypes[In / Out],MATCH($C204,tblMoveTypes[Movement],0)),"?")="IN",$G204&lt;&gt;""),"Use the In column, not Out",IF(AND(IFERROR(INDEX(tblMoveTypes[In / Out],MATCH($C204,tblMoveTypes[Movement],0)),"?")="OUT",$F204&lt;&gt;""),"Use the Out column, not In",IF(AND(IFERROR(INDEX(tblMoveTypes[Qty?],MATCH($C204,tblMoveTypes[Movement],0)),"?")="Yes",N($F204)+N($G204)&lt;=0),"Qty needed",IF(AND(IFERROR(INDEX(tblMoveTypes[Qty?],MATCH($C204,tblMoveTypes[Movement],0)),"?")="No",N($F204)+N($G204)&gt;0),"Leave In and Out blank",IF(AND(IFERROR(INDEX(tblMoveTypes[Courier?],MATCH($C204,tblMoveTypes[Movement],0)),"?")="Yes",$I204=""),"Courier needed",IF(AND(IFERROR(INDEX(tblMoveTypes[Courier?],MATCH($C204,tblMoveTypes[Movement],0)),"?")="No",$I204&lt;&gt;""),"Leave Courier blank",IF(AND(IFERROR(INDEX(tblMoveTypes[Orders?],MATCH($C204,tblMoveTypes[Movement],0)),"?")="Yes",$H204=""),"Orders needed",IF(AND(IFERROR(INDEX(tblMoveTypes[Orders?],MATCH($C204,tblMoveTypes[Movement],0)),"?")="No",$H204&lt;&gt;""),"Leave Orders blank",IF(AND(IFERROR(INDEX(tblMoveTypes[Reason?],MATCH($C204,tblMoveTypes[Movement],0)),"?")="Yes",$J204=""),"Reason needed",IF($A204&lt;_xlfn.MINIFS(tblShipment[Arrival Date],tblShipment[Shipment No],$B204),"Date before arrival",IF(AND($E204&lt;&gt;"",COUNTIFS(tblShipment[Shipment No],$B204,tblShipment[Item Name],$E204)=0),"Item not in this shipment","OK")))))))))))))))))</f>
        <v>OK</v>
      </c>
    </row>
    <row r="205" customFormat="false" ht="15" hidden="false" customHeight="false" outlineLevel="0" collapsed="false">
      <c r="A205" s="32" t="n">
        <v>46240</v>
      </c>
      <c r="B205" s="31" t="s">
        <v>162</v>
      </c>
      <c r="C205" s="31" t="s">
        <v>120</v>
      </c>
      <c r="D205" s="34" t="str">
        <f aca="false">IF($C205="","",IFERROR(IF(IFERROR(INDEX(tblMoveTypes[In / Out],MATCH($C205,tblMoveTypes[Movement],0)),"?")="IN","IN   ",IF(IFERROR(INDEX(tblMoveTypes[In / Out],MATCH($C205,tblMoveTypes[Movement],0)),"?")="OUT","OUT   ","--   "))&amp;"fill: "&amp;IF(IFERROR(INDEX(tblMoveTypes[Item?],MATCH($C205,tblMoveTypes[Movement],0)),"?")="Yes","Item  ","")&amp;IF(AND(IFERROR(INDEX(tblMoveTypes[Qty?],MATCH($C205,tblMoveTypes[Movement],0)),"?")="Yes",IFERROR(INDEX(tblMoveTypes[In / Out],MATCH($C205,tblMoveTypes[Movement],0)),"?")="IN"),"In  ","")&amp;IF(AND(IFERROR(INDEX(tblMoveTypes[Qty?],MATCH($C205,tblMoveTypes[Movement],0)),"?")="Yes",IFERROR(INDEX(tblMoveTypes[In / Out],MATCH($C205,tblMoveTypes[Movement],0)),"?")="OUT"),"Out  ","")&amp;IF(IFERROR(INDEX(tblMoveTypes[Orders?],MATCH($C205,tblMoveTypes[Movement],0)),"?")="Yes","Orders  ","")&amp;IF(IFERROR(INDEX(tblMoveTypes[Courier?],MATCH($C205,tblMoveTypes[Movement],0)),"?")="Yes","Courier  ","")&amp;IF(IFERROR(INDEX(tblMoveTypes[Reason?],MATCH($C205,tblMoveTypes[Movement],0)),"?")="Yes","Reason",""),"unknown movement"))</f>
        <v>IN   fill: In  Orders  Courier  Reason</v>
      </c>
      <c r="E205" s="31"/>
      <c r="F205" s="33" t="n">
        <v>8</v>
      </c>
      <c r="G205" s="33"/>
      <c r="H205" s="33" t="n">
        <v>1</v>
      </c>
      <c r="I205" s="31" t="s">
        <v>76</v>
      </c>
      <c r="J205" s="31" t="s">
        <v>108</v>
      </c>
      <c r="K205" s="31"/>
      <c r="L205" s="31"/>
      <c r="M205" s="34" t="str">
        <f aca="false">IF($E205="","",IFERROR(INDEX(tblItems[Item Code],MATCH($E205,tblItems[Item Name],0)),"?"))</f>
        <v/>
      </c>
      <c r="N205" s="34" t="str">
        <f aca="false">IF($B205="","",IFERROR(INDEX(tblShipment[Market],MATCH($B205,tblShipment[Shipment No],0)),"?"))</f>
        <v>Qatar</v>
      </c>
      <c r="O205" s="35" t="n">
        <f aca="false">N($F205)+N($G205)</f>
        <v>8</v>
      </c>
      <c r="P205" s="34" t="str">
        <f aca="false">IF($A205="","",IF($L205="Yes","VOID",IF(COUNTIFS(tblMoveTypes[Movement],$C205)=0,"Unknown movement",IF(COUNTIF(tblShipment[Shipment No],$B205)=0,"Unknown shipment",IF(AND(IFERROR(INDEX(tblMoveTypes[Item?],MATCH($C205,tblMoveTypes[Movement],0)),"?")="Yes",$E205=""),"Item needed",IF(AND(IFERROR(INDEX(tblMoveTypes[Item?],MATCH($C205,tblMoveTypes[Movement],0)),"?")="No",$E205&lt;&gt;""),"Leave Item blank",IF(AND(IFERROR(INDEX(tblMoveTypes[In / Out],MATCH($C205,tblMoveTypes[Movement],0)),"?")="IN",$G205&lt;&gt;""),"Use the In column, not Out",IF(AND(IFERROR(INDEX(tblMoveTypes[In / Out],MATCH($C205,tblMoveTypes[Movement],0)),"?")="OUT",$F205&lt;&gt;""),"Use the Out column, not In",IF(AND(IFERROR(INDEX(tblMoveTypes[Qty?],MATCH($C205,tblMoveTypes[Movement],0)),"?")="Yes",N($F205)+N($G205)&lt;=0),"Qty needed",IF(AND(IFERROR(INDEX(tblMoveTypes[Qty?],MATCH($C205,tblMoveTypes[Movement],0)),"?")="No",N($F205)+N($G205)&gt;0),"Leave In and Out blank",IF(AND(IFERROR(INDEX(tblMoveTypes[Courier?],MATCH($C205,tblMoveTypes[Movement],0)),"?")="Yes",$I205=""),"Courier needed",IF(AND(IFERROR(INDEX(tblMoveTypes[Courier?],MATCH($C205,tblMoveTypes[Movement],0)),"?")="No",$I205&lt;&gt;""),"Leave Courier blank",IF(AND(IFERROR(INDEX(tblMoveTypes[Orders?],MATCH($C205,tblMoveTypes[Movement],0)),"?")="Yes",$H205=""),"Orders needed",IF(AND(IFERROR(INDEX(tblMoveTypes[Orders?],MATCH($C205,tblMoveTypes[Movement],0)),"?")="No",$H205&lt;&gt;""),"Leave Orders blank",IF(AND(IFERROR(INDEX(tblMoveTypes[Reason?],MATCH($C205,tblMoveTypes[Movement],0)),"?")="Yes",$J205=""),"Reason needed",IF($A205&lt;_xlfn.MINIFS(tblShipment[Arrival Date],tblShipment[Shipment No],$B205),"Date before arrival",IF(AND($E205&lt;&gt;"",COUNTIFS(tblShipment[Shipment No],$B205,tblShipment[Item Name],$E205)=0),"Item not in this shipment","OK")))))))))))))))))</f>
        <v>OK</v>
      </c>
    </row>
    <row r="206" customFormat="false" ht="15" hidden="false" customHeight="false" outlineLevel="0" collapsed="false">
      <c r="A206" s="32" t="n">
        <v>46240</v>
      </c>
      <c r="B206" s="31" t="s">
        <v>162</v>
      </c>
      <c r="C206" s="31" t="s">
        <v>125</v>
      </c>
      <c r="D206" s="34" t="str">
        <f aca="false">IF($C206="","",IFERROR(IF(IFERROR(INDEX(tblMoveTypes[In / Out],MATCH($C206,tblMoveTypes[Movement],0)),"?")="IN","IN   ",IF(IFERROR(INDEX(tblMoveTypes[In / Out],MATCH($C206,tblMoveTypes[Movement],0)),"?")="OUT","OUT   ","--   "))&amp;"fill: "&amp;IF(IFERROR(INDEX(tblMoveTypes[Item?],MATCH($C206,tblMoveTypes[Movement],0)),"?")="Yes","Item  ","")&amp;IF(AND(IFERROR(INDEX(tblMoveTypes[Qty?],MATCH($C206,tblMoveTypes[Movement],0)),"?")="Yes",IFERROR(INDEX(tblMoveTypes[In / Out],MATCH($C206,tblMoveTypes[Movement],0)),"?")="IN"),"In  ","")&amp;IF(AND(IFERROR(INDEX(tblMoveTypes[Qty?],MATCH($C206,tblMoveTypes[Movement],0)),"?")="Yes",IFERROR(INDEX(tblMoveTypes[In / Out],MATCH($C206,tblMoveTypes[Movement],0)),"?")="OUT"),"Out  ","")&amp;IF(IFERROR(INDEX(tblMoveTypes[Orders?],MATCH($C206,tblMoveTypes[Movement],0)),"?")="Yes","Orders  ","")&amp;IF(IFERROR(INDEX(tblMoveTypes[Courier?],MATCH($C206,tblMoveTypes[Movement],0)),"?")="Yes","Courier  ","")&amp;IF(IFERROR(INDEX(tblMoveTypes[Reason?],MATCH($C206,tblMoveTypes[Movement],0)),"?")="Yes","Reason",""),"unknown movement"))</f>
        <v>IN   fill: Item  In  </v>
      </c>
      <c r="E206" s="31" t="s">
        <v>84</v>
      </c>
      <c r="F206" s="33" t="n">
        <v>6</v>
      </c>
      <c r="G206" s="33"/>
      <c r="H206" s="33"/>
      <c r="I206" s="31"/>
      <c r="J206" s="31"/>
      <c r="K206" s="31"/>
      <c r="L206" s="31"/>
      <c r="M206" s="34" t="str">
        <f aca="false">IF($E206="","",IFERROR(INDEX(tblItems[Item Code],MATCH($E206,tblItems[Item Name],0)),"?"))</f>
        <v>EG-FG-MNG-12-02-01-01</v>
      </c>
      <c r="N206" s="34" t="str">
        <f aca="false">IF($B206="","",IFERROR(INDEX(tblShipment[Market],MATCH($B206,tblShipment[Shipment No],0)),"?"))</f>
        <v>Qatar</v>
      </c>
      <c r="O206" s="35" t="n">
        <f aca="false">N($F206)+N($G206)</f>
        <v>6</v>
      </c>
      <c r="P206" s="34" t="str">
        <f aca="false">IF($A206="","",IF($L206="Yes","VOID",IF(COUNTIFS(tblMoveTypes[Movement],$C206)=0,"Unknown movement",IF(COUNTIF(tblShipment[Shipment No],$B206)=0,"Unknown shipment",IF(AND(IFERROR(INDEX(tblMoveTypes[Item?],MATCH($C206,tblMoveTypes[Movement],0)),"?")="Yes",$E206=""),"Item needed",IF(AND(IFERROR(INDEX(tblMoveTypes[Item?],MATCH($C206,tblMoveTypes[Movement],0)),"?")="No",$E206&lt;&gt;""),"Leave Item blank",IF(AND(IFERROR(INDEX(tblMoveTypes[In / Out],MATCH($C206,tblMoveTypes[Movement],0)),"?")="IN",$G206&lt;&gt;""),"Use the In column, not Out",IF(AND(IFERROR(INDEX(tblMoveTypes[In / Out],MATCH($C206,tblMoveTypes[Movement],0)),"?")="OUT",$F206&lt;&gt;""),"Use the Out column, not In",IF(AND(IFERROR(INDEX(tblMoveTypes[Qty?],MATCH($C206,tblMoveTypes[Movement],0)),"?")="Yes",N($F206)+N($G206)&lt;=0),"Qty needed",IF(AND(IFERROR(INDEX(tblMoveTypes[Qty?],MATCH($C206,tblMoveTypes[Movement],0)),"?")="No",N($F206)+N($G206)&gt;0),"Leave In and Out blank",IF(AND(IFERROR(INDEX(tblMoveTypes[Courier?],MATCH($C206,tblMoveTypes[Movement],0)),"?")="Yes",$I206=""),"Courier needed",IF(AND(IFERROR(INDEX(tblMoveTypes[Courier?],MATCH($C206,tblMoveTypes[Movement],0)),"?")="No",$I206&lt;&gt;""),"Leave Courier blank",IF(AND(IFERROR(INDEX(tblMoveTypes[Orders?],MATCH($C206,tblMoveTypes[Movement],0)),"?")="Yes",$H206=""),"Orders needed",IF(AND(IFERROR(INDEX(tblMoveTypes[Orders?],MATCH($C206,tblMoveTypes[Movement],0)),"?")="No",$H206&lt;&gt;""),"Leave Orders blank",IF(AND(IFERROR(INDEX(tblMoveTypes[Reason?],MATCH($C206,tblMoveTypes[Movement],0)),"?")="Yes",$J206=""),"Reason needed",IF($A206&lt;_xlfn.MINIFS(tblShipment[Arrival Date],tblShipment[Shipment No],$B206),"Date before arrival",IF(AND($E206&lt;&gt;"",COUNTIFS(tblShipment[Shipment No],$B206,tblShipment[Item Name],$E206)=0),"Item not in this shipment","OK")))))))))))))))))</f>
        <v>OK</v>
      </c>
    </row>
    <row r="207" customFormat="false" ht="15" hidden="false" customHeight="false" outlineLevel="0" collapsed="false">
      <c r="A207" s="32" t="n">
        <v>46240</v>
      </c>
      <c r="B207" s="31" t="s">
        <v>162</v>
      </c>
      <c r="C207" s="31" t="s">
        <v>130</v>
      </c>
      <c r="D207" s="34" t="str">
        <f aca="false">IF($C207="","",IFERROR(IF(IFERROR(INDEX(tblMoveTypes[In / Out],MATCH($C207,tblMoveTypes[Movement],0)),"?")="IN","IN   ",IF(IFERROR(INDEX(tblMoveTypes[In / Out],MATCH($C207,tblMoveTypes[Movement],0)),"?")="OUT","OUT   ","--   "))&amp;"fill: "&amp;IF(IFERROR(INDEX(tblMoveTypes[Item?],MATCH($C207,tblMoveTypes[Movement],0)),"?")="Yes","Item  ","")&amp;IF(AND(IFERROR(INDEX(tblMoveTypes[Qty?],MATCH($C207,tblMoveTypes[Movement],0)),"?")="Yes",IFERROR(INDEX(tblMoveTypes[In / Out],MATCH($C207,tblMoveTypes[Movement],0)),"?")="IN"),"In  ","")&amp;IF(AND(IFERROR(INDEX(tblMoveTypes[Qty?],MATCH($C207,tblMoveTypes[Movement],0)),"?")="Yes",IFERROR(INDEX(tblMoveTypes[In / Out],MATCH($C207,tblMoveTypes[Movement],0)),"?")="OUT"),"Out  ","")&amp;IF(IFERROR(INDEX(tblMoveTypes[Orders?],MATCH($C207,tblMoveTypes[Movement],0)),"?")="Yes","Orders  ","")&amp;IF(IFERROR(INDEX(tblMoveTypes[Courier?],MATCH($C207,tblMoveTypes[Movement],0)),"?")="Yes","Courier  ","")&amp;IF(IFERROR(INDEX(tblMoveTypes[Reason?],MATCH($C207,tblMoveTypes[Movement],0)),"?")="Yes","Reason",""),"unknown movement"))</f>
        <v>OUT   fill: Item  Out  Reason</v>
      </c>
      <c r="E207" s="31" t="s">
        <v>84</v>
      </c>
      <c r="F207" s="33"/>
      <c r="G207" s="33" t="n">
        <v>2</v>
      </c>
      <c r="H207" s="33"/>
      <c r="I207" s="31"/>
      <c r="J207" s="31" t="s">
        <v>77</v>
      </c>
      <c r="K207" s="31"/>
      <c r="L207" s="31"/>
      <c r="M207" s="34" t="str">
        <f aca="false">IF($E207="","",IFERROR(INDEX(tblItems[Item Code],MATCH($E207,tblItems[Item Name],0)),"?"))</f>
        <v>EG-FG-MNG-12-02-01-01</v>
      </c>
      <c r="N207" s="34" t="str">
        <f aca="false">IF($B207="","",IFERROR(INDEX(tblShipment[Market],MATCH($B207,tblShipment[Shipment No],0)),"?"))</f>
        <v>Qatar</v>
      </c>
      <c r="O207" s="35" t="n">
        <f aca="false">N($F207)+N($G207)</f>
        <v>2</v>
      </c>
      <c r="P207" s="34" t="str">
        <f aca="false">IF($A207="","",IF($L207="Yes","VOID",IF(COUNTIFS(tblMoveTypes[Movement],$C207)=0,"Unknown movement",IF(COUNTIF(tblShipment[Shipment No],$B207)=0,"Unknown shipment",IF(AND(IFERROR(INDEX(tblMoveTypes[Item?],MATCH($C207,tblMoveTypes[Movement],0)),"?")="Yes",$E207=""),"Item needed",IF(AND(IFERROR(INDEX(tblMoveTypes[Item?],MATCH($C207,tblMoveTypes[Movement],0)),"?")="No",$E207&lt;&gt;""),"Leave Item blank",IF(AND(IFERROR(INDEX(tblMoveTypes[In / Out],MATCH($C207,tblMoveTypes[Movement],0)),"?")="IN",$G207&lt;&gt;""),"Use the In column, not Out",IF(AND(IFERROR(INDEX(tblMoveTypes[In / Out],MATCH($C207,tblMoveTypes[Movement],0)),"?")="OUT",$F207&lt;&gt;""),"Use the Out column, not In",IF(AND(IFERROR(INDEX(tblMoveTypes[Qty?],MATCH($C207,tblMoveTypes[Movement],0)),"?")="Yes",N($F207)+N($G207)&lt;=0),"Qty needed",IF(AND(IFERROR(INDEX(tblMoveTypes[Qty?],MATCH($C207,tblMoveTypes[Movement],0)),"?")="No",N($F207)+N($G207)&gt;0),"Leave In and Out blank",IF(AND(IFERROR(INDEX(tblMoveTypes[Courier?],MATCH($C207,tblMoveTypes[Movement],0)),"?")="Yes",$I207=""),"Courier needed",IF(AND(IFERROR(INDEX(tblMoveTypes[Courier?],MATCH($C207,tblMoveTypes[Movement],0)),"?")="No",$I207&lt;&gt;""),"Leave Courier blank",IF(AND(IFERROR(INDEX(tblMoveTypes[Orders?],MATCH($C207,tblMoveTypes[Movement],0)),"?")="Yes",$H207=""),"Orders needed",IF(AND(IFERROR(INDEX(tblMoveTypes[Orders?],MATCH($C207,tblMoveTypes[Movement],0)),"?")="No",$H207&lt;&gt;""),"Leave Orders blank",IF(AND(IFERROR(INDEX(tblMoveTypes[Reason?],MATCH($C207,tblMoveTypes[Movement],0)),"?")="Yes",$J207=""),"Reason needed",IF($A207&lt;_xlfn.MINIFS(tblShipment[Arrival Date],tblShipment[Shipment No],$B207),"Date before arrival",IF(AND($E207&lt;&gt;"",COUNTIFS(tblShipment[Shipment No],$B207,tblShipment[Item Name],$E207)=0),"Item not in this shipment","OK")))))))))))))))))</f>
        <v>OK</v>
      </c>
    </row>
    <row r="208" customFormat="false" ht="15" hidden="false" customHeight="false" outlineLevel="0" collapsed="false">
      <c r="A208" s="32" t="n">
        <v>46240</v>
      </c>
      <c r="B208" s="31" t="s">
        <v>162</v>
      </c>
      <c r="C208" s="31" t="s">
        <v>98</v>
      </c>
      <c r="D208" s="34" t="str">
        <f aca="false">IF($C208="","",IFERROR(IF(IFERROR(INDEX(tblMoveTypes[In / Out],MATCH($C208,tblMoveTypes[Movement],0)),"?")="IN","IN   ",IF(IFERROR(INDEX(tblMoveTypes[In / Out],MATCH($C208,tblMoveTypes[Movement],0)),"?")="OUT","OUT   ","--   "))&amp;"fill: "&amp;IF(IFERROR(INDEX(tblMoveTypes[Item?],MATCH($C208,tblMoveTypes[Movement],0)),"?")="Yes","Item  ","")&amp;IF(AND(IFERROR(INDEX(tblMoveTypes[Qty?],MATCH($C208,tblMoveTypes[Movement],0)),"?")="Yes",IFERROR(INDEX(tblMoveTypes[In / Out],MATCH($C208,tblMoveTypes[Movement],0)),"?")="IN"),"In  ","")&amp;IF(AND(IFERROR(INDEX(tblMoveTypes[Qty?],MATCH($C208,tblMoveTypes[Movement],0)),"?")="Yes",IFERROR(INDEX(tblMoveTypes[In / Out],MATCH($C208,tblMoveTypes[Movement],0)),"?")="OUT"),"Out  ","")&amp;IF(IFERROR(INDEX(tblMoveTypes[Orders?],MATCH($C208,tblMoveTypes[Movement],0)),"?")="Yes","Orders  ","")&amp;IF(IFERROR(INDEX(tblMoveTypes[Courier?],MATCH($C208,tblMoveTypes[Movement],0)),"?")="Yes","Courier  ","")&amp;IF(IFERROR(INDEX(tblMoveTypes[Reason?],MATCH($C208,tblMoveTypes[Movement],0)),"?")="Yes","Reason",""),"unknown movement"))</f>
        <v>OUT   fill: Item  Out  Courier  </v>
      </c>
      <c r="E208" s="31" t="s">
        <v>84</v>
      </c>
      <c r="F208" s="33"/>
      <c r="G208" s="33" t="n">
        <v>6</v>
      </c>
      <c r="H208" s="33"/>
      <c r="I208" s="31" t="s">
        <v>76</v>
      </c>
      <c r="J208" s="31"/>
      <c r="K208" s="31"/>
      <c r="L208" s="31"/>
      <c r="M208" s="34" t="str">
        <f aca="false">IF($E208="","",IFERROR(INDEX(tblItems[Item Code],MATCH($E208,tblItems[Item Name],0)),"?"))</f>
        <v>EG-FG-MNG-12-02-01-01</v>
      </c>
      <c r="N208" s="34" t="str">
        <f aca="false">IF($B208="","",IFERROR(INDEX(tblShipment[Market],MATCH($B208,tblShipment[Shipment No],0)),"?"))</f>
        <v>Qatar</v>
      </c>
      <c r="O208" s="35" t="n">
        <f aca="false">N($F208)+N($G208)</f>
        <v>6</v>
      </c>
      <c r="P208" s="34" t="str">
        <f aca="false">IF($A208="","",IF($L208="Yes","VOID",IF(COUNTIFS(tblMoveTypes[Movement],$C208)=0,"Unknown movement",IF(COUNTIF(tblShipment[Shipment No],$B208)=0,"Unknown shipment",IF(AND(IFERROR(INDEX(tblMoveTypes[Item?],MATCH($C208,tblMoveTypes[Movement],0)),"?")="Yes",$E208=""),"Item needed",IF(AND(IFERROR(INDEX(tblMoveTypes[Item?],MATCH($C208,tblMoveTypes[Movement],0)),"?")="No",$E208&lt;&gt;""),"Leave Item blank",IF(AND(IFERROR(INDEX(tblMoveTypes[In / Out],MATCH($C208,tblMoveTypes[Movement],0)),"?")="IN",$G208&lt;&gt;""),"Use the In column, not Out",IF(AND(IFERROR(INDEX(tblMoveTypes[In / Out],MATCH($C208,tblMoveTypes[Movement],0)),"?")="OUT",$F208&lt;&gt;""),"Use the Out column, not In",IF(AND(IFERROR(INDEX(tblMoveTypes[Qty?],MATCH($C208,tblMoveTypes[Movement],0)),"?")="Yes",N($F208)+N($G208)&lt;=0),"Qty needed",IF(AND(IFERROR(INDEX(tblMoveTypes[Qty?],MATCH($C208,tblMoveTypes[Movement],0)),"?")="No",N($F208)+N($G208)&gt;0),"Leave In and Out blank",IF(AND(IFERROR(INDEX(tblMoveTypes[Courier?],MATCH($C208,tblMoveTypes[Movement],0)),"?")="Yes",$I208=""),"Courier needed",IF(AND(IFERROR(INDEX(tblMoveTypes[Courier?],MATCH($C208,tblMoveTypes[Movement],0)),"?")="No",$I208&lt;&gt;""),"Leave Courier blank",IF(AND(IFERROR(INDEX(tblMoveTypes[Orders?],MATCH($C208,tblMoveTypes[Movement],0)),"?")="Yes",$H208=""),"Orders needed",IF(AND(IFERROR(INDEX(tblMoveTypes[Orders?],MATCH($C208,tblMoveTypes[Movement],0)),"?")="No",$H208&lt;&gt;""),"Leave Orders blank",IF(AND(IFERROR(INDEX(tblMoveTypes[Reason?],MATCH($C208,tblMoveTypes[Movement],0)),"?")="Yes",$J208=""),"Reason needed",IF($A208&lt;_xlfn.MINIFS(tblShipment[Arrival Date],tblShipment[Shipment No],$B208),"Date before arrival",IF(AND($E208&lt;&gt;"",COUNTIFS(tblShipment[Shipment No],$B208,tblShipment[Item Name],$E208)=0),"Item not in this shipment","OK")))))))))))))))))</f>
        <v>OK</v>
      </c>
    </row>
    <row r="209" customFormat="false" ht="15" hidden="false" customHeight="false" outlineLevel="0" collapsed="false">
      <c r="A209" s="32" t="n">
        <v>46240</v>
      </c>
      <c r="B209" s="31" t="s">
        <v>162</v>
      </c>
      <c r="C209" s="31" t="s">
        <v>110</v>
      </c>
      <c r="D209" s="34" t="str">
        <f aca="false">IF($C209="","",IFERROR(IF(IFERROR(INDEX(tblMoveTypes[In / Out],MATCH($C209,tblMoveTypes[Movement],0)),"?")="IN","IN   ",IF(IFERROR(INDEX(tblMoveTypes[In / Out],MATCH($C209,tblMoveTypes[Movement],0)),"?")="OUT","OUT   ","--   "))&amp;"fill: "&amp;IF(IFERROR(INDEX(tblMoveTypes[Item?],MATCH($C209,tblMoveTypes[Movement],0)),"?")="Yes","Item  ","")&amp;IF(AND(IFERROR(INDEX(tblMoveTypes[Qty?],MATCH($C209,tblMoveTypes[Movement],0)),"?")="Yes",IFERROR(INDEX(tblMoveTypes[In / Out],MATCH($C209,tblMoveTypes[Movement],0)),"?")="IN"),"In  ","")&amp;IF(AND(IFERROR(INDEX(tblMoveTypes[Qty?],MATCH($C209,tblMoveTypes[Movement],0)),"?")="Yes",IFERROR(INDEX(tblMoveTypes[In / Out],MATCH($C209,tblMoveTypes[Movement],0)),"?")="OUT"),"Out  ","")&amp;IF(IFERROR(INDEX(tblMoveTypes[Orders?],MATCH($C209,tblMoveTypes[Movement],0)),"?")="Yes","Orders  ","")&amp;IF(IFERROR(INDEX(tblMoveTypes[Courier?],MATCH($C209,tblMoveTypes[Movement],0)),"?")="Yes","Courier  ","")&amp;IF(IFERROR(INDEX(tblMoveTypes[Reason?],MATCH($C209,tblMoveTypes[Movement],0)),"?")="Yes","Reason",""),"unknown movement"))</f>
        <v>--   fill: Orders  Courier  </v>
      </c>
      <c r="E209" s="31"/>
      <c r="F209" s="33"/>
      <c r="G209" s="33"/>
      <c r="H209" s="33" t="n">
        <v>2</v>
      </c>
      <c r="I209" s="31" t="s">
        <v>76</v>
      </c>
      <c r="J209" s="31"/>
      <c r="K209" s="31"/>
      <c r="L209" s="31"/>
      <c r="M209" s="34" t="str">
        <f aca="false">IF($E209="","",IFERROR(INDEX(tblItems[Item Code],MATCH($E209,tblItems[Item Name],0)),"?"))</f>
        <v/>
      </c>
      <c r="N209" s="34" t="str">
        <f aca="false">IF($B209="","",IFERROR(INDEX(tblShipment[Market],MATCH($B209,tblShipment[Shipment No],0)),"?"))</f>
        <v>Qatar</v>
      </c>
      <c r="O209" s="35" t="n">
        <f aca="false">N($F209)+N($G209)</f>
        <v>0</v>
      </c>
      <c r="P209" s="34" t="str">
        <f aca="false">IF($A209="","",IF($L209="Yes","VOID",IF(COUNTIFS(tblMoveTypes[Movement],$C209)=0,"Unknown movement",IF(COUNTIF(tblShipment[Shipment No],$B209)=0,"Unknown shipment",IF(AND(IFERROR(INDEX(tblMoveTypes[Item?],MATCH($C209,tblMoveTypes[Movement],0)),"?")="Yes",$E209=""),"Item needed",IF(AND(IFERROR(INDEX(tblMoveTypes[Item?],MATCH($C209,tblMoveTypes[Movement],0)),"?")="No",$E209&lt;&gt;""),"Leave Item blank",IF(AND(IFERROR(INDEX(tblMoveTypes[In / Out],MATCH($C209,tblMoveTypes[Movement],0)),"?")="IN",$G209&lt;&gt;""),"Use the In column, not Out",IF(AND(IFERROR(INDEX(tblMoveTypes[In / Out],MATCH($C209,tblMoveTypes[Movement],0)),"?")="OUT",$F209&lt;&gt;""),"Use the Out column, not In",IF(AND(IFERROR(INDEX(tblMoveTypes[Qty?],MATCH($C209,tblMoveTypes[Movement],0)),"?")="Yes",N($F209)+N($G209)&lt;=0),"Qty needed",IF(AND(IFERROR(INDEX(tblMoveTypes[Qty?],MATCH($C209,tblMoveTypes[Movement],0)),"?")="No",N($F209)+N($G209)&gt;0),"Leave In and Out blank",IF(AND(IFERROR(INDEX(tblMoveTypes[Courier?],MATCH($C209,tblMoveTypes[Movement],0)),"?")="Yes",$I209=""),"Courier needed",IF(AND(IFERROR(INDEX(tblMoveTypes[Courier?],MATCH($C209,tblMoveTypes[Movement],0)),"?")="No",$I209&lt;&gt;""),"Leave Courier blank",IF(AND(IFERROR(INDEX(tblMoveTypes[Orders?],MATCH($C209,tblMoveTypes[Movement],0)),"?")="Yes",$H209=""),"Orders needed",IF(AND(IFERROR(INDEX(tblMoveTypes[Orders?],MATCH($C209,tblMoveTypes[Movement],0)),"?")="No",$H209&lt;&gt;""),"Leave Orders blank",IF(AND(IFERROR(INDEX(tblMoveTypes[Reason?],MATCH($C209,tblMoveTypes[Movement],0)),"?")="Yes",$J209=""),"Reason needed",IF($A209&lt;_xlfn.MINIFS(tblShipment[Arrival Date],tblShipment[Shipment No],$B209),"Date before arrival",IF(AND($E209&lt;&gt;"",COUNTIFS(tblShipment[Shipment No],$B209,tblShipment[Item Name],$E209)=0),"Item not in this shipment","OK")))))))))))))))))</f>
        <v>OK</v>
      </c>
    </row>
    <row r="210" customFormat="false" ht="15" hidden="false" customHeight="false" outlineLevel="0" collapsed="false">
      <c r="A210" s="32" t="n">
        <v>46240</v>
      </c>
      <c r="B210" s="31" t="s">
        <v>162</v>
      </c>
      <c r="C210" s="31" t="s">
        <v>115</v>
      </c>
      <c r="D210" s="34" t="str">
        <f aca="false">IF($C210="","",IFERROR(IF(IFERROR(INDEX(tblMoveTypes[In / Out],MATCH($C210,tblMoveTypes[Movement],0)),"?")="IN","IN   ",IF(IFERROR(INDEX(tblMoveTypes[In / Out],MATCH($C210,tblMoveTypes[Movement],0)),"?")="OUT","OUT   ","--   "))&amp;"fill: "&amp;IF(IFERROR(INDEX(tblMoveTypes[Item?],MATCH($C210,tblMoveTypes[Movement],0)),"?")="Yes","Item  ","")&amp;IF(AND(IFERROR(INDEX(tblMoveTypes[Qty?],MATCH($C210,tblMoveTypes[Movement],0)),"?")="Yes",IFERROR(INDEX(tblMoveTypes[In / Out],MATCH($C210,tblMoveTypes[Movement],0)),"?")="IN"),"In  ","")&amp;IF(AND(IFERROR(INDEX(tblMoveTypes[Qty?],MATCH($C210,tblMoveTypes[Movement],0)),"?")="Yes",IFERROR(INDEX(tblMoveTypes[In / Out],MATCH($C210,tblMoveTypes[Movement],0)),"?")="OUT"),"Out  ","")&amp;IF(IFERROR(INDEX(tblMoveTypes[Orders?],MATCH($C210,tblMoveTypes[Movement],0)),"?")="Yes","Orders  ","")&amp;IF(IFERROR(INDEX(tblMoveTypes[Courier?],MATCH($C210,tblMoveTypes[Movement],0)),"?")="Yes","Courier  ","")&amp;IF(IFERROR(INDEX(tblMoveTypes[Reason?],MATCH($C210,tblMoveTypes[Movement],0)),"?")="Yes","Reason",""),"unknown movement"))</f>
        <v>OUT   fill: Out  Orders  Courier  </v>
      </c>
      <c r="E210" s="31"/>
      <c r="F210" s="33"/>
      <c r="G210" s="33" t="n">
        <v>6</v>
      </c>
      <c r="H210" s="33" t="n">
        <v>2</v>
      </c>
      <c r="I210" s="31" t="s">
        <v>76</v>
      </c>
      <c r="J210" s="31"/>
      <c r="K210" s="31"/>
      <c r="L210" s="31"/>
      <c r="M210" s="34" t="str">
        <f aca="false">IF($E210="","",IFERROR(INDEX(tblItems[Item Code],MATCH($E210,tblItems[Item Name],0)),"?"))</f>
        <v/>
      </c>
      <c r="N210" s="34" t="str">
        <f aca="false">IF($B210="","",IFERROR(INDEX(tblShipment[Market],MATCH($B210,tblShipment[Shipment No],0)),"?"))</f>
        <v>Qatar</v>
      </c>
      <c r="O210" s="35" t="n">
        <f aca="false">N($F210)+N($G210)</f>
        <v>6</v>
      </c>
      <c r="P210" s="34" t="str">
        <f aca="false">IF($A210="","",IF($L210="Yes","VOID",IF(COUNTIFS(tblMoveTypes[Movement],$C210)=0,"Unknown movement",IF(COUNTIF(tblShipment[Shipment No],$B210)=0,"Unknown shipment",IF(AND(IFERROR(INDEX(tblMoveTypes[Item?],MATCH($C210,tblMoveTypes[Movement],0)),"?")="Yes",$E210=""),"Item needed",IF(AND(IFERROR(INDEX(tblMoveTypes[Item?],MATCH($C210,tblMoveTypes[Movement],0)),"?")="No",$E210&lt;&gt;""),"Leave Item blank",IF(AND(IFERROR(INDEX(tblMoveTypes[In / Out],MATCH($C210,tblMoveTypes[Movement],0)),"?")="IN",$G210&lt;&gt;""),"Use the In column, not Out",IF(AND(IFERROR(INDEX(tblMoveTypes[In / Out],MATCH($C210,tblMoveTypes[Movement],0)),"?")="OUT",$F210&lt;&gt;""),"Use the Out column, not In",IF(AND(IFERROR(INDEX(tblMoveTypes[Qty?],MATCH($C210,tblMoveTypes[Movement],0)),"?")="Yes",N($F210)+N($G210)&lt;=0),"Qty needed",IF(AND(IFERROR(INDEX(tblMoveTypes[Qty?],MATCH($C210,tblMoveTypes[Movement],0)),"?")="No",N($F210)+N($G210)&gt;0),"Leave In and Out blank",IF(AND(IFERROR(INDEX(tblMoveTypes[Courier?],MATCH($C210,tblMoveTypes[Movement],0)),"?")="Yes",$I210=""),"Courier needed",IF(AND(IFERROR(INDEX(tblMoveTypes[Courier?],MATCH($C210,tblMoveTypes[Movement],0)),"?")="No",$I210&lt;&gt;""),"Leave Courier blank",IF(AND(IFERROR(INDEX(tblMoveTypes[Orders?],MATCH($C210,tblMoveTypes[Movement],0)),"?")="Yes",$H210=""),"Orders needed",IF(AND(IFERROR(INDEX(tblMoveTypes[Orders?],MATCH($C210,tblMoveTypes[Movement],0)),"?")="No",$H210&lt;&gt;""),"Leave Orders blank",IF(AND(IFERROR(INDEX(tblMoveTypes[Reason?],MATCH($C210,tblMoveTypes[Movement],0)),"?")="Yes",$J210=""),"Reason needed",IF($A210&lt;_xlfn.MINIFS(tblShipment[Arrival Date],tblShipment[Shipment No],$B210),"Date before arrival",IF(AND($E210&lt;&gt;"",COUNTIFS(tblShipment[Shipment No],$B210,tblShipment[Item Name],$E210)=0),"Item not in this shipment","OK")))))))))))))))))</f>
        <v>OK</v>
      </c>
    </row>
    <row r="211" customFormat="false" ht="15" hidden="false" customHeight="false" outlineLevel="0" collapsed="false">
      <c r="A211" s="32" t="n">
        <v>46240</v>
      </c>
      <c r="B211" s="31" t="s">
        <v>163</v>
      </c>
      <c r="C211" s="31" t="s">
        <v>115</v>
      </c>
      <c r="D211" s="34" t="str">
        <f aca="false">IF($C211="","",IFERROR(IF(IFERROR(INDEX(tblMoveTypes[In / Out],MATCH($C211,tblMoveTypes[Movement],0)),"?")="IN","IN   ",IF(IFERROR(INDEX(tblMoveTypes[In / Out],MATCH($C211,tblMoveTypes[Movement],0)),"?")="OUT","OUT   ","--   "))&amp;"fill: "&amp;IF(IFERROR(INDEX(tblMoveTypes[Item?],MATCH($C211,tblMoveTypes[Movement],0)),"?")="Yes","Item  ","")&amp;IF(AND(IFERROR(INDEX(tblMoveTypes[Qty?],MATCH($C211,tblMoveTypes[Movement],0)),"?")="Yes",IFERROR(INDEX(tblMoveTypes[In / Out],MATCH($C211,tblMoveTypes[Movement],0)),"?")="IN"),"In  ","")&amp;IF(AND(IFERROR(INDEX(tblMoveTypes[Qty?],MATCH($C211,tblMoveTypes[Movement],0)),"?")="Yes",IFERROR(INDEX(tblMoveTypes[In / Out],MATCH($C211,tblMoveTypes[Movement],0)),"?")="OUT"),"Out  ","")&amp;IF(IFERROR(INDEX(tblMoveTypes[Orders?],MATCH($C211,tblMoveTypes[Movement],0)),"?")="Yes","Orders  ","")&amp;IF(IFERROR(INDEX(tblMoveTypes[Courier?],MATCH($C211,tblMoveTypes[Movement],0)),"?")="Yes","Courier  ","")&amp;IF(IFERROR(INDEX(tblMoveTypes[Reason?],MATCH($C211,tblMoveTypes[Movement],0)),"?")="Yes","Reason",""),"unknown movement"))</f>
        <v>OUT   fill: Out  Orders  Courier  </v>
      </c>
      <c r="E211" s="31"/>
      <c r="F211" s="33"/>
      <c r="G211" s="33" t="n">
        <v>83</v>
      </c>
      <c r="H211" s="33" t="n">
        <v>33</v>
      </c>
      <c r="I211" s="31" t="s">
        <v>76</v>
      </c>
      <c r="J211" s="31"/>
      <c r="K211" s="31"/>
      <c r="L211" s="31"/>
      <c r="M211" s="34" t="str">
        <f aca="false">IF($E211="","",IFERROR(INDEX(tblItems[Item Code],MATCH($E211,tblItems[Item Name],0)),"?"))</f>
        <v/>
      </c>
      <c r="N211" s="34" t="str">
        <f aca="false">IF($B211="","",IFERROR(INDEX(tblShipment[Market],MATCH($B211,tblShipment[Shipment No],0)),"?"))</f>
        <v>Qatar</v>
      </c>
      <c r="O211" s="35" t="n">
        <f aca="false">N($F211)+N($G211)</f>
        <v>83</v>
      </c>
      <c r="P211" s="34" t="str">
        <f aca="false">IF($A211="","",IF($L211="Yes","VOID",IF(COUNTIFS(tblMoveTypes[Movement],$C211)=0,"Unknown movement",IF(COUNTIF(tblShipment[Shipment No],$B211)=0,"Unknown shipment",IF(AND(IFERROR(INDEX(tblMoveTypes[Item?],MATCH($C211,tblMoveTypes[Movement],0)),"?")="Yes",$E211=""),"Item needed",IF(AND(IFERROR(INDEX(tblMoveTypes[Item?],MATCH($C211,tblMoveTypes[Movement],0)),"?")="No",$E211&lt;&gt;""),"Leave Item blank",IF(AND(IFERROR(INDEX(tblMoveTypes[In / Out],MATCH($C211,tblMoveTypes[Movement],0)),"?")="IN",$G211&lt;&gt;""),"Use the In column, not Out",IF(AND(IFERROR(INDEX(tblMoveTypes[In / Out],MATCH($C211,tblMoveTypes[Movement],0)),"?")="OUT",$F211&lt;&gt;""),"Use the Out column, not In",IF(AND(IFERROR(INDEX(tblMoveTypes[Qty?],MATCH($C211,tblMoveTypes[Movement],0)),"?")="Yes",N($F211)+N($G211)&lt;=0),"Qty needed",IF(AND(IFERROR(INDEX(tblMoveTypes[Qty?],MATCH($C211,tblMoveTypes[Movement],0)),"?")="No",N($F211)+N($G211)&gt;0),"Leave In and Out blank",IF(AND(IFERROR(INDEX(tblMoveTypes[Courier?],MATCH($C211,tblMoveTypes[Movement],0)),"?")="Yes",$I211=""),"Courier needed",IF(AND(IFERROR(INDEX(tblMoveTypes[Courier?],MATCH($C211,tblMoveTypes[Movement],0)),"?")="No",$I211&lt;&gt;""),"Leave Courier blank",IF(AND(IFERROR(INDEX(tblMoveTypes[Orders?],MATCH($C211,tblMoveTypes[Movement],0)),"?")="Yes",$H211=""),"Orders needed",IF(AND(IFERROR(INDEX(tblMoveTypes[Orders?],MATCH($C211,tblMoveTypes[Movement],0)),"?")="No",$H211&lt;&gt;""),"Leave Orders blank",IF(AND(IFERROR(INDEX(tblMoveTypes[Reason?],MATCH($C211,tblMoveTypes[Movement],0)),"?")="Yes",$J211=""),"Reason needed",IF($A211&lt;_xlfn.MINIFS(tblShipment[Arrival Date],tblShipment[Shipment No],$B211),"Date before arrival",IF(AND($E211&lt;&gt;"",COUNTIFS(tblShipment[Shipment No],$B211,tblShipment[Item Name],$E211)=0),"Item not in this shipment","OK")))))))))))))))))</f>
        <v>OK</v>
      </c>
    </row>
    <row r="212" customFormat="false" ht="15" hidden="false" customHeight="false" outlineLevel="0" collapsed="false">
      <c r="A212" s="32" t="n">
        <v>46241</v>
      </c>
      <c r="B212" s="31" t="s">
        <v>163</v>
      </c>
      <c r="C212" s="31" t="s">
        <v>115</v>
      </c>
      <c r="D212" s="34" t="str">
        <f aca="false">IF($C212="","",IFERROR(IF(IFERROR(INDEX(tblMoveTypes[In / Out],MATCH($C212,tblMoveTypes[Movement],0)),"?")="IN","IN   ",IF(IFERROR(INDEX(tblMoveTypes[In / Out],MATCH($C212,tblMoveTypes[Movement],0)),"?")="OUT","OUT   ","--   "))&amp;"fill: "&amp;IF(IFERROR(INDEX(tblMoveTypes[Item?],MATCH($C212,tblMoveTypes[Movement],0)),"?")="Yes","Item  ","")&amp;IF(AND(IFERROR(INDEX(tblMoveTypes[Qty?],MATCH($C212,tblMoveTypes[Movement],0)),"?")="Yes",IFERROR(INDEX(tblMoveTypes[In / Out],MATCH($C212,tblMoveTypes[Movement],0)),"?")="IN"),"In  ","")&amp;IF(AND(IFERROR(INDEX(tblMoveTypes[Qty?],MATCH($C212,tblMoveTypes[Movement],0)),"?")="Yes",IFERROR(INDEX(tblMoveTypes[In / Out],MATCH($C212,tblMoveTypes[Movement],0)),"?")="OUT"),"Out  ","")&amp;IF(IFERROR(INDEX(tblMoveTypes[Orders?],MATCH($C212,tblMoveTypes[Movement],0)),"?")="Yes","Orders  ","")&amp;IF(IFERROR(INDEX(tblMoveTypes[Courier?],MATCH($C212,tblMoveTypes[Movement],0)),"?")="Yes","Courier  ","")&amp;IF(IFERROR(INDEX(tblMoveTypes[Reason?],MATCH($C212,tblMoveTypes[Movement],0)),"?")="Yes","Reason",""),"unknown movement"))</f>
        <v>OUT   fill: Out  Orders  Courier  </v>
      </c>
      <c r="E212" s="31"/>
      <c r="F212" s="33"/>
      <c r="G212" s="33" t="n">
        <v>38</v>
      </c>
      <c r="H212" s="33" t="n">
        <v>15</v>
      </c>
      <c r="I212" s="31" t="s">
        <v>76</v>
      </c>
      <c r="J212" s="31"/>
      <c r="K212" s="31"/>
      <c r="L212" s="31"/>
      <c r="M212" s="34" t="str">
        <f aca="false">IF($E212="","",IFERROR(INDEX(tblItems[Item Code],MATCH($E212,tblItems[Item Name],0)),"?"))</f>
        <v/>
      </c>
      <c r="N212" s="34" t="str">
        <f aca="false">IF($B212="","",IFERROR(INDEX(tblShipment[Market],MATCH($B212,tblShipment[Shipment No],0)),"?"))</f>
        <v>Qatar</v>
      </c>
      <c r="O212" s="35" t="n">
        <f aca="false">N($F212)+N($G212)</f>
        <v>38</v>
      </c>
      <c r="P212" s="34" t="str">
        <f aca="false">IF($A212="","",IF($L212="Yes","VOID",IF(COUNTIFS(tblMoveTypes[Movement],$C212)=0,"Unknown movement",IF(COUNTIF(tblShipment[Shipment No],$B212)=0,"Unknown shipment",IF(AND(IFERROR(INDEX(tblMoveTypes[Item?],MATCH($C212,tblMoveTypes[Movement],0)),"?")="Yes",$E212=""),"Item needed",IF(AND(IFERROR(INDEX(tblMoveTypes[Item?],MATCH($C212,tblMoveTypes[Movement],0)),"?")="No",$E212&lt;&gt;""),"Leave Item blank",IF(AND(IFERROR(INDEX(tblMoveTypes[In / Out],MATCH($C212,tblMoveTypes[Movement],0)),"?")="IN",$G212&lt;&gt;""),"Use the In column, not Out",IF(AND(IFERROR(INDEX(tblMoveTypes[In / Out],MATCH($C212,tblMoveTypes[Movement],0)),"?")="OUT",$F212&lt;&gt;""),"Use the Out column, not In",IF(AND(IFERROR(INDEX(tblMoveTypes[Qty?],MATCH($C212,tblMoveTypes[Movement],0)),"?")="Yes",N($F212)+N($G212)&lt;=0),"Qty needed",IF(AND(IFERROR(INDEX(tblMoveTypes[Qty?],MATCH($C212,tblMoveTypes[Movement],0)),"?")="No",N($F212)+N($G212)&gt;0),"Leave In and Out blank",IF(AND(IFERROR(INDEX(tblMoveTypes[Courier?],MATCH($C212,tblMoveTypes[Movement],0)),"?")="Yes",$I212=""),"Courier needed",IF(AND(IFERROR(INDEX(tblMoveTypes[Courier?],MATCH($C212,tblMoveTypes[Movement],0)),"?")="No",$I212&lt;&gt;""),"Leave Courier blank",IF(AND(IFERROR(INDEX(tblMoveTypes[Orders?],MATCH($C212,tblMoveTypes[Movement],0)),"?")="Yes",$H212=""),"Orders needed",IF(AND(IFERROR(INDEX(tblMoveTypes[Orders?],MATCH($C212,tblMoveTypes[Movement],0)),"?")="No",$H212&lt;&gt;""),"Leave Orders blank",IF(AND(IFERROR(INDEX(tblMoveTypes[Reason?],MATCH($C212,tblMoveTypes[Movement],0)),"?")="Yes",$J212=""),"Reason needed",IF($A212&lt;_xlfn.MINIFS(tblShipment[Arrival Date],tblShipment[Shipment No],$B212),"Date before arrival",IF(AND($E212&lt;&gt;"",COUNTIFS(tblShipment[Shipment No],$B212,tblShipment[Item Name],$E212)=0),"Item not in this shipment","OK")))))))))))))))))</f>
        <v>OK</v>
      </c>
    </row>
    <row r="213" customFormat="false" ht="15" hidden="false" customHeight="false" outlineLevel="0" collapsed="false">
      <c r="A213" s="32" t="n">
        <v>46241</v>
      </c>
      <c r="B213" s="31" t="s">
        <v>163</v>
      </c>
      <c r="C213" s="31" t="s">
        <v>120</v>
      </c>
      <c r="D213" s="34" t="str">
        <f aca="false">IF($C213="","",IFERROR(IF(IFERROR(INDEX(tblMoveTypes[In / Out],MATCH($C213,tblMoveTypes[Movement],0)),"?")="IN","IN   ",IF(IFERROR(INDEX(tblMoveTypes[In / Out],MATCH($C213,tblMoveTypes[Movement],0)),"?")="OUT","OUT   ","--   "))&amp;"fill: "&amp;IF(IFERROR(INDEX(tblMoveTypes[Item?],MATCH($C213,tblMoveTypes[Movement],0)),"?")="Yes","Item  ","")&amp;IF(AND(IFERROR(INDEX(tblMoveTypes[Qty?],MATCH($C213,tblMoveTypes[Movement],0)),"?")="Yes",IFERROR(INDEX(tblMoveTypes[In / Out],MATCH($C213,tblMoveTypes[Movement],0)),"?")="IN"),"In  ","")&amp;IF(AND(IFERROR(INDEX(tblMoveTypes[Qty?],MATCH($C213,tblMoveTypes[Movement],0)),"?")="Yes",IFERROR(INDEX(tblMoveTypes[In / Out],MATCH($C213,tblMoveTypes[Movement],0)),"?")="OUT"),"Out  ","")&amp;IF(IFERROR(INDEX(tblMoveTypes[Orders?],MATCH($C213,tblMoveTypes[Movement],0)),"?")="Yes","Orders  ","")&amp;IF(IFERROR(INDEX(tblMoveTypes[Courier?],MATCH($C213,tblMoveTypes[Movement],0)),"?")="Yes","Courier  ","")&amp;IF(IFERROR(INDEX(tblMoveTypes[Reason?],MATCH($C213,tblMoveTypes[Movement],0)),"?")="Yes","Reason",""),"unknown movement"))</f>
        <v>IN   fill: In  Orders  Courier  Reason</v>
      </c>
      <c r="E213" s="31"/>
      <c r="F213" s="33" t="n">
        <v>5</v>
      </c>
      <c r="G213" s="33"/>
      <c r="H213" s="33" t="n">
        <v>1</v>
      </c>
      <c r="I213" s="31" t="s">
        <v>76</v>
      </c>
      <c r="J213" s="31" t="s">
        <v>108</v>
      </c>
      <c r="K213" s="31"/>
      <c r="L213" s="31"/>
      <c r="M213" s="34" t="str">
        <f aca="false">IF($E213="","",IFERROR(INDEX(tblItems[Item Code],MATCH($E213,tblItems[Item Name],0)),"?"))</f>
        <v/>
      </c>
      <c r="N213" s="34" t="str">
        <f aca="false">IF($B213="","",IFERROR(INDEX(tblShipment[Market],MATCH($B213,tblShipment[Shipment No],0)),"?"))</f>
        <v>Qatar</v>
      </c>
      <c r="O213" s="35" t="n">
        <f aca="false">N($F213)+N($G213)</f>
        <v>5</v>
      </c>
      <c r="P213" s="34" t="str">
        <f aca="false">IF($A213="","",IF($L213="Yes","VOID",IF(COUNTIFS(tblMoveTypes[Movement],$C213)=0,"Unknown movement",IF(COUNTIF(tblShipment[Shipment No],$B213)=0,"Unknown shipment",IF(AND(IFERROR(INDEX(tblMoveTypes[Item?],MATCH($C213,tblMoveTypes[Movement],0)),"?")="Yes",$E213=""),"Item needed",IF(AND(IFERROR(INDEX(tblMoveTypes[Item?],MATCH($C213,tblMoveTypes[Movement],0)),"?")="No",$E213&lt;&gt;""),"Leave Item blank",IF(AND(IFERROR(INDEX(tblMoveTypes[In / Out],MATCH($C213,tblMoveTypes[Movement],0)),"?")="IN",$G213&lt;&gt;""),"Use the In column, not Out",IF(AND(IFERROR(INDEX(tblMoveTypes[In / Out],MATCH($C213,tblMoveTypes[Movement],0)),"?")="OUT",$F213&lt;&gt;""),"Use the Out column, not In",IF(AND(IFERROR(INDEX(tblMoveTypes[Qty?],MATCH($C213,tblMoveTypes[Movement],0)),"?")="Yes",N($F213)+N($G213)&lt;=0),"Qty needed",IF(AND(IFERROR(INDEX(tblMoveTypes[Qty?],MATCH($C213,tblMoveTypes[Movement],0)),"?")="No",N($F213)+N($G213)&gt;0),"Leave In and Out blank",IF(AND(IFERROR(INDEX(tblMoveTypes[Courier?],MATCH($C213,tblMoveTypes[Movement],0)),"?")="Yes",$I213=""),"Courier needed",IF(AND(IFERROR(INDEX(tblMoveTypes[Courier?],MATCH($C213,tblMoveTypes[Movement],0)),"?")="No",$I213&lt;&gt;""),"Leave Courier blank",IF(AND(IFERROR(INDEX(tblMoveTypes[Orders?],MATCH($C213,tblMoveTypes[Movement],0)),"?")="Yes",$H213=""),"Orders needed",IF(AND(IFERROR(INDEX(tblMoveTypes[Orders?],MATCH($C213,tblMoveTypes[Movement],0)),"?")="No",$H213&lt;&gt;""),"Leave Orders blank",IF(AND(IFERROR(INDEX(tblMoveTypes[Reason?],MATCH($C213,tblMoveTypes[Movement],0)),"?")="Yes",$J213=""),"Reason needed",IF($A213&lt;_xlfn.MINIFS(tblShipment[Arrival Date],tblShipment[Shipment No],$B213),"Date before arrival",IF(AND($E213&lt;&gt;"",COUNTIFS(tblShipment[Shipment No],$B213,tblShipment[Item Name],$E213)=0),"Item not in this shipment","OK")))))))))))))))))</f>
        <v>OK</v>
      </c>
    </row>
    <row r="214" customFormat="false" ht="15" hidden="false" customHeight="false" outlineLevel="0" collapsed="false">
      <c r="A214" s="32" t="n">
        <v>46241</v>
      </c>
      <c r="B214" s="31" t="s">
        <v>163</v>
      </c>
      <c r="C214" s="31" t="s">
        <v>125</v>
      </c>
      <c r="D214" s="34" t="str">
        <f aca="false">IF($C214="","",IFERROR(IF(IFERROR(INDEX(tblMoveTypes[In / Out],MATCH($C214,tblMoveTypes[Movement],0)),"?")="IN","IN   ",IF(IFERROR(INDEX(tblMoveTypes[In / Out],MATCH($C214,tblMoveTypes[Movement],0)),"?")="OUT","OUT   ","--   "))&amp;"fill: "&amp;IF(IFERROR(INDEX(tblMoveTypes[Item?],MATCH($C214,tblMoveTypes[Movement],0)),"?")="Yes","Item  ","")&amp;IF(AND(IFERROR(INDEX(tblMoveTypes[Qty?],MATCH($C214,tblMoveTypes[Movement],0)),"?")="Yes",IFERROR(INDEX(tblMoveTypes[In / Out],MATCH($C214,tblMoveTypes[Movement],0)),"?")="IN"),"In  ","")&amp;IF(AND(IFERROR(INDEX(tblMoveTypes[Qty?],MATCH($C214,tblMoveTypes[Movement],0)),"?")="Yes",IFERROR(INDEX(tblMoveTypes[In / Out],MATCH($C214,tblMoveTypes[Movement],0)),"?")="OUT"),"Out  ","")&amp;IF(IFERROR(INDEX(tblMoveTypes[Orders?],MATCH($C214,tblMoveTypes[Movement],0)),"?")="Yes","Orders  ","")&amp;IF(IFERROR(INDEX(tblMoveTypes[Courier?],MATCH($C214,tblMoveTypes[Movement],0)),"?")="Yes","Courier  ","")&amp;IF(IFERROR(INDEX(tblMoveTypes[Reason?],MATCH($C214,tblMoveTypes[Movement],0)),"?")="Yes","Reason",""),"unknown movement"))</f>
        <v>IN   fill: Item  In  </v>
      </c>
      <c r="E214" s="31" t="s">
        <v>100</v>
      </c>
      <c r="F214" s="33" t="n">
        <v>4</v>
      </c>
      <c r="G214" s="33"/>
      <c r="H214" s="33"/>
      <c r="I214" s="31"/>
      <c r="J214" s="31"/>
      <c r="K214" s="31"/>
      <c r="L214" s="31"/>
      <c r="M214" s="34" t="str">
        <f aca="false">IF($E214="","",IFERROR(INDEX(tblItems[Item Code],MATCH($E214,tblItems[Item Name],0)),"?"))</f>
        <v>EG-FG-MNG-18-02-01-01</v>
      </c>
      <c r="N214" s="34" t="str">
        <f aca="false">IF($B214="","",IFERROR(INDEX(tblShipment[Market],MATCH($B214,tblShipment[Shipment No],0)),"?"))</f>
        <v>Qatar</v>
      </c>
      <c r="O214" s="35" t="n">
        <f aca="false">N($F214)+N($G214)</f>
        <v>4</v>
      </c>
      <c r="P214" s="34" t="str">
        <f aca="false">IF($A214="","",IF($L214="Yes","VOID",IF(COUNTIFS(tblMoveTypes[Movement],$C214)=0,"Unknown movement",IF(COUNTIF(tblShipment[Shipment No],$B214)=0,"Unknown shipment",IF(AND(IFERROR(INDEX(tblMoveTypes[Item?],MATCH($C214,tblMoveTypes[Movement],0)),"?")="Yes",$E214=""),"Item needed",IF(AND(IFERROR(INDEX(tblMoveTypes[Item?],MATCH($C214,tblMoveTypes[Movement],0)),"?")="No",$E214&lt;&gt;""),"Leave Item blank",IF(AND(IFERROR(INDEX(tblMoveTypes[In / Out],MATCH($C214,tblMoveTypes[Movement],0)),"?")="IN",$G214&lt;&gt;""),"Use the In column, not Out",IF(AND(IFERROR(INDEX(tblMoveTypes[In / Out],MATCH($C214,tblMoveTypes[Movement],0)),"?")="OUT",$F214&lt;&gt;""),"Use the Out column, not In",IF(AND(IFERROR(INDEX(tblMoveTypes[Qty?],MATCH($C214,tblMoveTypes[Movement],0)),"?")="Yes",N($F214)+N($G214)&lt;=0),"Qty needed",IF(AND(IFERROR(INDEX(tblMoveTypes[Qty?],MATCH($C214,tblMoveTypes[Movement],0)),"?")="No",N($F214)+N($G214)&gt;0),"Leave In and Out blank",IF(AND(IFERROR(INDEX(tblMoveTypes[Courier?],MATCH($C214,tblMoveTypes[Movement],0)),"?")="Yes",$I214=""),"Courier needed",IF(AND(IFERROR(INDEX(tblMoveTypes[Courier?],MATCH($C214,tblMoveTypes[Movement],0)),"?")="No",$I214&lt;&gt;""),"Leave Courier blank",IF(AND(IFERROR(INDEX(tblMoveTypes[Orders?],MATCH($C214,tblMoveTypes[Movement],0)),"?")="Yes",$H214=""),"Orders needed",IF(AND(IFERROR(INDEX(tblMoveTypes[Orders?],MATCH($C214,tblMoveTypes[Movement],0)),"?")="No",$H214&lt;&gt;""),"Leave Orders blank",IF(AND(IFERROR(INDEX(tblMoveTypes[Reason?],MATCH($C214,tblMoveTypes[Movement],0)),"?")="Yes",$J214=""),"Reason needed",IF($A214&lt;_xlfn.MINIFS(tblShipment[Arrival Date],tblShipment[Shipment No],$B214),"Date before arrival",IF(AND($E214&lt;&gt;"",COUNTIFS(tblShipment[Shipment No],$B214,tblShipment[Item Name],$E214)=0),"Item not in this shipment","OK")))))))))))))))))</f>
        <v>OK</v>
      </c>
    </row>
    <row r="215" customFormat="false" ht="15" hidden="false" customHeight="false" outlineLevel="0" collapsed="false">
      <c r="A215" s="32" t="n">
        <v>46241</v>
      </c>
      <c r="B215" s="31" t="s">
        <v>163</v>
      </c>
      <c r="C215" s="31" t="s">
        <v>130</v>
      </c>
      <c r="D215" s="34" t="str">
        <f aca="false">IF($C215="","",IFERROR(IF(IFERROR(INDEX(tblMoveTypes[In / Out],MATCH($C215,tblMoveTypes[Movement],0)),"?")="IN","IN   ",IF(IFERROR(INDEX(tblMoveTypes[In / Out],MATCH($C215,tblMoveTypes[Movement],0)),"?")="OUT","OUT   ","--   "))&amp;"fill: "&amp;IF(IFERROR(INDEX(tblMoveTypes[Item?],MATCH($C215,tblMoveTypes[Movement],0)),"?")="Yes","Item  ","")&amp;IF(AND(IFERROR(INDEX(tblMoveTypes[Qty?],MATCH($C215,tblMoveTypes[Movement],0)),"?")="Yes",IFERROR(INDEX(tblMoveTypes[In / Out],MATCH($C215,tblMoveTypes[Movement],0)),"?")="IN"),"In  ","")&amp;IF(AND(IFERROR(INDEX(tblMoveTypes[Qty?],MATCH($C215,tblMoveTypes[Movement],0)),"?")="Yes",IFERROR(INDEX(tblMoveTypes[In / Out],MATCH($C215,tblMoveTypes[Movement],0)),"?")="OUT"),"Out  ","")&amp;IF(IFERROR(INDEX(tblMoveTypes[Orders?],MATCH($C215,tblMoveTypes[Movement],0)),"?")="Yes","Orders  ","")&amp;IF(IFERROR(INDEX(tblMoveTypes[Courier?],MATCH($C215,tblMoveTypes[Movement],0)),"?")="Yes","Courier  ","")&amp;IF(IFERROR(INDEX(tblMoveTypes[Reason?],MATCH($C215,tblMoveTypes[Movement],0)),"?")="Yes","Reason",""),"unknown movement"))</f>
        <v>OUT   fill: Item  Out  Reason</v>
      </c>
      <c r="E215" s="31" t="s">
        <v>100</v>
      </c>
      <c r="F215" s="33"/>
      <c r="G215" s="33" t="n">
        <v>1</v>
      </c>
      <c r="H215" s="33"/>
      <c r="I215" s="31"/>
      <c r="J215" s="31" t="s">
        <v>86</v>
      </c>
      <c r="K215" s="31"/>
      <c r="L215" s="31"/>
      <c r="M215" s="34" t="str">
        <f aca="false">IF($E215="","",IFERROR(INDEX(tblItems[Item Code],MATCH($E215,tblItems[Item Name],0)),"?"))</f>
        <v>EG-FG-MNG-18-02-01-01</v>
      </c>
      <c r="N215" s="34" t="str">
        <f aca="false">IF($B215="","",IFERROR(INDEX(tblShipment[Market],MATCH($B215,tblShipment[Shipment No],0)),"?"))</f>
        <v>Qatar</v>
      </c>
      <c r="O215" s="35" t="n">
        <f aca="false">N($F215)+N($G215)</f>
        <v>1</v>
      </c>
      <c r="P215" s="34" t="str">
        <f aca="false">IF($A215="","",IF($L215="Yes","VOID",IF(COUNTIFS(tblMoveTypes[Movement],$C215)=0,"Unknown movement",IF(COUNTIF(tblShipment[Shipment No],$B215)=0,"Unknown shipment",IF(AND(IFERROR(INDEX(tblMoveTypes[Item?],MATCH($C215,tblMoveTypes[Movement],0)),"?")="Yes",$E215=""),"Item needed",IF(AND(IFERROR(INDEX(tblMoveTypes[Item?],MATCH($C215,tblMoveTypes[Movement],0)),"?")="No",$E215&lt;&gt;""),"Leave Item blank",IF(AND(IFERROR(INDEX(tblMoveTypes[In / Out],MATCH($C215,tblMoveTypes[Movement],0)),"?")="IN",$G215&lt;&gt;""),"Use the In column, not Out",IF(AND(IFERROR(INDEX(tblMoveTypes[In / Out],MATCH($C215,tblMoveTypes[Movement],0)),"?")="OUT",$F215&lt;&gt;""),"Use the Out column, not In",IF(AND(IFERROR(INDEX(tblMoveTypes[Qty?],MATCH($C215,tblMoveTypes[Movement],0)),"?")="Yes",N($F215)+N($G215)&lt;=0),"Qty needed",IF(AND(IFERROR(INDEX(tblMoveTypes[Qty?],MATCH($C215,tblMoveTypes[Movement],0)),"?")="No",N($F215)+N($G215)&gt;0),"Leave In and Out blank",IF(AND(IFERROR(INDEX(tblMoveTypes[Courier?],MATCH($C215,tblMoveTypes[Movement],0)),"?")="Yes",$I215=""),"Courier needed",IF(AND(IFERROR(INDEX(tblMoveTypes[Courier?],MATCH($C215,tblMoveTypes[Movement],0)),"?")="No",$I215&lt;&gt;""),"Leave Courier blank",IF(AND(IFERROR(INDEX(tblMoveTypes[Orders?],MATCH($C215,tblMoveTypes[Movement],0)),"?")="Yes",$H215=""),"Orders needed",IF(AND(IFERROR(INDEX(tblMoveTypes[Orders?],MATCH($C215,tblMoveTypes[Movement],0)),"?")="No",$H215&lt;&gt;""),"Leave Orders blank",IF(AND(IFERROR(INDEX(tblMoveTypes[Reason?],MATCH($C215,tblMoveTypes[Movement],0)),"?")="Yes",$J215=""),"Reason needed",IF($A215&lt;_xlfn.MINIFS(tblShipment[Arrival Date],tblShipment[Shipment No],$B215),"Date before arrival",IF(AND($E215&lt;&gt;"",COUNTIFS(tblShipment[Shipment No],$B215,tblShipment[Item Name],$E215)=0),"Item not in this shipment","OK")))))))))))))))))</f>
        <v>OK</v>
      </c>
    </row>
    <row r="216" customFormat="false" ht="15" hidden="false" customHeight="false" outlineLevel="0" collapsed="false">
      <c r="A216" s="32" t="n">
        <v>46242</v>
      </c>
      <c r="B216" s="31" t="s">
        <v>164</v>
      </c>
      <c r="C216" s="31" t="s">
        <v>79</v>
      </c>
      <c r="D216" s="34" t="str">
        <f aca="false">IF($C216="","",IFERROR(IF(IFERROR(INDEX(tblMoveTypes[In / Out],MATCH($C216,tblMoveTypes[Movement],0)),"?")="IN","IN   ",IF(IFERROR(INDEX(tblMoveTypes[In / Out],MATCH($C216,tblMoveTypes[Movement],0)),"?")="OUT","OUT   ","--   "))&amp;"fill: "&amp;IF(IFERROR(INDEX(tblMoveTypes[Item?],MATCH($C216,tblMoveTypes[Movement],0)),"?")="Yes","Item  ","")&amp;IF(AND(IFERROR(INDEX(tblMoveTypes[Qty?],MATCH($C216,tblMoveTypes[Movement],0)),"?")="Yes",IFERROR(INDEX(tblMoveTypes[In / Out],MATCH($C216,tblMoveTypes[Movement],0)),"?")="IN"),"In  ","")&amp;IF(AND(IFERROR(INDEX(tblMoveTypes[Qty?],MATCH($C216,tblMoveTypes[Movement],0)),"?")="Yes",IFERROR(INDEX(tblMoveTypes[In / Out],MATCH($C216,tblMoveTypes[Movement],0)),"?")="OUT"),"Out  ","")&amp;IF(IFERROR(INDEX(tblMoveTypes[Orders?],MATCH($C216,tblMoveTypes[Movement],0)),"?")="Yes","Orders  ","")&amp;IF(IFERROR(INDEX(tblMoveTypes[Courier?],MATCH($C216,tblMoveTypes[Movement],0)),"?")="Yes","Courier  ","")&amp;IF(IFERROR(INDEX(tblMoveTypes[Reason?],MATCH($C216,tblMoveTypes[Movement],0)),"?")="Yes","Reason",""),"unknown movement"))</f>
        <v>IN   fill: Item  In  </v>
      </c>
      <c r="E216" s="31" t="s">
        <v>100</v>
      </c>
      <c r="F216" s="33" t="n">
        <v>35</v>
      </c>
      <c r="G216" s="33"/>
      <c r="H216" s="33"/>
      <c r="I216" s="31"/>
      <c r="J216" s="31"/>
      <c r="K216" s="31"/>
      <c r="L216" s="31"/>
      <c r="M216" s="34" t="str">
        <f aca="false">IF($E216="","",IFERROR(INDEX(tblItems[Item Code],MATCH($E216,tblItems[Item Name],0)),"?"))</f>
        <v>EG-FG-MNG-18-02-01-01</v>
      </c>
      <c r="N216" s="34" t="str">
        <f aca="false">IF($B216="","",IFERROR(INDEX(tblShipment[Market],MATCH($B216,tblShipment[Shipment No],0)),"?"))</f>
        <v>Qatar</v>
      </c>
      <c r="O216" s="35" t="n">
        <f aca="false">N($F216)+N($G216)</f>
        <v>35</v>
      </c>
      <c r="P216" s="34" t="str">
        <f aca="false">IF($A216="","",IF($L216="Yes","VOID",IF(COUNTIFS(tblMoveTypes[Movement],$C216)=0,"Unknown movement",IF(COUNTIF(tblShipment[Shipment No],$B216)=0,"Unknown shipment",IF(AND(IFERROR(INDEX(tblMoveTypes[Item?],MATCH($C216,tblMoveTypes[Movement],0)),"?")="Yes",$E216=""),"Item needed",IF(AND(IFERROR(INDEX(tblMoveTypes[Item?],MATCH($C216,tblMoveTypes[Movement],0)),"?")="No",$E216&lt;&gt;""),"Leave Item blank",IF(AND(IFERROR(INDEX(tblMoveTypes[In / Out],MATCH($C216,tblMoveTypes[Movement],0)),"?")="IN",$G216&lt;&gt;""),"Use the In column, not Out",IF(AND(IFERROR(INDEX(tblMoveTypes[In / Out],MATCH($C216,tblMoveTypes[Movement],0)),"?")="OUT",$F216&lt;&gt;""),"Use the Out column, not In",IF(AND(IFERROR(INDEX(tblMoveTypes[Qty?],MATCH($C216,tblMoveTypes[Movement],0)),"?")="Yes",N($F216)+N($G216)&lt;=0),"Qty needed",IF(AND(IFERROR(INDEX(tblMoveTypes[Qty?],MATCH($C216,tblMoveTypes[Movement],0)),"?")="No",N($F216)+N($G216)&gt;0),"Leave In and Out blank",IF(AND(IFERROR(INDEX(tblMoveTypes[Courier?],MATCH($C216,tblMoveTypes[Movement],0)),"?")="Yes",$I216=""),"Courier needed",IF(AND(IFERROR(INDEX(tblMoveTypes[Courier?],MATCH($C216,tblMoveTypes[Movement],0)),"?")="No",$I216&lt;&gt;""),"Leave Courier blank",IF(AND(IFERROR(INDEX(tblMoveTypes[Orders?],MATCH($C216,tblMoveTypes[Movement],0)),"?")="Yes",$H216=""),"Orders needed",IF(AND(IFERROR(INDEX(tblMoveTypes[Orders?],MATCH($C216,tblMoveTypes[Movement],0)),"?")="No",$H216&lt;&gt;""),"Leave Orders blank",IF(AND(IFERROR(INDEX(tblMoveTypes[Reason?],MATCH($C216,tblMoveTypes[Movement],0)),"?")="Yes",$J216=""),"Reason needed",IF($A216&lt;_xlfn.MINIFS(tblShipment[Arrival Date],tblShipment[Shipment No],$B216),"Date before arrival",IF(AND($E216&lt;&gt;"",COUNTIFS(tblShipment[Shipment No],$B216,tblShipment[Item Name],$E216)=0),"Item not in this shipment","OK")))))))))))))))))</f>
        <v>OK</v>
      </c>
    </row>
    <row r="217" customFormat="false" ht="15" hidden="false" customHeight="false" outlineLevel="0" collapsed="false">
      <c r="A217" s="32" t="n">
        <v>46242</v>
      </c>
      <c r="B217" s="31" t="s">
        <v>164</v>
      </c>
      <c r="C217" s="31" t="s">
        <v>78</v>
      </c>
      <c r="D217" s="34" t="str">
        <f aca="false">IF($C217="","",IFERROR(IF(IFERROR(INDEX(tblMoveTypes[In / Out],MATCH($C217,tblMoveTypes[Movement],0)),"?")="IN","IN   ",IF(IFERROR(INDEX(tblMoveTypes[In / Out],MATCH($C217,tblMoveTypes[Movement],0)),"?")="OUT","OUT   ","--   "))&amp;"fill: "&amp;IF(IFERROR(INDEX(tblMoveTypes[Item?],MATCH($C217,tblMoveTypes[Movement],0)),"?")="Yes","Item  ","")&amp;IF(AND(IFERROR(INDEX(tblMoveTypes[Qty?],MATCH($C217,tblMoveTypes[Movement],0)),"?")="Yes",IFERROR(INDEX(tblMoveTypes[In / Out],MATCH($C217,tblMoveTypes[Movement],0)),"?")="IN"),"In  ","")&amp;IF(AND(IFERROR(INDEX(tblMoveTypes[Qty?],MATCH($C217,tblMoveTypes[Movement],0)),"?")="Yes",IFERROR(INDEX(tblMoveTypes[In / Out],MATCH($C217,tblMoveTypes[Movement],0)),"?")="OUT"),"Out  ","")&amp;IF(IFERROR(INDEX(tblMoveTypes[Orders?],MATCH($C217,tblMoveTypes[Movement],0)),"?")="Yes","Orders  ","")&amp;IF(IFERROR(INDEX(tblMoveTypes[Courier?],MATCH($C217,tblMoveTypes[Movement],0)),"?")="Yes","Courier  ","")&amp;IF(IFERROR(INDEX(tblMoveTypes[Reason?],MATCH($C217,tblMoveTypes[Movement],0)),"?")="Yes","Reason",""),"unknown movement"))</f>
        <v>OUT   fill: Item  Out  Reason</v>
      </c>
      <c r="E217" s="31" t="s">
        <v>100</v>
      </c>
      <c r="F217" s="33"/>
      <c r="G217" s="33" t="n">
        <v>1</v>
      </c>
      <c r="H217" s="33"/>
      <c r="I217" s="31"/>
      <c r="J217" s="31" t="s">
        <v>86</v>
      </c>
      <c r="K217" s="31"/>
      <c r="L217" s="31"/>
      <c r="M217" s="34" t="str">
        <f aca="false">IF($E217="","",IFERROR(INDEX(tblItems[Item Code],MATCH($E217,tblItems[Item Name],0)),"?"))</f>
        <v>EG-FG-MNG-18-02-01-01</v>
      </c>
      <c r="N217" s="34" t="str">
        <f aca="false">IF($B217="","",IFERROR(INDEX(tblShipment[Market],MATCH($B217,tblShipment[Shipment No],0)),"?"))</f>
        <v>Qatar</v>
      </c>
      <c r="O217" s="35" t="n">
        <f aca="false">N($F217)+N($G217)</f>
        <v>1</v>
      </c>
      <c r="P217" s="34" t="str">
        <f aca="false">IF($A217="","",IF($L217="Yes","VOID",IF(COUNTIFS(tblMoveTypes[Movement],$C217)=0,"Unknown movement",IF(COUNTIF(tblShipment[Shipment No],$B217)=0,"Unknown shipment",IF(AND(IFERROR(INDEX(tblMoveTypes[Item?],MATCH($C217,tblMoveTypes[Movement],0)),"?")="Yes",$E217=""),"Item needed",IF(AND(IFERROR(INDEX(tblMoveTypes[Item?],MATCH($C217,tblMoveTypes[Movement],0)),"?")="No",$E217&lt;&gt;""),"Leave Item blank",IF(AND(IFERROR(INDEX(tblMoveTypes[In / Out],MATCH($C217,tblMoveTypes[Movement],0)),"?")="IN",$G217&lt;&gt;""),"Use the In column, not Out",IF(AND(IFERROR(INDEX(tblMoveTypes[In / Out],MATCH($C217,tblMoveTypes[Movement],0)),"?")="OUT",$F217&lt;&gt;""),"Use the Out column, not In",IF(AND(IFERROR(INDEX(tblMoveTypes[Qty?],MATCH($C217,tblMoveTypes[Movement],0)),"?")="Yes",N($F217)+N($G217)&lt;=0),"Qty needed",IF(AND(IFERROR(INDEX(tblMoveTypes[Qty?],MATCH($C217,tblMoveTypes[Movement],0)),"?")="No",N($F217)+N($G217)&gt;0),"Leave In and Out blank",IF(AND(IFERROR(INDEX(tblMoveTypes[Courier?],MATCH($C217,tblMoveTypes[Movement],0)),"?")="Yes",$I217=""),"Courier needed",IF(AND(IFERROR(INDEX(tblMoveTypes[Courier?],MATCH($C217,tblMoveTypes[Movement],0)),"?")="No",$I217&lt;&gt;""),"Leave Courier blank",IF(AND(IFERROR(INDEX(tblMoveTypes[Orders?],MATCH($C217,tblMoveTypes[Movement],0)),"?")="Yes",$H217=""),"Orders needed",IF(AND(IFERROR(INDEX(tblMoveTypes[Orders?],MATCH($C217,tblMoveTypes[Movement],0)),"?")="No",$H217&lt;&gt;""),"Leave Orders blank",IF(AND(IFERROR(INDEX(tblMoveTypes[Reason?],MATCH($C217,tblMoveTypes[Movement],0)),"?")="Yes",$J217=""),"Reason needed",IF($A217&lt;_xlfn.MINIFS(tblShipment[Arrival Date],tblShipment[Shipment No],$B217),"Date before arrival",IF(AND($E217&lt;&gt;"",COUNTIFS(tblShipment[Shipment No],$B217,tblShipment[Item Name],$E217)=0),"Item not in this shipment","OK")))))))))))))))))</f>
        <v>OK</v>
      </c>
    </row>
    <row r="218" customFormat="false" ht="15" hidden="false" customHeight="false" outlineLevel="0" collapsed="false">
      <c r="A218" s="32" t="n">
        <v>46242</v>
      </c>
      <c r="B218" s="31" t="s">
        <v>164</v>
      </c>
      <c r="C218" s="31" t="s">
        <v>79</v>
      </c>
      <c r="D218" s="34" t="str">
        <f aca="false">IF($C218="","",IFERROR(IF(IFERROR(INDEX(tblMoveTypes[In / Out],MATCH($C218,tblMoveTypes[Movement],0)),"?")="IN","IN   ",IF(IFERROR(INDEX(tblMoveTypes[In / Out],MATCH($C218,tblMoveTypes[Movement],0)),"?")="OUT","OUT   ","--   "))&amp;"fill: "&amp;IF(IFERROR(INDEX(tblMoveTypes[Item?],MATCH($C218,tblMoveTypes[Movement],0)),"?")="Yes","Item  ","")&amp;IF(AND(IFERROR(INDEX(tblMoveTypes[Qty?],MATCH($C218,tblMoveTypes[Movement],0)),"?")="Yes",IFERROR(INDEX(tblMoveTypes[In / Out],MATCH($C218,tblMoveTypes[Movement],0)),"?")="IN"),"In  ","")&amp;IF(AND(IFERROR(INDEX(tblMoveTypes[Qty?],MATCH($C218,tblMoveTypes[Movement],0)),"?")="Yes",IFERROR(INDEX(tblMoveTypes[In / Out],MATCH($C218,tblMoveTypes[Movement],0)),"?")="OUT"),"Out  ","")&amp;IF(IFERROR(INDEX(tblMoveTypes[Orders?],MATCH($C218,tblMoveTypes[Movement],0)),"?")="Yes","Orders  ","")&amp;IF(IFERROR(INDEX(tblMoveTypes[Courier?],MATCH($C218,tblMoveTypes[Movement],0)),"?")="Yes","Courier  ","")&amp;IF(IFERROR(INDEX(tblMoveTypes[Reason?],MATCH($C218,tblMoveTypes[Movement],0)),"?")="Yes","Reason",""),"unknown movement"))</f>
        <v>IN   fill: Item  In  </v>
      </c>
      <c r="E218" s="31" t="s">
        <v>112</v>
      </c>
      <c r="F218" s="33" t="n">
        <v>35</v>
      </c>
      <c r="G218" s="33"/>
      <c r="H218" s="33"/>
      <c r="I218" s="31"/>
      <c r="J218" s="31"/>
      <c r="K218" s="31"/>
      <c r="L218" s="31"/>
      <c r="M218" s="34" t="str">
        <f aca="false">IF($E218="","",IFERROR(INDEX(tblItems[Item Code],MATCH($E218,tblItems[Item Name],0)),"?"))</f>
        <v>BOX-TRIO-01</v>
      </c>
      <c r="N218" s="34" t="str">
        <f aca="false">IF($B218="","",IFERROR(INDEX(tblShipment[Market],MATCH($B218,tblShipment[Shipment No],0)),"?"))</f>
        <v>Qatar</v>
      </c>
      <c r="O218" s="35" t="n">
        <f aca="false">N($F218)+N($G218)</f>
        <v>35</v>
      </c>
      <c r="P218" s="34" t="str">
        <f aca="false">IF($A218="","",IF($L218="Yes","VOID",IF(COUNTIFS(tblMoveTypes[Movement],$C218)=0,"Unknown movement",IF(COUNTIF(tblShipment[Shipment No],$B218)=0,"Unknown shipment",IF(AND(IFERROR(INDEX(tblMoveTypes[Item?],MATCH($C218,tblMoveTypes[Movement],0)),"?")="Yes",$E218=""),"Item needed",IF(AND(IFERROR(INDEX(tblMoveTypes[Item?],MATCH($C218,tblMoveTypes[Movement],0)),"?")="No",$E218&lt;&gt;""),"Leave Item blank",IF(AND(IFERROR(INDEX(tblMoveTypes[In / Out],MATCH($C218,tblMoveTypes[Movement],0)),"?")="IN",$G218&lt;&gt;""),"Use the In column, not Out",IF(AND(IFERROR(INDEX(tblMoveTypes[In / Out],MATCH($C218,tblMoveTypes[Movement],0)),"?")="OUT",$F218&lt;&gt;""),"Use the Out column, not In",IF(AND(IFERROR(INDEX(tblMoveTypes[Qty?],MATCH($C218,tblMoveTypes[Movement],0)),"?")="Yes",N($F218)+N($G218)&lt;=0),"Qty needed",IF(AND(IFERROR(INDEX(tblMoveTypes[Qty?],MATCH($C218,tblMoveTypes[Movement],0)),"?")="No",N($F218)+N($G218)&gt;0),"Leave In and Out blank",IF(AND(IFERROR(INDEX(tblMoveTypes[Courier?],MATCH($C218,tblMoveTypes[Movement],0)),"?")="Yes",$I218=""),"Courier needed",IF(AND(IFERROR(INDEX(tblMoveTypes[Courier?],MATCH($C218,tblMoveTypes[Movement],0)),"?")="No",$I218&lt;&gt;""),"Leave Courier blank",IF(AND(IFERROR(INDEX(tblMoveTypes[Orders?],MATCH($C218,tblMoveTypes[Movement],0)),"?")="Yes",$H218=""),"Orders needed",IF(AND(IFERROR(INDEX(tblMoveTypes[Orders?],MATCH($C218,tblMoveTypes[Movement],0)),"?")="No",$H218&lt;&gt;""),"Leave Orders blank",IF(AND(IFERROR(INDEX(tblMoveTypes[Reason?],MATCH($C218,tblMoveTypes[Movement],0)),"?")="Yes",$J218=""),"Reason needed",IF($A218&lt;_xlfn.MINIFS(tblShipment[Arrival Date],tblShipment[Shipment No],$B218),"Date before arrival",IF(AND($E218&lt;&gt;"",COUNTIFS(tblShipment[Shipment No],$B218,tblShipment[Item Name],$E218)=0),"Item not in this shipment","OK")))))))))))))))))</f>
        <v>OK</v>
      </c>
    </row>
    <row r="219" customFormat="false" ht="15" hidden="false" customHeight="false" outlineLevel="0" collapsed="false">
      <c r="A219" s="32" t="n">
        <v>46242</v>
      </c>
      <c r="B219" s="31" t="s">
        <v>164</v>
      </c>
      <c r="C219" s="31" t="s">
        <v>78</v>
      </c>
      <c r="D219" s="34" t="str">
        <f aca="false">IF($C219="","",IFERROR(IF(IFERROR(INDEX(tblMoveTypes[In / Out],MATCH($C219,tblMoveTypes[Movement],0)),"?")="IN","IN   ",IF(IFERROR(INDEX(tblMoveTypes[In / Out],MATCH($C219,tblMoveTypes[Movement],0)),"?")="OUT","OUT   ","--   "))&amp;"fill: "&amp;IF(IFERROR(INDEX(tblMoveTypes[Item?],MATCH($C219,tblMoveTypes[Movement],0)),"?")="Yes","Item  ","")&amp;IF(AND(IFERROR(INDEX(tblMoveTypes[Qty?],MATCH($C219,tblMoveTypes[Movement],0)),"?")="Yes",IFERROR(INDEX(tblMoveTypes[In / Out],MATCH($C219,tblMoveTypes[Movement],0)),"?")="IN"),"In  ","")&amp;IF(AND(IFERROR(INDEX(tblMoveTypes[Qty?],MATCH($C219,tblMoveTypes[Movement],0)),"?")="Yes",IFERROR(INDEX(tblMoveTypes[In / Out],MATCH($C219,tblMoveTypes[Movement],0)),"?")="OUT"),"Out  ","")&amp;IF(IFERROR(INDEX(tblMoveTypes[Orders?],MATCH($C219,tblMoveTypes[Movement],0)),"?")="Yes","Orders  ","")&amp;IF(IFERROR(INDEX(tblMoveTypes[Courier?],MATCH($C219,tblMoveTypes[Movement],0)),"?")="Yes","Courier  ","")&amp;IF(IFERROR(INDEX(tblMoveTypes[Reason?],MATCH($C219,tblMoveTypes[Movement],0)),"?")="Yes","Reason",""),"unknown movement"))</f>
        <v>OUT   fill: Item  Out  Reason</v>
      </c>
      <c r="E219" s="31" t="s">
        <v>112</v>
      </c>
      <c r="F219" s="33"/>
      <c r="G219" s="33" t="n">
        <v>1</v>
      </c>
      <c r="H219" s="33"/>
      <c r="I219" s="31"/>
      <c r="J219" s="31" t="s">
        <v>77</v>
      </c>
      <c r="K219" s="31"/>
      <c r="L219" s="31"/>
      <c r="M219" s="34" t="str">
        <f aca="false">IF($E219="","",IFERROR(INDEX(tblItems[Item Code],MATCH($E219,tblItems[Item Name],0)),"?"))</f>
        <v>BOX-TRIO-01</v>
      </c>
      <c r="N219" s="34" t="str">
        <f aca="false">IF($B219="","",IFERROR(INDEX(tblShipment[Market],MATCH($B219,tblShipment[Shipment No],0)),"?"))</f>
        <v>Qatar</v>
      </c>
      <c r="O219" s="35" t="n">
        <f aca="false">N($F219)+N($G219)</f>
        <v>1</v>
      </c>
      <c r="P219" s="34" t="str">
        <f aca="false">IF($A219="","",IF($L219="Yes","VOID",IF(COUNTIFS(tblMoveTypes[Movement],$C219)=0,"Unknown movement",IF(COUNTIF(tblShipment[Shipment No],$B219)=0,"Unknown shipment",IF(AND(IFERROR(INDEX(tblMoveTypes[Item?],MATCH($C219,tblMoveTypes[Movement],0)),"?")="Yes",$E219=""),"Item needed",IF(AND(IFERROR(INDEX(tblMoveTypes[Item?],MATCH($C219,tblMoveTypes[Movement],0)),"?")="No",$E219&lt;&gt;""),"Leave Item blank",IF(AND(IFERROR(INDEX(tblMoveTypes[In / Out],MATCH($C219,tblMoveTypes[Movement],0)),"?")="IN",$G219&lt;&gt;""),"Use the In column, not Out",IF(AND(IFERROR(INDEX(tblMoveTypes[In / Out],MATCH($C219,tblMoveTypes[Movement],0)),"?")="OUT",$F219&lt;&gt;""),"Use the Out column, not In",IF(AND(IFERROR(INDEX(tblMoveTypes[Qty?],MATCH($C219,tblMoveTypes[Movement],0)),"?")="Yes",N($F219)+N($G219)&lt;=0),"Qty needed",IF(AND(IFERROR(INDEX(tblMoveTypes[Qty?],MATCH($C219,tblMoveTypes[Movement],0)),"?")="No",N($F219)+N($G219)&gt;0),"Leave In and Out blank",IF(AND(IFERROR(INDEX(tblMoveTypes[Courier?],MATCH($C219,tblMoveTypes[Movement],0)),"?")="Yes",$I219=""),"Courier needed",IF(AND(IFERROR(INDEX(tblMoveTypes[Courier?],MATCH($C219,tblMoveTypes[Movement],0)),"?")="No",$I219&lt;&gt;""),"Leave Courier blank",IF(AND(IFERROR(INDEX(tblMoveTypes[Orders?],MATCH($C219,tblMoveTypes[Movement],0)),"?")="Yes",$H219=""),"Orders needed",IF(AND(IFERROR(INDEX(tblMoveTypes[Orders?],MATCH($C219,tblMoveTypes[Movement],0)),"?")="No",$H219&lt;&gt;""),"Leave Orders blank",IF(AND(IFERROR(INDEX(tblMoveTypes[Reason?],MATCH($C219,tblMoveTypes[Movement],0)),"?")="Yes",$J219=""),"Reason needed",IF($A219&lt;_xlfn.MINIFS(tblShipment[Arrival Date],tblShipment[Shipment No],$B219),"Date before arrival",IF(AND($E219&lt;&gt;"",COUNTIFS(tblShipment[Shipment No],$B219,tblShipment[Item Name],$E219)=0),"Item not in this shipment","OK")))))))))))))))))</f>
        <v>OK</v>
      </c>
    </row>
    <row r="220" customFormat="false" ht="15" hidden="false" customHeight="false" outlineLevel="0" collapsed="false">
      <c r="A220" s="32" t="n">
        <v>46242</v>
      </c>
      <c r="B220" s="31" t="s">
        <v>164</v>
      </c>
      <c r="C220" s="31" t="s">
        <v>79</v>
      </c>
      <c r="D220" s="34" t="str">
        <f aca="false">IF($C220="","",IFERROR(IF(IFERROR(INDEX(tblMoveTypes[In / Out],MATCH($C220,tblMoveTypes[Movement],0)),"?")="IN","IN   ",IF(IFERROR(INDEX(tblMoveTypes[In / Out],MATCH($C220,tblMoveTypes[Movement],0)),"?")="OUT","OUT   ","--   "))&amp;"fill: "&amp;IF(IFERROR(INDEX(tblMoveTypes[Item?],MATCH($C220,tblMoveTypes[Movement],0)),"?")="Yes","Item  ","")&amp;IF(AND(IFERROR(INDEX(tblMoveTypes[Qty?],MATCH($C220,tblMoveTypes[Movement],0)),"?")="Yes",IFERROR(INDEX(tblMoveTypes[In / Out],MATCH($C220,tblMoveTypes[Movement],0)),"?")="IN"),"In  ","")&amp;IF(AND(IFERROR(INDEX(tblMoveTypes[Qty?],MATCH($C220,tblMoveTypes[Movement],0)),"?")="Yes",IFERROR(INDEX(tblMoveTypes[In / Out],MATCH($C220,tblMoveTypes[Movement],0)),"?")="OUT"),"Out  ","")&amp;IF(IFERROR(INDEX(tblMoveTypes[Orders?],MATCH($C220,tblMoveTypes[Movement],0)),"?")="Yes","Orders  ","")&amp;IF(IFERROR(INDEX(tblMoveTypes[Courier?],MATCH($C220,tblMoveTypes[Movement],0)),"?")="Yes","Courier  ","")&amp;IF(IFERROR(INDEX(tblMoveTypes[Reason?],MATCH($C220,tblMoveTypes[Movement],0)),"?")="Yes","Reason",""),"unknown movement"))</f>
        <v>IN   fill: Item  In  </v>
      </c>
      <c r="E220" s="31" t="s">
        <v>72</v>
      </c>
      <c r="F220" s="33" t="n">
        <v>145</v>
      </c>
      <c r="G220" s="33"/>
      <c r="H220" s="33"/>
      <c r="I220" s="31"/>
      <c r="J220" s="31"/>
      <c r="K220" s="31"/>
      <c r="L220" s="31"/>
      <c r="M220" s="34" t="str">
        <f aca="false">IF($E220="","",IFERROR(INDEX(tblItems[Item Code],MATCH($E220,tblItems[Item Name],0)),"?"))</f>
        <v>EG-FG-MNG-05-02-01-01</v>
      </c>
      <c r="N220" s="34" t="str">
        <f aca="false">IF($B220="","",IFERROR(INDEX(tblShipment[Market],MATCH($B220,tblShipment[Shipment No],0)),"?"))</f>
        <v>Qatar</v>
      </c>
      <c r="O220" s="35" t="n">
        <f aca="false">N($F220)+N($G220)</f>
        <v>145</v>
      </c>
      <c r="P220" s="34" t="str">
        <f aca="false">IF($A220="","",IF($L220="Yes","VOID",IF(COUNTIFS(tblMoveTypes[Movement],$C220)=0,"Unknown movement",IF(COUNTIF(tblShipment[Shipment No],$B220)=0,"Unknown shipment",IF(AND(IFERROR(INDEX(tblMoveTypes[Item?],MATCH($C220,tblMoveTypes[Movement],0)),"?")="Yes",$E220=""),"Item needed",IF(AND(IFERROR(INDEX(tblMoveTypes[Item?],MATCH($C220,tblMoveTypes[Movement],0)),"?")="No",$E220&lt;&gt;""),"Leave Item blank",IF(AND(IFERROR(INDEX(tblMoveTypes[In / Out],MATCH($C220,tblMoveTypes[Movement],0)),"?")="IN",$G220&lt;&gt;""),"Use the In column, not Out",IF(AND(IFERROR(INDEX(tblMoveTypes[In / Out],MATCH($C220,tblMoveTypes[Movement],0)),"?")="OUT",$F220&lt;&gt;""),"Use the Out column, not In",IF(AND(IFERROR(INDEX(tblMoveTypes[Qty?],MATCH($C220,tblMoveTypes[Movement],0)),"?")="Yes",N($F220)+N($G220)&lt;=0),"Qty needed",IF(AND(IFERROR(INDEX(tblMoveTypes[Qty?],MATCH($C220,tblMoveTypes[Movement],0)),"?")="No",N($F220)+N($G220)&gt;0),"Leave In and Out blank",IF(AND(IFERROR(INDEX(tblMoveTypes[Courier?],MATCH($C220,tblMoveTypes[Movement],0)),"?")="Yes",$I220=""),"Courier needed",IF(AND(IFERROR(INDEX(tblMoveTypes[Courier?],MATCH($C220,tblMoveTypes[Movement],0)),"?")="No",$I220&lt;&gt;""),"Leave Courier blank",IF(AND(IFERROR(INDEX(tblMoveTypes[Orders?],MATCH($C220,tblMoveTypes[Movement],0)),"?")="Yes",$H220=""),"Orders needed",IF(AND(IFERROR(INDEX(tblMoveTypes[Orders?],MATCH($C220,tblMoveTypes[Movement],0)),"?")="No",$H220&lt;&gt;""),"Leave Orders blank",IF(AND(IFERROR(INDEX(tblMoveTypes[Reason?],MATCH($C220,tblMoveTypes[Movement],0)),"?")="Yes",$J220=""),"Reason needed",IF($A220&lt;_xlfn.MINIFS(tblShipment[Arrival Date],tblShipment[Shipment No],$B220),"Date before arrival",IF(AND($E220&lt;&gt;"",COUNTIFS(tblShipment[Shipment No],$B220,tblShipment[Item Name],$E220)=0),"Item not in this shipment","OK")))))))))))))))))</f>
        <v>OK</v>
      </c>
    </row>
    <row r="221" customFormat="false" ht="15" hidden="false" customHeight="false" outlineLevel="0" collapsed="false">
      <c r="A221" s="32" t="n">
        <v>46242</v>
      </c>
      <c r="B221" s="31" t="s">
        <v>164</v>
      </c>
      <c r="C221" s="31" t="s">
        <v>78</v>
      </c>
      <c r="D221" s="34" t="str">
        <f aca="false">IF($C221="","",IFERROR(IF(IFERROR(INDEX(tblMoveTypes[In / Out],MATCH($C221,tblMoveTypes[Movement],0)),"?")="IN","IN   ",IF(IFERROR(INDEX(tblMoveTypes[In / Out],MATCH($C221,tblMoveTypes[Movement],0)),"?")="OUT","OUT   ","--   "))&amp;"fill: "&amp;IF(IFERROR(INDEX(tblMoveTypes[Item?],MATCH($C221,tblMoveTypes[Movement],0)),"?")="Yes","Item  ","")&amp;IF(AND(IFERROR(INDEX(tblMoveTypes[Qty?],MATCH($C221,tblMoveTypes[Movement],0)),"?")="Yes",IFERROR(INDEX(tblMoveTypes[In / Out],MATCH($C221,tblMoveTypes[Movement],0)),"?")="IN"),"In  ","")&amp;IF(AND(IFERROR(INDEX(tblMoveTypes[Qty?],MATCH($C221,tblMoveTypes[Movement],0)),"?")="Yes",IFERROR(INDEX(tblMoveTypes[In / Out],MATCH($C221,tblMoveTypes[Movement],0)),"?")="OUT"),"Out  ","")&amp;IF(IFERROR(INDEX(tblMoveTypes[Orders?],MATCH($C221,tblMoveTypes[Movement],0)),"?")="Yes","Orders  ","")&amp;IF(IFERROR(INDEX(tblMoveTypes[Courier?],MATCH($C221,tblMoveTypes[Movement],0)),"?")="Yes","Courier  ","")&amp;IF(IFERROR(INDEX(tblMoveTypes[Reason?],MATCH($C221,tblMoveTypes[Movement],0)),"?")="Yes","Reason",""),"unknown movement"))</f>
        <v>OUT   fill: Item  Out  Reason</v>
      </c>
      <c r="E221" s="31" t="s">
        <v>72</v>
      </c>
      <c r="F221" s="33"/>
      <c r="G221" s="33" t="n">
        <v>2</v>
      </c>
      <c r="H221" s="33"/>
      <c r="I221" s="31"/>
      <c r="J221" s="31" t="s">
        <v>86</v>
      </c>
      <c r="K221" s="31"/>
      <c r="L221" s="31"/>
      <c r="M221" s="34" t="str">
        <f aca="false">IF($E221="","",IFERROR(INDEX(tblItems[Item Code],MATCH($E221,tblItems[Item Name],0)),"?"))</f>
        <v>EG-FG-MNG-05-02-01-01</v>
      </c>
      <c r="N221" s="34" t="str">
        <f aca="false">IF($B221="","",IFERROR(INDEX(tblShipment[Market],MATCH($B221,tblShipment[Shipment No],0)),"?"))</f>
        <v>Qatar</v>
      </c>
      <c r="O221" s="35" t="n">
        <f aca="false">N($F221)+N($G221)</f>
        <v>2</v>
      </c>
      <c r="P221" s="34" t="str">
        <f aca="false">IF($A221="","",IF($L221="Yes","VOID",IF(COUNTIFS(tblMoveTypes[Movement],$C221)=0,"Unknown movement",IF(COUNTIF(tblShipment[Shipment No],$B221)=0,"Unknown shipment",IF(AND(IFERROR(INDEX(tblMoveTypes[Item?],MATCH($C221,tblMoveTypes[Movement],0)),"?")="Yes",$E221=""),"Item needed",IF(AND(IFERROR(INDEX(tblMoveTypes[Item?],MATCH($C221,tblMoveTypes[Movement],0)),"?")="No",$E221&lt;&gt;""),"Leave Item blank",IF(AND(IFERROR(INDEX(tblMoveTypes[In / Out],MATCH($C221,tblMoveTypes[Movement],0)),"?")="IN",$G221&lt;&gt;""),"Use the In column, not Out",IF(AND(IFERROR(INDEX(tblMoveTypes[In / Out],MATCH($C221,tblMoveTypes[Movement],0)),"?")="OUT",$F221&lt;&gt;""),"Use the Out column, not In",IF(AND(IFERROR(INDEX(tblMoveTypes[Qty?],MATCH($C221,tblMoveTypes[Movement],0)),"?")="Yes",N($F221)+N($G221)&lt;=0),"Qty needed",IF(AND(IFERROR(INDEX(tblMoveTypes[Qty?],MATCH($C221,tblMoveTypes[Movement],0)),"?")="No",N($F221)+N($G221)&gt;0),"Leave In and Out blank",IF(AND(IFERROR(INDEX(tblMoveTypes[Courier?],MATCH($C221,tblMoveTypes[Movement],0)),"?")="Yes",$I221=""),"Courier needed",IF(AND(IFERROR(INDEX(tblMoveTypes[Courier?],MATCH($C221,tblMoveTypes[Movement],0)),"?")="No",$I221&lt;&gt;""),"Leave Courier blank",IF(AND(IFERROR(INDEX(tblMoveTypes[Orders?],MATCH($C221,tblMoveTypes[Movement],0)),"?")="Yes",$H221=""),"Orders needed",IF(AND(IFERROR(INDEX(tblMoveTypes[Orders?],MATCH($C221,tblMoveTypes[Movement],0)),"?")="No",$H221&lt;&gt;""),"Leave Orders blank",IF(AND(IFERROR(INDEX(tblMoveTypes[Reason?],MATCH($C221,tblMoveTypes[Movement],0)),"?")="Yes",$J221=""),"Reason needed",IF($A221&lt;_xlfn.MINIFS(tblShipment[Arrival Date],tblShipment[Shipment No],$B221),"Date before arrival",IF(AND($E221&lt;&gt;"",COUNTIFS(tblShipment[Shipment No],$B221,tblShipment[Item Name],$E221)=0),"Item not in this shipment","OK")))))))))))))))))</f>
        <v>OK</v>
      </c>
    </row>
    <row r="222" customFormat="false" ht="15" hidden="false" customHeight="false" outlineLevel="0" collapsed="false">
      <c r="A222" s="32" t="n">
        <v>46242</v>
      </c>
      <c r="B222" s="31" t="s">
        <v>164</v>
      </c>
      <c r="C222" s="31" t="s">
        <v>79</v>
      </c>
      <c r="D222" s="34" t="str">
        <f aca="false">IF($C222="","",IFERROR(IF(IFERROR(INDEX(tblMoveTypes[In / Out],MATCH($C222,tblMoveTypes[Movement],0)),"?")="IN","IN   ",IF(IFERROR(INDEX(tblMoveTypes[In / Out],MATCH($C222,tblMoveTypes[Movement],0)),"?")="OUT","OUT   ","--   "))&amp;"fill: "&amp;IF(IFERROR(INDEX(tblMoveTypes[Item?],MATCH($C222,tblMoveTypes[Movement],0)),"?")="Yes","Item  ","")&amp;IF(AND(IFERROR(INDEX(tblMoveTypes[Qty?],MATCH($C222,tblMoveTypes[Movement],0)),"?")="Yes",IFERROR(INDEX(tblMoveTypes[In / Out],MATCH($C222,tblMoveTypes[Movement],0)),"?")="IN"),"In  ","")&amp;IF(AND(IFERROR(INDEX(tblMoveTypes[Qty?],MATCH($C222,tblMoveTypes[Movement],0)),"?")="Yes",IFERROR(INDEX(tblMoveTypes[In / Out],MATCH($C222,tblMoveTypes[Movement],0)),"?")="OUT"),"Out  ","")&amp;IF(IFERROR(INDEX(tblMoveTypes[Orders?],MATCH($C222,tblMoveTypes[Movement],0)),"?")="Yes","Orders  ","")&amp;IF(IFERROR(INDEX(tblMoveTypes[Courier?],MATCH($C222,tblMoveTypes[Movement],0)),"?")="Yes","Courier  ","")&amp;IF(IFERROR(INDEX(tblMoveTypes[Reason?],MATCH($C222,tblMoveTypes[Movement],0)),"?")="Yes","Reason",""),"unknown movement"))</f>
        <v>IN   fill: Item  In  </v>
      </c>
      <c r="E222" s="31" t="s">
        <v>137</v>
      </c>
      <c r="F222" s="33" t="n">
        <v>20</v>
      </c>
      <c r="G222" s="33"/>
      <c r="H222" s="33"/>
      <c r="I222" s="31"/>
      <c r="J222" s="31"/>
      <c r="K222" s="31"/>
      <c r="L222" s="31"/>
      <c r="M222" s="34" t="str">
        <f aca="false">IF($E222="","",IFERROR(INDEX(tblItems[Item Code],MATCH($E222,tblItems[Item Name],0)),"?"))</f>
        <v>EG-FG-PER-01-02-01-01</v>
      </c>
      <c r="N222" s="34" t="str">
        <f aca="false">IF($B222="","",IFERROR(INDEX(tblShipment[Market],MATCH($B222,tblShipment[Shipment No],0)),"?"))</f>
        <v>Qatar</v>
      </c>
      <c r="O222" s="35" t="n">
        <f aca="false">N($F222)+N($G222)</f>
        <v>20</v>
      </c>
      <c r="P222" s="34" t="str">
        <f aca="false">IF($A222="","",IF($L222="Yes","VOID",IF(COUNTIFS(tblMoveTypes[Movement],$C222)=0,"Unknown movement",IF(COUNTIF(tblShipment[Shipment No],$B222)=0,"Unknown shipment",IF(AND(IFERROR(INDEX(tblMoveTypes[Item?],MATCH($C222,tblMoveTypes[Movement],0)),"?")="Yes",$E222=""),"Item needed",IF(AND(IFERROR(INDEX(tblMoveTypes[Item?],MATCH($C222,tblMoveTypes[Movement],0)),"?")="No",$E222&lt;&gt;""),"Leave Item blank",IF(AND(IFERROR(INDEX(tblMoveTypes[In / Out],MATCH($C222,tblMoveTypes[Movement],0)),"?")="IN",$G222&lt;&gt;""),"Use the In column, not Out",IF(AND(IFERROR(INDEX(tblMoveTypes[In / Out],MATCH($C222,tblMoveTypes[Movement],0)),"?")="OUT",$F222&lt;&gt;""),"Use the Out column, not In",IF(AND(IFERROR(INDEX(tblMoveTypes[Qty?],MATCH($C222,tblMoveTypes[Movement],0)),"?")="Yes",N($F222)+N($G222)&lt;=0),"Qty needed",IF(AND(IFERROR(INDEX(tblMoveTypes[Qty?],MATCH($C222,tblMoveTypes[Movement],0)),"?")="No",N($F222)+N($G222)&gt;0),"Leave In and Out blank",IF(AND(IFERROR(INDEX(tblMoveTypes[Courier?],MATCH($C222,tblMoveTypes[Movement],0)),"?")="Yes",$I222=""),"Courier needed",IF(AND(IFERROR(INDEX(tblMoveTypes[Courier?],MATCH($C222,tblMoveTypes[Movement],0)),"?")="No",$I222&lt;&gt;""),"Leave Courier blank",IF(AND(IFERROR(INDEX(tblMoveTypes[Orders?],MATCH($C222,tblMoveTypes[Movement],0)),"?")="Yes",$H222=""),"Orders needed",IF(AND(IFERROR(INDEX(tblMoveTypes[Orders?],MATCH($C222,tblMoveTypes[Movement],0)),"?")="No",$H222&lt;&gt;""),"Leave Orders blank",IF(AND(IFERROR(INDEX(tblMoveTypes[Reason?],MATCH($C222,tblMoveTypes[Movement],0)),"?")="Yes",$J222=""),"Reason needed",IF($A222&lt;_xlfn.MINIFS(tblShipment[Arrival Date],tblShipment[Shipment No],$B222),"Date before arrival",IF(AND($E222&lt;&gt;"",COUNTIFS(tblShipment[Shipment No],$B222,tblShipment[Item Name],$E222)=0),"Item not in this shipment","OK")))))))))))))))))</f>
        <v>OK</v>
      </c>
    </row>
    <row r="223" customFormat="false" ht="15" hidden="false" customHeight="false" outlineLevel="0" collapsed="false">
      <c r="A223" s="32" t="n">
        <v>46242</v>
      </c>
      <c r="B223" s="31" t="s">
        <v>164</v>
      </c>
      <c r="C223" s="31" t="s">
        <v>79</v>
      </c>
      <c r="D223" s="34" t="str">
        <f aca="false">IF($C223="","",IFERROR(IF(IFERROR(INDEX(tblMoveTypes[In / Out],MATCH($C223,tblMoveTypes[Movement],0)),"?")="IN","IN   ",IF(IFERROR(INDEX(tblMoveTypes[In / Out],MATCH($C223,tblMoveTypes[Movement],0)),"?")="OUT","OUT   ","--   "))&amp;"fill: "&amp;IF(IFERROR(INDEX(tblMoveTypes[Item?],MATCH($C223,tblMoveTypes[Movement],0)),"?")="Yes","Item  ","")&amp;IF(AND(IFERROR(INDEX(tblMoveTypes[Qty?],MATCH($C223,tblMoveTypes[Movement],0)),"?")="Yes",IFERROR(INDEX(tblMoveTypes[In / Out],MATCH($C223,tblMoveTypes[Movement],0)),"?")="IN"),"In  ","")&amp;IF(AND(IFERROR(INDEX(tblMoveTypes[Qty?],MATCH($C223,tblMoveTypes[Movement],0)),"?")="Yes",IFERROR(INDEX(tblMoveTypes[In / Out],MATCH($C223,tblMoveTypes[Movement],0)),"?")="OUT"),"Out  ","")&amp;IF(IFERROR(INDEX(tblMoveTypes[Orders?],MATCH($C223,tblMoveTypes[Movement],0)),"?")="Yes","Orders  ","")&amp;IF(IFERROR(INDEX(tblMoveTypes[Courier?],MATCH($C223,tblMoveTypes[Movement],0)),"?")="Yes","Courier  ","")&amp;IF(IFERROR(INDEX(tblMoveTypes[Reason?],MATCH($C223,tblMoveTypes[Movement],0)),"?")="Yes","Reason",""),"unknown movement"))</f>
        <v>IN   fill: Item  In  </v>
      </c>
      <c r="E223" s="31" t="s">
        <v>95</v>
      </c>
      <c r="F223" s="33" t="n">
        <v>40</v>
      </c>
      <c r="G223" s="33"/>
      <c r="H223" s="33"/>
      <c r="I223" s="31"/>
      <c r="J223" s="31"/>
      <c r="K223" s="31"/>
      <c r="L223" s="31"/>
      <c r="M223" s="34" t="str">
        <f aca="false">IF($E223="","",IFERROR(INDEX(tblItems[Item Code],MATCH($E223,tblItems[Item Name],0)),"?"))</f>
        <v>EG-FG-GUV-01-02-01-01</v>
      </c>
      <c r="N223" s="34" t="str">
        <f aca="false">IF($B223="","",IFERROR(INDEX(tblShipment[Market],MATCH($B223,tblShipment[Shipment No],0)),"?"))</f>
        <v>Qatar</v>
      </c>
      <c r="O223" s="35" t="n">
        <f aca="false">N($F223)+N($G223)</f>
        <v>40</v>
      </c>
      <c r="P223" s="34" t="str">
        <f aca="false">IF($A223="","",IF($L223="Yes","VOID",IF(COUNTIFS(tblMoveTypes[Movement],$C223)=0,"Unknown movement",IF(COUNTIF(tblShipment[Shipment No],$B223)=0,"Unknown shipment",IF(AND(IFERROR(INDEX(tblMoveTypes[Item?],MATCH($C223,tblMoveTypes[Movement],0)),"?")="Yes",$E223=""),"Item needed",IF(AND(IFERROR(INDEX(tblMoveTypes[Item?],MATCH($C223,tblMoveTypes[Movement],0)),"?")="No",$E223&lt;&gt;""),"Leave Item blank",IF(AND(IFERROR(INDEX(tblMoveTypes[In / Out],MATCH($C223,tblMoveTypes[Movement],0)),"?")="IN",$G223&lt;&gt;""),"Use the In column, not Out",IF(AND(IFERROR(INDEX(tblMoveTypes[In / Out],MATCH($C223,tblMoveTypes[Movement],0)),"?")="OUT",$F223&lt;&gt;""),"Use the Out column, not In",IF(AND(IFERROR(INDEX(tblMoveTypes[Qty?],MATCH($C223,tblMoveTypes[Movement],0)),"?")="Yes",N($F223)+N($G223)&lt;=0),"Qty needed",IF(AND(IFERROR(INDEX(tblMoveTypes[Qty?],MATCH($C223,tblMoveTypes[Movement],0)),"?")="No",N($F223)+N($G223)&gt;0),"Leave In and Out blank",IF(AND(IFERROR(INDEX(tblMoveTypes[Courier?],MATCH($C223,tblMoveTypes[Movement],0)),"?")="Yes",$I223=""),"Courier needed",IF(AND(IFERROR(INDEX(tblMoveTypes[Courier?],MATCH($C223,tblMoveTypes[Movement],0)),"?")="No",$I223&lt;&gt;""),"Leave Courier blank",IF(AND(IFERROR(INDEX(tblMoveTypes[Orders?],MATCH($C223,tblMoveTypes[Movement],0)),"?")="Yes",$H223=""),"Orders needed",IF(AND(IFERROR(INDEX(tblMoveTypes[Orders?],MATCH($C223,tblMoveTypes[Movement],0)),"?")="No",$H223&lt;&gt;""),"Leave Orders blank",IF(AND(IFERROR(INDEX(tblMoveTypes[Reason?],MATCH($C223,tblMoveTypes[Movement],0)),"?")="Yes",$J223=""),"Reason needed",IF($A223&lt;_xlfn.MINIFS(tblShipment[Arrival Date],tblShipment[Shipment No],$B223),"Date before arrival",IF(AND($E223&lt;&gt;"",COUNTIFS(tblShipment[Shipment No],$B223,tblShipment[Item Name],$E223)=0),"Item not in this shipment","OK")))))))))))))))))</f>
        <v>OK</v>
      </c>
    </row>
    <row r="224" customFormat="false" ht="15" hidden="false" customHeight="false" outlineLevel="0" collapsed="false">
      <c r="A224" s="32" t="n">
        <v>46242</v>
      </c>
      <c r="B224" s="31" t="s">
        <v>164</v>
      </c>
      <c r="C224" s="31" t="s">
        <v>78</v>
      </c>
      <c r="D224" s="34" t="str">
        <f aca="false">IF($C224="","",IFERROR(IF(IFERROR(INDEX(tblMoveTypes[In / Out],MATCH($C224,tblMoveTypes[Movement],0)),"?")="IN","IN   ",IF(IFERROR(INDEX(tblMoveTypes[In / Out],MATCH($C224,tblMoveTypes[Movement],0)),"?")="OUT","OUT   ","--   "))&amp;"fill: "&amp;IF(IFERROR(INDEX(tblMoveTypes[Item?],MATCH($C224,tblMoveTypes[Movement],0)),"?")="Yes","Item  ","")&amp;IF(AND(IFERROR(INDEX(tblMoveTypes[Qty?],MATCH($C224,tblMoveTypes[Movement],0)),"?")="Yes",IFERROR(INDEX(tblMoveTypes[In / Out],MATCH($C224,tblMoveTypes[Movement],0)),"?")="IN"),"In  ","")&amp;IF(AND(IFERROR(INDEX(tblMoveTypes[Qty?],MATCH($C224,tblMoveTypes[Movement],0)),"?")="Yes",IFERROR(INDEX(tblMoveTypes[In / Out],MATCH($C224,tblMoveTypes[Movement],0)),"?")="OUT"),"Out  ","")&amp;IF(IFERROR(INDEX(tblMoveTypes[Orders?],MATCH($C224,tblMoveTypes[Movement],0)),"?")="Yes","Orders  ","")&amp;IF(IFERROR(INDEX(tblMoveTypes[Courier?],MATCH($C224,tblMoveTypes[Movement],0)),"?")="Yes","Courier  ","")&amp;IF(IFERROR(INDEX(tblMoveTypes[Reason?],MATCH($C224,tblMoveTypes[Movement],0)),"?")="Yes","Reason",""),"unknown movement"))</f>
        <v>OUT   fill: Item  Out  Reason</v>
      </c>
      <c r="E224" s="31" t="s">
        <v>95</v>
      </c>
      <c r="F224" s="33"/>
      <c r="G224" s="33" t="n">
        <v>1</v>
      </c>
      <c r="H224" s="33"/>
      <c r="I224" s="31"/>
      <c r="J224" s="31" t="s">
        <v>77</v>
      </c>
      <c r="K224" s="31"/>
      <c r="L224" s="31"/>
      <c r="M224" s="34" t="str">
        <f aca="false">IF($E224="","",IFERROR(INDEX(tblItems[Item Code],MATCH($E224,tblItems[Item Name],0)),"?"))</f>
        <v>EG-FG-GUV-01-02-01-01</v>
      </c>
      <c r="N224" s="34" t="str">
        <f aca="false">IF($B224="","",IFERROR(INDEX(tblShipment[Market],MATCH($B224,tblShipment[Shipment No],0)),"?"))</f>
        <v>Qatar</v>
      </c>
      <c r="O224" s="35" t="n">
        <f aca="false">N($F224)+N($G224)</f>
        <v>1</v>
      </c>
      <c r="P224" s="34" t="str">
        <f aca="false">IF($A224="","",IF($L224="Yes","VOID",IF(COUNTIFS(tblMoveTypes[Movement],$C224)=0,"Unknown movement",IF(COUNTIF(tblShipment[Shipment No],$B224)=0,"Unknown shipment",IF(AND(IFERROR(INDEX(tblMoveTypes[Item?],MATCH($C224,tblMoveTypes[Movement],0)),"?")="Yes",$E224=""),"Item needed",IF(AND(IFERROR(INDEX(tblMoveTypes[Item?],MATCH($C224,tblMoveTypes[Movement],0)),"?")="No",$E224&lt;&gt;""),"Leave Item blank",IF(AND(IFERROR(INDEX(tblMoveTypes[In / Out],MATCH($C224,tblMoveTypes[Movement],0)),"?")="IN",$G224&lt;&gt;""),"Use the In column, not Out",IF(AND(IFERROR(INDEX(tblMoveTypes[In / Out],MATCH($C224,tblMoveTypes[Movement],0)),"?")="OUT",$F224&lt;&gt;""),"Use the Out column, not In",IF(AND(IFERROR(INDEX(tblMoveTypes[Qty?],MATCH($C224,tblMoveTypes[Movement],0)),"?")="Yes",N($F224)+N($G224)&lt;=0),"Qty needed",IF(AND(IFERROR(INDEX(tblMoveTypes[Qty?],MATCH($C224,tblMoveTypes[Movement],0)),"?")="No",N($F224)+N($G224)&gt;0),"Leave In and Out blank",IF(AND(IFERROR(INDEX(tblMoveTypes[Courier?],MATCH($C224,tblMoveTypes[Movement],0)),"?")="Yes",$I224=""),"Courier needed",IF(AND(IFERROR(INDEX(tblMoveTypes[Courier?],MATCH($C224,tblMoveTypes[Movement],0)),"?")="No",$I224&lt;&gt;""),"Leave Courier blank",IF(AND(IFERROR(INDEX(tblMoveTypes[Orders?],MATCH($C224,tblMoveTypes[Movement],0)),"?")="Yes",$H224=""),"Orders needed",IF(AND(IFERROR(INDEX(tblMoveTypes[Orders?],MATCH($C224,tblMoveTypes[Movement],0)),"?")="No",$H224&lt;&gt;""),"Leave Orders blank",IF(AND(IFERROR(INDEX(tblMoveTypes[Reason?],MATCH($C224,tblMoveTypes[Movement],0)),"?")="Yes",$J224=""),"Reason needed",IF($A224&lt;_xlfn.MINIFS(tblShipment[Arrival Date],tblShipment[Shipment No],$B224),"Date before arrival",IF(AND($E224&lt;&gt;"",COUNTIFS(tblShipment[Shipment No],$B224,tblShipment[Item Name],$E224)=0),"Item not in this shipment","OK")))))))))))))))))</f>
        <v>OK</v>
      </c>
    </row>
    <row r="225" customFormat="false" ht="15" hidden="false" customHeight="false" outlineLevel="0" collapsed="false">
      <c r="A225" s="32" t="n">
        <v>46242</v>
      </c>
      <c r="B225" s="31" t="s">
        <v>164</v>
      </c>
      <c r="C225" s="31" t="s">
        <v>79</v>
      </c>
      <c r="D225" s="34" t="str">
        <f aca="false">IF($C225="","",IFERROR(IF(IFERROR(INDEX(tblMoveTypes[In / Out],MATCH($C225,tblMoveTypes[Movement],0)),"?")="IN","IN   ",IF(IFERROR(INDEX(tblMoveTypes[In / Out],MATCH($C225,tblMoveTypes[Movement],0)),"?")="OUT","OUT   ","--   "))&amp;"fill: "&amp;IF(IFERROR(INDEX(tblMoveTypes[Item?],MATCH($C225,tblMoveTypes[Movement],0)),"?")="Yes","Item  ","")&amp;IF(AND(IFERROR(INDEX(tblMoveTypes[Qty?],MATCH($C225,tblMoveTypes[Movement],0)),"?")="Yes",IFERROR(INDEX(tblMoveTypes[In / Out],MATCH($C225,tblMoveTypes[Movement],0)),"?")="IN"),"In  ","")&amp;IF(AND(IFERROR(INDEX(tblMoveTypes[Qty?],MATCH($C225,tblMoveTypes[Movement],0)),"?")="Yes",IFERROR(INDEX(tblMoveTypes[In / Out],MATCH($C225,tblMoveTypes[Movement],0)),"?")="OUT"),"Out  ","")&amp;IF(IFERROR(INDEX(tblMoveTypes[Orders?],MATCH($C225,tblMoveTypes[Movement],0)),"?")="Yes","Orders  ","")&amp;IF(IFERROR(INDEX(tblMoveTypes[Courier?],MATCH($C225,tblMoveTypes[Movement],0)),"?")="Yes","Courier  ","")&amp;IF(IFERROR(INDEX(tblMoveTypes[Reason?],MATCH($C225,tblMoveTypes[Movement],0)),"?")="Yes","Reason",""),"unknown movement"))</f>
        <v>IN   fill: Item  In  </v>
      </c>
      <c r="E225" s="31" t="s">
        <v>127</v>
      </c>
      <c r="F225" s="33" t="n">
        <v>20</v>
      </c>
      <c r="G225" s="33"/>
      <c r="H225" s="33"/>
      <c r="I225" s="31"/>
      <c r="J225" s="31"/>
      <c r="K225" s="31"/>
      <c r="L225" s="31"/>
      <c r="M225" s="34" t="str">
        <f aca="false">IF($E225="","",IFERROR(INDEX(tblItems[Item Code],MATCH($E225,tblItems[Item Name],0)),"?"))</f>
        <v>EG-FG-GRP-03-02-01-01</v>
      </c>
      <c r="N225" s="34" t="str">
        <f aca="false">IF($B225="","",IFERROR(INDEX(tblShipment[Market],MATCH($B225,tblShipment[Shipment No],0)),"?"))</f>
        <v>Qatar</v>
      </c>
      <c r="O225" s="35" t="n">
        <f aca="false">N($F225)+N($G225)</f>
        <v>20</v>
      </c>
      <c r="P225" s="34" t="str">
        <f aca="false">IF($A225="","",IF($L225="Yes","VOID",IF(COUNTIFS(tblMoveTypes[Movement],$C225)=0,"Unknown movement",IF(COUNTIF(tblShipment[Shipment No],$B225)=0,"Unknown shipment",IF(AND(IFERROR(INDEX(tblMoveTypes[Item?],MATCH($C225,tblMoveTypes[Movement],0)),"?")="Yes",$E225=""),"Item needed",IF(AND(IFERROR(INDEX(tblMoveTypes[Item?],MATCH($C225,tblMoveTypes[Movement],0)),"?")="No",$E225&lt;&gt;""),"Leave Item blank",IF(AND(IFERROR(INDEX(tblMoveTypes[In / Out],MATCH($C225,tblMoveTypes[Movement],0)),"?")="IN",$G225&lt;&gt;""),"Use the In column, not Out",IF(AND(IFERROR(INDEX(tblMoveTypes[In / Out],MATCH($C225,tblMoveTypes[Movement],0)),"?")="OUT",$F225&lt;&gt;""),"Use the Out column, not In",IF(AND(IFERROR(INDEX(tblMoveTypes[Qty?],MATCH($C225,tblMoveTypes[Movement],0)),"?")="Yes",N($F225)+N($G225)&lt;=0),"Qty needed",IF(AND(IFERROR(INDEX(tblMoveTypes[Qty?],MATCH($C225,tblMoveTypes[Movement],0)),"?")="No",N($F225)+N($G225)&gt;0),"Leave In and Out blank",IF(AND(IFERROR(INDEX(tblMoveTypes[Courier?],MATCH($C225,tblMoveTypes[Movement],0)),"?")="Yes",$I225=""),"Courier needed",IF(AND(IFERROR(INDEX(tblMoveTypes[Courier?],MATCH($C225,tblMoveTypes[Movement],0)),"?")="No",$I225&lt;&gt;""),"Leave Courier blank",IF(AND(IFERROR(INDEX(tblMoveTypes[Orders?],MATCH($C225,tblMoveTypes[Movement],0)),"?")="Yes",$H225=""),"Orders needed",IF(AND(IFERROR(INDEX(tblMoveTypes[Orders?],MATCH($C225,tblMoveTypes[Movement],0)),"?")="No",$H225&lt;&gt;""),"Leave Orders blank",IF(AND(IFERROR(INDEX(tblMoveTypes[Reason?],MATCH($C225,tblMoveTypes[Movement],0)),"?")="Yes",$J225=""),"Reason needed",IF($A225&lt;_xlfn.MINIFS(tblShipment[Arrival Date],tblShipment[Shipment No],$B225),"Date before arrival",IF(AND($E225&lt;&gt;"",COUNTIFS(tblShipment[Shipment No],$B225,tblShipment[Item Name],$E225)=0),"Item not in this shipment","OK")))))))))))))))))</f>
        <v>OK</v>
      </c>
    </row>
    <row r="226" customFormat="false" ht="15" hidden="false" customHeight="false" outlineLevel="0" collapsed="false">
      <c r="A226" s="32" t="n">
        <v>46242</v>
      </c>
      <c r="B226" s="31" t="s">
        <v>164</v>
      </c>
      <c r="C226" s="31" t="s">
        <v>79</v>
      </c>
      <c r="D226" s="34" t="str">
        <f aca="false">IF($C226="","",IFERROR(IF(IFERROR(INDEX(tblMoveTypes[In / Out],MATCH($C226,tblMoveTypes[Movement],0)),"?")="IN","IN   ",IF(IFERROR(INDEX(tblMoveTypes[In / Out],MATCH($C226,tblMoveTypes[Movement],0)),"?")="OUT","OUT   ","--   "))&amp;"fill: "&amp;IF(IFERROR(INDEX(tblMoveTypes[Item?],MATCH($C226,tblMoveTypes[Movement],0)),"?")="Yes","Item  ","")&amp;IF(AND(IFERROR(INDEX(tblMoveTypes[Qty?],MATCH($C226,tblMoveTypes[Movement],0)),"?")="Yes",IFERROR(INDEX(tblMoveTypes[In / Out],MATCH($C226,tblMoveTypes[Movement],0)),"?")="IN"),"In  ","")&amp;IF(AND(IFERROR(INDEX(tblMoveTypes[Qty?],MATCH($C226,tblMoveTypes[Movement],0)),"?")="Yes",IFERROR(INDEX(tblMoveTypes[In / Out],MATCH($C226,tblMoveTypes[Movement],0)),"?")="OUT"),"Out  ","")&amp;IF(IFERROR(INDEX(tblMoveTypes[Orders?],MATCH($C226,tblMoveTypes[Movement],0)),"?")="Yes","Orders  ","")&amp;IF(IFERROR(INDEX(tblMoveTypes[Courier?],MATCH($C226,tblMoveTypes[Movement],0)),"?")="Yes","Courier  ","")&amp;IF(IFERROR(INDEX(tblMoveTypes[Reason?],MATCH($C226,tblMoveTypes[Movement],0)),"?")="Yes","Reason",""),"unknown movement"))</f>
        <v>IN   fill: Item  In  </v>
      </c>
      <c r="E226" s="31" t="s">
        <v>148</v>
      </c>
      <c r="F226" s="33" t="n">
        <v>20</v>
      </c>
      <c r="G226" s="33"/>
      <c r="H226" s="33"/>
      <c r="I226" s="31"/>
      <c r="J226" s="31"/>
      <c r="K226" s="31"/>
      <c r="L226" s="31"/>
      <c r="M226" s="34" t="str">
        <f aca="false">IF($E226="","",IFERROR(INDEX(tblItems[Item Code],MATCH($E226,tblItems[Item Name],0)),"?"))</f>
        <v>EG-FG-MNG-99-02-01-01</v>
      </c>
      <c r="N226" s="34" t="str">
        <f aca="false">IF($B226="","",IFERROR(INDEX(tblShipment[Market],MATCH($B226,tblShipment[Shipment No],0)),"?"))</f>
        <v>Qatar</v>
      </c>
      <c r="O226" s="35" t="n">
        <f aca="false">N($F226)+N($G226)</f>
        <v>20</v>
      </c>
      <c r="P226" s="34" t="str">
        <f aca="false">IF($A226="","",IF($L226="Yes","VOID",IF(COUNTIFS(tblMoveTypes[Movement],$C226)=0,"Unknown movement",IF(COUNTIF(tblShipment[Shipment No],$B226)=0,"Unknown shipment",IF(AND(IFERROR(INDEX(tblMoveTypes[Item?],MATCH($C226,tblMoveTypes[Movement],0)),"?")="Yes",$E226=""),"Item needed",IF(AND(IFERROR(INDEX(tblMoveTypes[Item?],MATCH($C226,tblMoveTypes[Movement],0)),"?")="No",$E226&lt;&gt;""),"Leave Item blank",IF(AND(IFERROR(INDEX(tblMoveTypes[In / Out],MATCH($C226,tblMoveTypes[Movement],0)),"?")="IN",$G226&lt;&gt;""),"Use the In column, not Out",IF(AND(IFERROR(INDEX(tblMoveTypes[In / Out],MATCH($C226,tblMoveTypes[Movement],0)),"?")="OUT",$F226&lt;&gt;""),"Use the Out column, not In",IF(AND(IFERROR(INDEX(tblMoveTypes[Qty?],MATCH($C226,tblMoveTypes[Movement],0)),"?")="Yes",N($F226)+N($G226)&lt;=0),"Qty needed",IF(AND(IFERROR(INDEX(tblMoveTypes[Qty?],MATCH($C226,tblMoveTypes[Movement],0)),"?")="No",N($F226)+N($G226)&gt;0),"Leave In and Out blank",IF(AND(IFERROR(INDEX(tblMoveTypes[Courier?],MATCH($C226,tblMoveTypes[Movement],0)),"?")="Yes",$I226=""),"Courier needed",IF(AND(IFERROR(INDEX(tblMoveTypes[Courier?],MATCH($C226,tblMoveTypes[Movement],0)),"?")="No",$I226&lt;&gt;""),"Leave Courier blank",IF(AND(IFERROR(INDEX(tblMoveTypes[Orders?],MATCH($C226,tblMoveTypes[Movement],0)),"?")="Yes",$H226=""),"Orders needed",IF(AND(IFERROR(INDEX(tblMoveTypes[Orders?],MATCH($C226,tblMoveTypes[Movement],0)),"?")="No",$H226&lt;&gt;""),"Leave Orders blank",IF(AND(IFERROR(INDEX(tblMoveTypes[Reason?],MATCH($C226,tblMoveTypes[Movement],0)),"?")="Yes",$J226=""),"Reason needed",IF($A226&lt;_xlfn.MINIFS(tblShipment[Arrival Date],tblShipment[Shipment No],$B226),"Date before arrival",IF(AND($E226&lt;&gt;"",COUNTIFS(tblShipment[Shipment No],$B226,tblShipment[Item Name],$E226)=0),"Item not in this shipment","OK")))))))))))))))))</f>
        <v>OK</v>
      </c>
    </row>
    <row r="227" customFormat="false" ht="15" hidden="false" customHeight="false" outlineLevel="0" collapsed="false">
      <c r="A227" s="32" t="n">
        <v>46242</v>
      </c>
      <c r="B227" s="31" t="s">
        <v>164</v>
      </c>
      <c r="C227" s="31" t="s">
        <v>79</v>
      </c>
      <c r="D227" s="34" t="str">
        <f aca="false">IF($C227="","",IFERROR(IF(IFERROR(INDEX(tblMoveTypes[In / Out],MATCH($C227,tblMoveTypes[Movement],0)),"?")="IN","IN   ",IF(IFERROR(INDEX(tblMoveTypes[In / Out],MATCH($C227,tblMoveTypes[Movement],0)),"?")="OUT","OUT   ","--   "))&amp;"fill: "&amp;IF(IFERROR(INDEX(tblMoveTypes[Item?],MATCH($C227,tblMoveTypes[Movement],0)),"?")="Yes","Item  ","")&amp;IF(AND(IFERROR(INDEX(tblMoveTypes[Qty?],MATCH($C227,tblMoveTypes[Movement],0)),"?")="Yes",IFERROR(INDEX(tblMoveTypes[In / Out],MATCH($C227,tblMoveTypes[Movement],0)),"?")="IN"),"In  ","")&amp;IF(AND(IFERROR(INDEX(tblMoveTypes[Qty?],MATCH($C227,tblMoveTypes[Movement],0)),"?")="Yes",IFERROR(INDEX(tblMoveTypes[In / Out],MATCH($C227,tblMoveTypes[Movement],0)),"?")="OUT"),"Out  ","")&amp;IF(IFERROR(INDEX(tblMoveTypes[Orders?],MATCH($C227,tblMoveTypes[Movement],0)),"?")="Yes","Orders  ","")&amp;IF(IFERROR(INDEX(tblMoveTypes[Courier?],MATCH($C227,tblMoveTypes[Movement],0)),"?")="Yes","Courier  ","")&amp;IF(IFERROR(INDEX(tblMoveTypes[Reason?],MATCH($C227,tblMoveTypes[Movement],0)),"?")="Yes","Reason",""),"unknown movement"))</f>
        <v>IN   fill: Item  In  </v>
      </c>
      <c r="E227" s="31" t="s">
        <v>117</v>
      </c>
      <c r="F227" s="33" t="n">
        <v>20</v>
      </c>
      <c r="G227" s="33"/>
      <c r="H227" s="33"/>
      <c r="I227" s="31"/>
      <c r="J227" s="31"/>
      <c r="K227" s="31"/>
      <c r="L227" s="31"/>
      <c r="M227" s="34" t="str">
        <f aca="false">IF($E227="","",IFERROR(INDEX(tblItems[Item Code],MATCH($E227,tblItems[Item Name],0)),"?"))</f>
        <v>EG-FG-MNG-06-02-01-01</v>
      </c>
      <c r="N227" s="34" t="str">
        <f aca="false">IF($B227="","",IFERROR(INDEX(tblShipment[Market],MATCH($B227,tblShipment[Shipment No],0)),"?"))</f>
        <v>Qatar</v>
      </c>
      <c r="O227" s="35" t="n">
        <f aca="false">N($F227)+N($G227)</f>
        <v>20</v>
      </c>
      <c r="P227" s="34" t="str">
        <f aca="false">IF($A227="","",IF($L227="Yes","VOID",IF(COUNTIFS(tblMoveTypes[Movement],$C227)=0,"Unknown movement",IF(COUNTIF(tblShipment[Shipment No],$B227)=0,"Unknown shipment",IF(AND(IFERROR(INDEX(tblMoveTypes[Item?],MATCH($C227,tblMoveTypes[Movement],0)),"?")="Yes",$E227=""),"Item needed",IF(AND(IFERROR(INDEX(tblMoveTypes[Item?],MATCH($C227,tblMoveTypes[Movement],0)),"?")="No",$E227&lt;&gt;""),"Leave Item blank",IF(AND(IFERROR(INDEX(tblMoveTypes[In / Out],MATCH($C227,tblMoveTypes[Movement],0)),"?")="IN",$G227&lt;&gt;""),"Use the In column, not Out",IF(AND(IFERROR(INDEX(tblMoveTypes[In / Out],MATCH($C227,tblMoveTypes[Movement],0)),"?")="OUT",$F227&lt;&gt;""),"Use the Out column, not In",IF(AND(IFERROR(INDEX(tblMoveTypes[Qty?],MATCH($C227,tblMoveTypes[Movement],0)),"?")="Yes",N($F227)+N($G227)&lt;=0),"Qty needed",IF(AND(IFERROR(INDEX(tblMoveTypes[Qty?],MATCH($C227,tblMoveTypes[Movement],0)),"?")="No",N($F227)+N($G227)&gt;0),"Leave In and Out blank",IF(AND(IFERROR(INDEX(tblMoveTypes[Courier?],MATCH($C227,tblMoveTypes[Movement],0)),"?")="Yes",$I227=""),"Courier needed",IF(AND(IFERROR(INDEX(tblMoveTypes[Courier?],MATCH($C227,tblMoveTypes[Movement],0)),"?")="No",$I227&lt;&gt;""),"Leave Courier blank",IF(AND(IFERROR(INDEX(tblMoveTypes[Orders?],MATCH($C227,tblMoveTypes[Movement],0)),"?")="Yes",$H227=""),"Orders needed",IF(AND(IFERROR(INDEX(tblMoveTypes[Orders?],MATCH($C227,tblMoveTypes[Movement],0)),"?")="No",$H227&lt;&gt;""),"Leave Orders blank",IF(AND(IFERROR(INDEX(tblMoveTypes[Reason?],MATCH($C227,tblMoveTypes[Movement],0)),"?")="Yes",$J227=""),"Reason needed",IF($A227&lt;_xlfn.MINIFS(tblShipment[Arrival Date],tblShipment[Shipment No],$B227),"Date before arrival",IF(AND($E227&lt;&gt;"",COUNTIFS(tblShipment[Shipment No],$B227,tblShipment[Item Name],$E227)=0),"Item not in this shipment","OK")))))))))))))))))</f>
        <v>OK</v>
      </c>
    </row>
    <row r="228" customFormat="false" ht="15" hidden="false" customHeight="false" outlineLevel="0" collapsed="false">
      <c r="A228" s="32" t="n">
        <v>46242</v>
      </c>
      <c r="B228" s="31" t="s">
        <v>164</v>
      </c>
      <c r="C228" s="31" t="s">
        <v>87</v>
      </c>
      <c r="D228" s="34" t="str">
        <f aca="false">IF($C228="","",IFERROR(IF(IFERROR(INDEX(tblMoveTypes[In / Out],MATCH($C228,tblMoveTypes[Movement],0)),"?")="IN","IN   ",IF(IFERROR(INDEX(tblMoveTypes[In / Out],MATCH($C228,tblMoveTypes[Movement],0)),"?")="OUT","OUT   ","--   "))&amp;"fill: "&amp;IF(IFERROR(INDEX(tblMoveTypes[Item?],MATCH($C228,tblMoveTypes[Movement],0)),"?")="Yes","Item  ","")&amp;IF(AND(IFERROR(INDEX(tblMoveTypes[Qty?],MATCH($C228,tblMoveTypes[Movement],0)),"?")="Yes",IFERROR(INDEX(tblMoveTypes[In / Out],MATCH($C228,tblMoveTypes[Movement],0)),"?")="IN"),"In  ","")&amp;IF(AND(IFERROR(INDEX(tblMoveTypes[Qty?],MATCH($C228,tblMoveTypes[Movement],0)),"?")="Yes",IFERROR(INDEX(tblMoveTypes[In / Out],MATCH($C228,tblMoveTypes[Movement],0)),"?")="OUT"),"Out  ","")&amp;IF(IFERROR(INDEX(tblMoveTypes[Orders?],MATCH($C228,tblMoveTypes[Movement],0)),"?")="Yes","Orders  ","")&amp;IF(IFERROR(INDEX(tblMoveTypes[Courier?],MATCH($C228,tblMoveTypes[Movement],0)),"?")="Yes","Courier  ","")&amp;IF(IFERROR(INDEX(tblMoveTypes[Reason?],MATCH($C228,tblMoveTypes[Movement],0)),"?")="Yes","Reason",""),"unknown movement"))</f>
        <v>OUT   fill: Item  Out  </v>
      </c>
      <c r="E228" s="31" t="s">
        <v>84</v>
      </c>
      <c r="F228" s="33"/>
      <c r="G228" s="33" t="n">
        <v>2</v>
      </c>
      <c r="H228" s="33"/>
      <c r="I228" s="31"/>
      <c r="J228" s="31"/>
      <c r="K228" s="31" t="s">
        <v>179</v>
      </c>
      <c r="L228" s="31"/>
      <c r="M228" s="34" t="str">
        <f aca="false">IF($E228="","",IFERROR(INDEX(tblItems[Item Code],MATCH($E228,tblItems[Item Name],0)),"?"))</f>
        <v>EG-FG-MNG-12-02-01-01</v>
      </c>
      <c r="N228" s="34" t="str">
        <f aca="false">IF($B228="","",IFERROR(INDEX(tblShipment[Market],MATCH($B228,tblShipment[Shipment No],0)),"?"))</f>
        <v>Qatar</v>
      </c>
      <c r="O228" s="35" t="n">
        <f aca="false">N($F228)+N($G228)</f>
        <v>2</v>
      </c>
      <c r="P228" s="34" t="str">
        <f aca="false">IF($A228="","",IF($L228="Yes","VOID",IF(COUNTIFS(tblMoveTypes[Movement],$C228)=0,"Unknown movement",IF(COUNTIF(tblShipment[Shipment No],$B228)=0,"Unknown shipment",IF(AND(IFERROR(INDEX(tblMoveTypes[Item?],MATCH($C228,tblMoveTypes[Movement],0)),"?")="Yes",$E228=""),"Item needed",IF(AND(IFERROR(INDEX(tblMoveTypes[Item?],MATCH($C228,tblMoveTypes[Movement],0)),"?")="No",$E228&lt;&gt;""),"Leave Item blank",IF(AND(IFERROR(INDEX(tblMoveTypes[In / Out],MATCH($C228,tblMoveTypes[Movement],0)),"?")="IN",$G228&lt;&gt;""),"Use the In column, not Out",IF(AND(IFERROR(INDEX(tblMoveTypes[In / Out],MATCH($C228,tblMoveTypes[Movement],0)),"?")="OUT",$F228&lt;&gt;""),"Use the Out column, not In",IF(AND(IFERROR(INDEX(tblMoveTypes[Qty?],MATCH($C228,tblMoveTypes[Movement],0)),"?")="Yes",N($F228)+N($G228)&lt;=0),"Qty needed",IF(AND(IFERROR(INDEX(tblMoveTypes[Qty?],MATCH($C228,tblMoveTypes[Movement],0)),"?")="No",N($F228)+N($G228)&gt;0),"Leave In and Out blank",IF(AND(IFERROR(INDEX(tblMoveTypes[Courier?],MATCH($C228,tblMoveTypes[Movement],0)),"?")="Yes",$I228=""),"Courier needed",IF(AND(IFERROR(INDEX(tblMoveTypes[Courier?],MATCH($C228,tblMoveTypes[Movement],0)),"?")="No",$I228&lt;&gt;""),"Leave Courier blank",IF(AND(IFERROR(INDEX(tblMoveTypes[Orders?],MATCH($C228,tblMoveTypes[Movement],0)),"?")="Yes",$H228=""),"Orders needed",IF(AND(IFERROR(INDEX(tblMoveTypes[Orders?],MATCH($C228,tblMoveTypes[Movement],0)),"?")="No",$H228&lt;&gt;""),"Leave Orders blank",IF(AND(IFERROR(INDEX(tblMoveTypes[Reason?],MATCH($C228,tblMoveTypes[Movement],0)),"?")="Yes",$J228=""),"Reason needed",IF($A228&lt;_xlfn.MINIFS(tblShipment[Arrival Date],tblShipment[Shipment No],$B228),"Date before arrival",IF(AND($E228&lt;&gt;"",COUNTIFS(tblShipment[Shipment No],$B228,tblShipment[Item Name],$E228)=0),"Item not in this shipment","OK")))))))))))))))))</f>
        <v>OK</v>
      </c>
    </row>
    <row r="229" customFormat="false" ht="15" hidden="false" customHeight="false" outlineLevel="0" collapsed="false">
      <c r="A229" s="32" t="n">
        <v>46242</v>
      </c>
      <c r="B229" s="31" t="s">
        <v>164</v>
      </c>
      <c r="C229" s="31" t="s">
        <v>79</v>
      </c>
      <c r="D229" s="34" t="str">
        <f aca="false">IF($C229="","",IFERROR(IF(IFERROR(INDEX(tblMoveTypes[In / Out],MATCH($C229,tblMoveTypes[Movement],0)),"?")="IN","IN   ",IF(IFERROR(INDEX(tblMoveTypes[In / Out],MATCH($C229,tblMoveTypes[Movement],0)),"?")="OUT","OUT   ","--   "))&amp;"fill: "&amp;IF(IFERROR(INDEX(tblMoveTypes[Item?],MATCH($C229,tblMoveTypes[Movement],0)),"?")="Yes","Item  ","")&amp;IF(AND(IFERROR(INDEX(tblMoveTypes[Qty?],MATCH($C229,tblMoveTypes[Movement],0)),"?")="Yes",IFERROR(INDEX(tblMoveTypes[In / Out],MATCH($C229,tblMoveTypes[Movement],0)),"?")="IN"),"In  ","")&amp;IF(AND(IFERROR(INDEX(tblMoveTypes[Qty?],MATCH($C229,tblMoveTypes[Movement],0)),"?")="Yes",IFERROR(INDEX(tblMoveTypes[In / Out],MATCH($C229,tblMoveTypes[Movement],0)),"?")="OUT"),"Out  ","")&amp;IF(IFERROR(INDEX(tblMoveTypes[Orders?],MATCH($C229,tblMoveTypes[Movement],0)),"?")="Yes","Orders  ","")&amp;IF(IFERROR(INDEX(tblMoveTypes[Courier?],MATCH($C229,tblMoveTypes[Movement],0)),"?")="Yes","Courier  ","")&amp;IF(IFERROR(INDEX(tblMoveTypes[Reason?],MATCH($C229,tblMoveTypes[Movement],0)),"?")="Yes","Reason",""),"unknown movement"))</f>
        <v>IN   fill: Item  In  </v>
      </c>
      <c r="E229" s="31" t="s">
        <v>84</v>
      </c>
      <c r="F229" s="33" t="n">
        <v>123</v>
      </c>
      <c r="G229" s="33"/>
      <c r="H229" s="33"/>
      <c r="I229" s="31"/>
      <c r="J229" s="31"/>
      <c r="K229" s="31"/>
      <c r="L229" s="31"/>
      <c r="M229" s="34" t="str">
        <f aca="false">IF($E229="","",IFERROR(INDEX(tblItems[Item Code],MATCH($E229,tblItems[Item Name],0)),"?"))</f>
        <v>EG-FG-MNG-12-02-01-01</v>
      </c>
      <c r="N229" s="34" t="str">
        <f aca="false">IF($B229="","",IFERROR(INDEX(tblShipment[Market],MATCH($B229,tblShipment[Shipment No],0)),"?"))</f>
        <v>Qatar</v>
      </c>
      <c r="O229" s="35" t="n">
        <f aca="false">N($F229)+N($G229)</f>
        <v>123</v>
      </c>
      <c r="P229" s="34" t="str">
        <f aca="false">IF($A229="","",IF($L229="Yes","VOID",IF(COUNTIFS(tblMoveTypes[Movement],$C229)=0,"Unknown movement",IF(COUNTIF(tblShipment[Shipment No],$B229)=0,"Unknown shipment",IF(AND(IFERROR(INDEX(tblMoveTypes[Item?],MATCH($C229,tblMoveTypes[Movement],0)),"?")="Yes",$E229=""),"Item needed",IF(AND(IFERROR(INDEX(tblMoveTypes[Item?],MATCH($C229,tblMoveTypes[Movement],0)),"?")="No",$E229&lt;&gt;""),"Leave Item blank",IF(AND(IFERROR(INDEX(tblMoveTypes[In / Out],MATCH($C229,tblMoveTypes[Movement],0)),"?")="IN",$G229&lt;&gt;""),"Use the In column, not Out",IF(AND(IFERROR(INDEX(tblMoveTypes[In / Out],MATCH($C229,tblMoveTypes[Movement],0)),"?")="OUT",$F229&lt;&gt;""),"Use the Out column, not In",IF(AND(IFERROR(INDEX(tblMoveTypes[Qty?],MATCH($C229,tblMoveTypes[Movement],0)),"?")="Yes",N($F229)+N($G229)&lt;=0),"Qty needed",IF(AND(IFERROR(INDEX(tblMoveTypes[Qty?],MATCH($C229,tblMoveTypes[Movement],0)),"?")="No",N($F229)+N($G229)&gt;0),"Leave In and Out blank",IF(AND(IFERROR(INDEX(tblMoveTypes[Courier?],MATCH($C229,tblMoveTypes[Movement],0)),"?")="Yes",$I229=""),"Courier needed",IF(AND(IFERROR(INDEX(tblMoveTypes[Courier?],MATCH($C229,tblMoveTypes[Movement],0)),"?")="No",$I229&lt;&gt;""),"Leave Courier blank",IF(AND(IFERROR(INDEX(tblMoveTypes[Orders?],MATCH($C229,tblMoveTypes[Movement],0)),"?")="Yes",$H229=""),"Orders needed",IF(AND(IFERROR(INDEX(tblMoveTypes[Orders?],MATCH($C229,tblMoveTypes[Movement],0)),"?")="No",$H229&lt;&gt;""),"Leave Orders blank",IF(AND(IFERROR(INDEX(tblMoveTypes[Reason?],MATCH($C229,tblMoveTypes[Movement],0)),"?")="Yes",$J229=""),"Reason needed",IF($A229&lt;_xlfn.MINIFS(tblShipment[Arrival Date],tblShipment[Shipment No],$B229),"Date before arrival",IF(AND($E229&lt;&gt;"",COUNTIFS(tblShipment[Shipment No],$B229,tblShipment[Item Name],$E229)=0),"Item not in this shipment","OK")))))))))))))))))</f>
        <v>OK</v>
      </c>
    </row>
    <row r="230" customFormat="false" ht="15" hidden="false" customHeight="false" outlineLevel="0" collapsed="false">
      <c r="A230" s="32" t="n">
        <v>46242</v>
      </c>
      <c r="B230" s="31" t="s">
        <v>164</v>
      </c>
      <c r="C230" s="31" t="s">
        <v>78</v>
      </c>
      <c r="D230" s="34" t="str">
        <f aca="false">IF($C230="","",IFERROR(IF(IFERROR(INDEX(tblMoveTypes[In / Out],MATCH($C230,tblMoveTypes[Movement],0)),"?")="IN","IN   ",IF(IFERROR(INDEX(tblMoveTypes[In / Out],MATCH($C230,tblMoveTypes[Movement],0)),"?")="OUT","OUT   ","--   "))&amp;"fill: "&amp;IF(IFERROR(INDEX(tblMoveTypes[Item?],MATCH($C230,tblMoveTypes[Movement],0)),"?")="Yes","Item  ","")&amp;IF(AND(IFERROR(INDEX(tblMoveTypes[Qty?],MATCH($C230,tblMoveTypes[Movement],0)),"?")="Yes",IFERROR(INDEX(tblMoveTypes[In / Out],MATCH($C230,tblMoveTypes[Movement],0)),"?")="IN"),"In  ","")&amp;IF(AND(IFERROR(INDEX(tblMoveTypes[Qty?],MATCH($C230,tblMoveTypes[Movement],0)),"?")="Yes",IFERROR(INDEX(tblMoveTypes[In / Out],MATCH($C230,tblMoveTypes[Movement],0)),"?")="OUT"),"Out  ","")&amp;IF(IFERROR(INDEX(tblMoveTypes[Orders?],MATCH($C230,tblMoveTypes[Movement],0)),"?")="Yes","Orders  ","")&amp;IF(IFERROR(INDEX(tblMoveTypes[Courier?],MATCH($C230,tblMoveTypes[Movement],0)),"?")="Yes","Courier  ","")&amp;IF(IFERROR(INDEX(tblMoveTypes[Reason?],MATCH($C230,tblMoveTypes[Movement],0)),"?")="Yes","Reason",""),"unknown movement"))</f>
        <v>OUT   fill: Item  Out  Reason</v>
      </c>
      <c r="E230" s="31" t="s">
        <v>84</v>
      </c>
      <c r="F230" s="33"/>
      <c r="G230" s="33" t="n">
        <v>1</v>
      </c>
      <c r="H230" s="33"/>
      <c r="I230" s="31"/>
      <c r="J230" s="31" t="s">
        <v>77</v>
      </c>
      <c r="K230" s="31"/>
      <c r="L230" s="31"/>
      <c r="M230" s="34" t="str">
        <f aca="false">IF($E230="","",IFERROR(INDEX(tblItems[Item Code],MATCH($E230,tblItems[Item Name],0)),"?"))</f>
        <v>EG-FG-MNG-12-02-01-01</v>
      </c>
      <c r="N230" s="34" t="str">
        <f aca="false">IF($B230="","",IFERROR(INDEX(tblShipment[Market],MATCH($B230,tblShipment[Shipment No],0)),"?"))</f>
        <v>Qatar</v>
      </c>
      <c r="O230" s="35" t="n">
        <f aca="false">N($F230)+N($G230)</f>
        <v>1</v>
      </c>
      <c r="P230" s="34" t="str">
        <f aca="false">IF($A230="","",IF($L230="Yes","VOID",IF(COUNTIFS(tblMoveTypes[Movement],$C230)=0,"Unknown movement",IF(COUNTIF(tblShipment[Shipment No],$B230)=0,"Unknown shipment",IF(AND(IFERROR(INDEX(tblMoveTypes[Item?],MATCH($C230,tblMoveTypes[Movement],0)),"?")="Yes",$E230=""),"Item needed",IF(AND(IFERROR(INDEX(tblMoveTypes[Item?],MATCH($C230,tblMoveTypes[Movement],0)),"?")="No",$E230&lt;&gt;""),"Leave Item blank",IF(AND(IFERROR(INDEX(tblMoveTypes[In / Out],MATCH($C230,tblMoveTypes[Movement],0)),"?")="IN",$G230&lt;&gt;""),"Use the In column, not Out",IF(AND(IFERROR(INDEX(tblMoveTypes[In / Out],MATCH($C230,tblMoveTypes[Movement],0)),"?")="OUT",$F230&lt;&gt;""),"Use the Out column, not In",IF(AND(IFERROR(INDEX(tblMoveTypes[Qty?],MATCH($C230,tblMoveTypes[Movement],0)),"?")="Yes",N($F230)+N($G230)&lt;=0),"Qty needed",IF(AND(IFERROR(INDEX(tblMoveTypes[Qty?],MATCH($C230,tblMoveTypes[Movement],0)),"?")="No",N($F230)+N($G230)&gt;0),"Leave In and Out blank",IF(AND(IFERROR(INDEX(tblMoveTypes[Courier?],MATCH($C230,tblMoveTypes[Movement],0)),"?")="Yes",$I230=""),"Courier needed",IF(AND(IFERROR(INDEX(tblMoveTypes[Courier?],MATCH($C230,tblMoveTypes[Movement],0)),"?")="No",$I230&lt;&gt;""),"Leave Courier blank",IF(AND(IFERROR(INDEX(tblMoveTypes[Orders?],MATCH($C230,tblMoveTypes[Movement],0)),"?")="Yes",$H230=""),"Orders needed",IF(AND(IFERROR(INDEX(tblMoveTypes[Orders?],MATCH($C230,tblMoveTypes[Movement],0)),"?")="No",$H230&lt;&gt;""),"Leave Orders blank",IF(AND(IFERROR(INDEX(tblMoveTypes[Reason?],MATCH($C230,tblMoveTypes[Movement],0)),"?")="Yes",$J230=""),"Reason needed",IF($A230&lt;_xlfn.MINIFS(tblShipment[Arrival Date],tblShipment[Shipment No],$B230),"Date before arrival",IF(AND($E230&lt;&gt;"",COUNTIFS(tblShipment[Shipment No],$B230,tblShipment[Item Name],$E230)=0),"Item not in this shipment","OK")))))))))))))))))</f>
        <v>OK</v>
      </c>
    </row>
    <row r="231" customFormat="false" ht="15" hidden="false" customHeight="false" outlineLevel="0" collapsed="false">
      <c r="A231" s="32" t="n">
        <v>46242</v>
      </c>
      <c r="B231" s="31" t="s">
        <v>164</v>
      </c>
      <c r="C231" s="31" t="s">
        <v>79</v>
      </c>
      <c r="D231" s="34" t="str">
        <f aca="false">IF($C231="","",IFERROR(IF(IFERROR(INDEX(tblMoveTypes[In / Out],MATCH($C231,tblMoveTypes[Movement],0)),"?")="IN","IN   ",IF(IFERROR(INDEX(tblMoveTypes[In / Out],MATCH($C231,tblMoveTypes[Movement],0)),"?")="OUT","OUT   ","--   "))&amp;"fill: "&amp;IF(IFERROR(INDEX(tblMoveTypes[Item?],MATCH($C231,tblMoveTypes[Movement],0)),"?")="Yes","Item  ","")&amp;IF(AND(IFERROR(INDEX(tblMoveTypes[Qty?],MATCH($C231,tblMoveTypes[Movement],0)),"?")="Yes",IFERROR(INDEX(tblMoveTypes[In / Out],MATCH($C231,tblMoveTypes[Movement],0)),"?")="IN"),"In  ","")&amp;IF(AND(IFERROR(INDEX(tblMoveTypes[Qty?],MATCH($C231,tblMoveTypes[Movement],0)),"?")="Yes",IFERROR(INDEX(tblMoveTypes[In / Out],MATCH($C231,tblMoveTypes[Movement],0)),"?")="OUT"),"Out  ","")&amp;IF(IFERROR(INDEX(tblMoveTypes[Orders?],MATCH($C231,tblMoveTypes[Movement],0)),"?")="Yes","Orders  ","")&amp;IF(IFERROR(INDEX(tblMoveTypes[Courier?],MATCH($C231,tblMoveTypes[Movement],0)),"?")="Yes","Courier  ","")&amp;IF(IFERROR(INDEX(tblMoveTypes[Reason?],MATCH($C231,tblMoveTypes[Movement],0)),"?")="Yes","Reason",""),"unknown movement"))</f>
        <v>IN   fill: Item  In  </v>
      </c>
      <c r="E231" s="31" t="s">
        <v>91</v>
      </c>
      <c r="F231" s="33" t="n">
        <v>60</v>
      </c>
      <c r="G231" s="33"/>
      <c r="H231" s="33"/>
      <c r="I231" s="31"/>
      <c r="J231" s="31"/>
      <c r="K231" s="31"/>
      <c r="L231" s="31"/>
      <c r="M231" s="34" t="str">
        <f aca="false">IF($E231="","",IFERROR(INDEX(tblItems[Item Code],MATCH($E231,tblItems[Item Name],0)),"?"))</f>
        <v>EG-FG-FIG-01-02-01-01</v>
      </c>
      <c r="N231" s="34" t="str">
        <f aca="false">IF($B231="","",IFERROR(INDEX(tblShipment[Market],MATCH($B231,tblShipment[Shipment No],0)),"?"))</f>
        <v>Qatar</v>
      </c>
      <c r="O231" s="35" t="n">
        <f aca="false">N($F231)+N($G231)</f>
        <v>60</v>
      </c>
      <c r="P231" s="34" t="str">
        <f aca="false">IF($A231="","",IF($L231="Yes","VOID",IF(COUNTIFS(tblMoveTypes[Movement],$C231)=0,"Unknown movement",IF(COUNTIF(tblShipment[Shipment No],$B231)=0,"Unknown shipment",IF(AND(IFERROR(INDEX(tblMoveTypes[Item?],MATCH($C231,tblMoveTypes[Movement],0)),"?")="Yes",$E231=""),"Item needed",IF(AND(IFERROR(INDEX(tblMoveTypes[Item?],MATCH($C231,tblMoveTypes[Movement],0)),"?")="No",$E231&lt;&gt;""),"Leave Item blank",IF(AND(IFERROR(INDEX(tblMoveTypes[In / Out],MATCH($C231,tblMoveTypes[Movement],0)),"?")="IN",$G231&lt;&gt;""),"Use the In column, not Out",IF(AND(IFERROR(INDEX(tblMoveTypes[In / Out],MATCH($C231,tblMoveTypes[Movement],0)),"?")="OUT",$F231&lt;&gt;""),"Use the Out column, not In",IF(AND(IFERROR(INDEX(tblMoveTypes[Qty?],MATCH($C231,tblMoveTypes[Movement],0)),"?")="Yes",N($F231)+N($G231)&lt;=0),"Qty needed",IF(AND(IFERROR(INDEX(tblMoveTypes[Qty?],MATCH($C231,tblMoveTypes[Movement],0)),"?")="No",N($F231)+N($G231)&gt;0),"Leave In and Out blank",IF(AND(IFERROR(INDEX(tblMoveTypes[Courier?],MATCH($C231,tblMoveTypes[Movement],0)),"?")="Yes",$I231=""),"Courier needed",IF(AND(IFERROR(INDEX(tblMoveTypes[Courier?],MATCH($C231,tblMoveTypes[Movement],0)),"?")="No",$I231&lt;&gt;""),"Leave Courier blank",IF(AND(IFERROR(INDEX(tblMoveTypes[Orders?],MATCH($C231,tblMoveTypes[Movement],0)),"?")="Yes",$H231=""),"Orders needed",IF(AND(IFERROR(INDEX(tblMoveTypes[Orders?],MATCH($C231,tblMoveTypes[Movement],0)),"?")="No",$H231&lt;&gt;""),"Leave Orders blank",IF(AND(IFERROR(INDEX(tblMoveTypes[Reason?],MATCH($C231,tblMoveTypes[Movement],0)),"?")="Yes",$J231=""),"Reason needed",IF($A231&lt;_xlfn.MINIFS(tblShipment[Arrival Date],tblShipment[Shipment No],$B231),"Date before arrival",IF(AND($E231&lt;&gt;"",COUNTIFS(tblShipment[Shipment No],$B231,tblShipment[Item Name],$E231)=0),"Item not in this shipment","OK")))))))))))))))))</f>
        <v>OK</v>
      </c>
    </row>
    <row r="232" customFormat="false" ht="15" hidden="false" customHeight="false" outlineLevel="0" collapsed="false">
      <c r="A232" s="32" t="n">
        <v>46242</v>
      </c>
      <c r="B232" s="31" t="s">
        <v>164</v>
      </c>
      <c r="C232" s="31" t="s">
        <v>78</v>
      </c>
      <c r="D232" s="34" t="str">
        <f aca="false">IF($C232="","",IFERROR(IF(IFERROR(INDEX(tblMoveTypes[In / Out],MATCH($C232,tblMoveTypes[Movement],0)),"?")="IN","IN   ",IF(IFERROR(INDEX(tblMoveTypes[In / Out],MATCH($C232,tblMoveTypes[Movement],0)),"?")="OUT","OUT   ","--   "))&amp;"fill: "&amp;IF(IFERROR(INDEX(tblMoveTypes[Item?],MATCH($C232,tblMoveTypes[Movement],0)),"?")="Yes","Item  ","")&amp;IF(AND(IFERROR(INDEX(tblMoveTypes[Qty?],MATCH($C232,tblMoveTypes[Movement],0)),"?")="Yes",IFERROR(INDEX(tblMoveTypes[In / Out],MATCH($C232,tblMoveTypes[Movement],0)),"?")="IN"),"In  ","")&amp;IF(AND(IFERROR(INDEX(tblMoveTypes[Qty?],MATCH($C232,tblMoveTypes[Movement],0)),"?")="Yes",IFERROR(INDEX(tblMoveTypes[In / Out],MATCH($C232,tblMoveTypes[Movement],0)),"?")="OUT"),"Out  ","")&amp;IF(IFERROR(INDEX(tblMoveTypes[Orders?],MATCH($C232,tblMoveTypes[Movement],0)),"?")="Yes","Orders  ","")&amp;IF(IFERROR(INDEX(tblMoveTypes[Courier?],MATCH($C232,tblMoveTypes[Movement],0)),"?")="Yes","Courier  ","")&amp;IF(IFERROR(INDEX(tblMoveTypes[Reason?],MATCH($C232,tblMoveTypes[Movement],0)),"?")="Yes","Reason",""),"unknown movement"))</f>
        <v>OUT   fill: Item  Out  Reason</v>
      </c>
      <c r="E232" s="31" t="s">
        <v>91</v>
      </c>
      <c r="F232" s="33"/>
      <c r="G232" s="33" t="n">
        <v>1</v>
      </c>
      <c r="H232" s="33"/>
      <c r="I232" s="31"/>
      <c r="J232" s="31" t="s">
        <v>77</v>
      </c>
      <c r="K232" s="31"/>
      <c r="L232" s="31"/>
      <c r="M232" s="34" t="str">
        <f aca="false">IF($E232="","",IFERROR(INDEX(tblItems[Item Code],MATCH($E232,tblItems[Item Name],0)),"?"))</f>
        <v>EG-FG-FIG-01-02-01-01</v>
      </c>
      <c r="N232" s="34" t="str">
        <f aca="false">IF($B232="","",IFERROR(INDEX(tblShipment[Market],MATCH($B232,tblShipment[Shipment No],0)),"?"))</f>
        <v>Qatar</v>
      </c>
      <c r="O232" s="35" t="n">
        <f aca="false">N($F232)+N($G232)</f>
        <v>1</v>
      </c>
      <c r="P232" s="34" t="str">
        <f aca="false">IF($A232="","",IF($L232="Yes","VOID",IF(COUNTIFS(tblMoveTypes[Movement],$C232)=0,"Unknown movement",IF(COUNTIF(tblShipment[Shipment No],$B232)=0,"Unknown shipment",IF(AND(IFERROR(INDEX(tblMoveTypes[Item?],MATCH($C232,tblMoveTypes[Movement],0)),"?")="Yes",$E232=""),"Item needed",IF(AND(IFERROR(INDEX(tblMoveTypes[Item?],MATCH($C232,tblMoveTypes[Movement],0)),"?")="No",$E232&lt;&gt;""),"Leave Item blank",IF(AND(IFERROR(INDEX(tblMoveTypes[In / Out],MATCH($C232,tblMoveTypes[Movement],0)),"?")="IN",$G232&lt;&gt;""),"Use the In column, not Out",IF(AND(IFERROR(INDEX(tblMoveTypes[In / Out],MATCH($C232,tblMoveTypes[Movement],0)),"?")="OUT",$F232&lt;&gt;""),"Use the Out column, not In",IF(AND(IFERROR(INDEX(tblMoveTypes[Qty?],MATCH($C232,tblMoveTypes[Movement],0)),"?")="Yes",N($F232)+N($G232)&lt;=0),"Qty needed",IF(AND(IFERROR(INDEX(tblMoveTypes[Qty?],MATCH($C232,tblMoveTypes[Movement],0)),"?")="No",N($F232)+N($G232)&gt;0),"Leave In and Out blank",IF(AND(IFERROR(INDEX(tblMoveTypes[Courier?],MATCH($C232,tblMoveTypes[Movement],0)),"?")="Yes",$I232=""),"Courier needed",IF(AND(IFERROR(INDEX(tblMoveTypes[Courier?],MATCH($C232,tblMoveTypes[Movement],0)),"?")="No",$I232&lt;&gt;""),"Leave Courier blank",IF(AND(IFERROR(INDEX(tblMoveTypes[Orders?],MATCH($C232,tblMoveTypes[Movement],0)),"?")="Yes",$H232=""),"Orders needed",IF(AND(IFERROR(INDEX(tblMoveTypes[Orders?],MATCH($C232,tblMoveTypes[Movement],0)),"?")="No",$H232&lt;&gt;""),"Leave Orders blank",IF(AND(IFERROR(INDEX(tblMoveTypes[Reason?],MATCH($C232,tblMoveTypes[Movement],0)),"?")="Yes",$J232=""),"Reason needed",IF($A232&lt;_xlfn.MINIFS(tblShipment[Arrival Date],tblShipment[Shipment No],$B232),"Date before arrival",IF(AND($E232&lt;&gt;"",COUNTIFS(tblShipment[Shipment No],$B232,tblShipment[Item Name],$E232)=0),"Item not in this shipment","OK")))))))))))))))))</f>
        <v>OK</v>
      </c>
    </row>
    <row r="233" customFormat="false" ht="15" hidden="false" customHeight="false" outlineLevel="0" collapsed="false">
      <c r="A233" s="32" t="n">
        <v>46242</v>
      </c>
      <c r="B233" s="31" t="s">
        <v>164</v>
      </c>
      <c r="C233" s="31" t="s">
        <v>79</v>
      </c>
      <c r="D233" s="34" t="str">
        <f aca="false">IF($C233="","",IFERROR(IF(IFERROR(INDEX(tblMoveTypes[In / Out],MATCH($C233,tblMoveTypes[Movement],0)),"?")="IN","IN   ",IF(IFERROR(INDEX(tblMoveTypes[In / Out],MATCH($C233,tblMoveTypes[Movement],0)),"?")="OUT","OUT   ","--   "))&amp;"fill: "&amp;IF(IFERROR(INDEX(tblMoveTypes[Item?],MATCH($C233,tblMoveTypes[Movement],0)),"?")="Yes","Item  ","")&amp;IF(AND(IFERROR(INDEX(tblMoveTypes[Qty?],MATCH($C233,tblMoveTypes[Movement],0)),"?")="Yes",IFERROR(INDEX(tblMoveTypes[In / Out],MATCH($C233,tblMoveTypes[Movement],0)),"?")="IN"),"In  ","")&amp;IF(AND(IFERROR(INDEX(tblMoveTypes[Qty?],MATCH($C233,tblMoveTypes[Movement],0)),"?")="Yes",IFERROR(INDEX(tblMoveTypes[In / Out],MATCH($C233,tblMoveTypes[Movement],0)),"?")="OUT"),"Out  ","")&amp;IF(IFERROR(INDEX(tblMoveTypes[Orders?],MATCH($C233,tblMoveTypes[Movement],0)),"?")="Yes","Orders  ","")&amp;IF(IFERROR(INDEX(tblMoveTypes[Courier?],MATCH($C233,tblMoveTypes[Movement],0)),"?")="Yes","Courier  ","")&amp;IF(IFERROR(INDEX(tblMoveTypes[Reason?],MATCH($C233,tblMoveTypes[Movement],0)),"?")="Yes","Reason",""),"unknown movement"))</f>
        <v>IN   fill: Item  In  </v>
      </c>
      <c r="E233" s="31" t="s">
        <v>122</v>
      </c>
      <c r="F233" s="33" t="n">
        <v>20</v>
      </c>
      <c r="G233" s="33"/>
      <c r="H233" s="33"/>
      <c r="I233" s="31"/>
      <c r="J233" s="31"/>
      <c r="K233" s="31"/>
      <c r="L233" s="31"/>
      <c r="M233" s="34" t="str">
        <f aca="false">IF($E233="","",IFERROR(INDEX(tblItems[Item Code],MATCH($E233,tblItems[Item Name],0)),"?"))</f>
        <v>EG-FG-GRP-01-02-01-01</v>
      </c>
      <c r="N233" s="34" t="str">
        <f aca="false">IF($B233="","",IFERROR(INDEX(tblShipment[Market],MATCH($B233,tblShipment[Shipment No],0)),"?"))</f>
        <v>Qatar</v>
      </c>
      <c r="O233" s="35" t="n">
        <f aca="false">N($F233)+N($G233)</f>
        <v>20</v>
      </c>
      <c r="P233" s="34" t="str">
        <f aca="false">IF($A233="","",IF($L233="Yes","VOID",IF(COUNTIFS(tblMoveTypes[Movement],$C233)=0,"Unknown movement",IF(COUNTIF(tblShipment[Shipment No],$B233)=0,"Unknown shipment",IF(AND(IFERROR(INDEX(tblMoveTypes[Item?],MATCH($C233,tblMoveTypes[Movement],0)),"?")="Yes",$E233=""),"Item needed",IF(AND(IFERROR(INDEX(tblMoveTypes[Item?],MATCH($C233,tblMoveTypes[Movement],0)),"?")="No",$E233&lt;&gt;""),"Leave Item blank",IF(AND(IFERROR(INDEX(tblMoveTypes[In / Out],MATCH($C233,tblMoveTypes[Movement],0)),"?")="IN",$G233&lt;&gt;""),"Use the In column, not Out",IF(AND(IFERROR(INDEX(tblMoveTypes[In / Out],MATCH($C233,tblMoveTypes[Movement],0)),"?")="OUT",$F233&lt;&gt;""),"Use the Out column, not In",IF(AND(IFERROR(INDEX(tblMoveTypes[Qty?],MATCH($C233,tblMoveTypes[Movement],0)),"?")="Yes",N($F233)+N($G233)&lt;=0),"Qty needed",IF(AND(IFERROR(INDEX(tblMoveTypes[Qty?],MATCH($C233,tblMoveTypes[Movement],0)),"?")="No",N($F233)+N($G233)&gt;0),"Leave In and Out blank",IF(AND(IFERROR(INDEX(tblMoveTypes[Courier?],MATCH($C233,tblMoveTypes[Movement],0)),"?")="Yes",$I233=""),"Courier needed",IF(AND(IFERROR(INDEX(tblMoveTypes[Courier?],MATCH($C233,tblMoveTypes[Movement],0)),"?")="No",$I233&lt;&gt;""),"Leave Courier blank",IF(AND(IFERROR(INDEX(tblMoveTypes[Orders?],MATCH($C233,tblMoveTypes[Movement],0)),"?")="Yes",$H233=""),"Orders needed",IF(AND(IFERROR(INDEX(tblMoveTypes[Orders?],MATCH($C233,tblMoveTypes[Movement],0)),"?")="No",$H233&lt;&gt;""),"Leave Orders blank",IF(AND(IFERROR(INDEX(tblMoveTypes[Reason?],MATCH($C233,tblMoveTypes[Movement],0)),"?")="Yes",$J233=""),"Reason needed",IF($A233&lt;_xlfn.MINIFS(tblShipment[Arrival Date],tblShipment[Shipment No],$B233),"Date before arrival",IF(AND($E233&lt;&gt;"",COUNTIFS(tblShipment[Shipment No],$B233,tblShipment[Item Name],$E233)=0),"Item not in this shipment","OK")))))))))))))))))</f>
        <v>OK</v>
      </c>
    </row>
    <row r="234" customFormat="false" ht="15" hidden="false" customHeight="false" outlineLevel="0" collapsed="false">
      <c r="A234" s="32" t="n">
        <v>46242</v>
      </c>
      <c r="B234" s="31" t="s">
        <v>164</v>
      </c>
      <c r="C234" s="31" t="s">
        <v>103</v>
      </c>
      <c r="D234" s="34" t="str">
        <f aca="false">IF($C234="","",IFERROR(IF(IFERROR(INDEX(tblMoveTypes[In / Out],MATCH($C234,tblMoveTypes[Movement],0)),"?")="IN","IN   ",IF(IFERROR(INDEX(tblMoveTypes[In / Out],MATCH($C234,tblMoveTypes[Movement],0)),"?")="OUT","OUT   ","--   "))&amp;"fill: "&amp;IF(IFERROR(INDEX(tblMoveTypes[Item?],MATCH($C234,tblMoveTypes[Movement],0)),"?")="Yes","Item  ","")&amp;IF(AND(IFERROR(INDEX(tblMoveTypes[Qty?],MATCH($C234,tblMoveTypes[Movement],0)),"?")="Yes",IFERROR(INDEX(tblMoveTypes[In / Out],MATCH($C234,tblMoveTypes[Movement],0)),"?")="IN"),"In  ","")&amp;IF(AND(IFERROR(INDEX(tblMoveTypes[Qty?],MATCH($C234,tblMoveTypes[Movement],0)),"?")="Yes",IFERROR(INDEX(tblMoveTypes[In / Out],MATCH($C234,tblMoveTypes[Movement],0)),"?")="OUT"),"Out  ","")&amp;IF(IFERROR(INDEX(tblMoveTypes[Orders?],MATCH($C234,tblMoveTypes[Movement],0)),"?")="Yes","Orders  ","")&amp;IF(IFERROR(INDEX(tblMoveTypes[Courier?],MATCH($C234,tblMoveTypes[Movement],0)),"?")="Yes","Courier  ","")&amp;IF(IFERROR(INDEX(tblMoveTypes[Reason?],MATCH($C234,tblMoveTypes[Movement],0)),"?")="Yes","Reason",""),"unknown movement"))</f>
        <v>--   fill: Orders  </v>
      </c>
      <c r="E234" s="31"/>
      <c r="F234" s="33"/>
      <c r="G234" s="33"/>
      <c r="H234" s="33" t="n">
        <v>224</v>
      </c>
      <c r="I234" s="31"/>
      <c r="J234" s="31"/>
      <c r="K234" s="31"/>
      <c r="L234" s="31"/>
      <c r="M234" s="34" t="str">
        <f aca="false">IF($E234="","",IFERROR(INDEX(tblItems[Item Code],MATCH($E234,tblItems[Item Name],0)),"?"))</f>
        <v/>
      </c>
      <c r="N234" s="34" t="str">
        <f aca="false">IF($B234="","",IFERROR(INDEX(tblShipment[Market],MATCH($B234,tblShipment[Shipment No],0)),"?"))</f>
        <v>Qatar</v>
      </c>
      <c r="O234" s="35" t="n">
        <f aca="false">N($F234)+N($G234)</f>
        <v>0</v>
      </c>
      <c r="P234" s="34" t="str">
        <f aca="false">IF($A234="","",IF($L234="Yes","VOID",IF(COUNTIFS(tblMoveTypes[Movement],$C234)=0,"Unknown movement",IF(COUNTIF(tblShipment[Shipment No],$B234)=0,"Unknown shipment",IF(AND(IFERROR(INDEX(tblMoveTypes[Item?],MATCH($C234,tblMoveTypes[Movement],0)),"?")="Yes",$E234=""),"Item needed",IF(AND(IFERROR(INDEX(tblMoveTypes[Item?],MATCH($C234,tblMoveTypes[Movement],0)),"?")="No",$E234&lt;&gt;""),"Leave Item blank",IF(AND(IFERROR(INDEX(tblMoveTypes[In / Out],MATCH($C234,tblMoveTypes[Movement],0)),"?")="IN",$G234&lt;&gt;""),"Use the In column, not Out",IF(AND(IFERROR(INDEX(tblMoveTypes[In / Out],MATCH($C234,tblMoveTypes[Movement],0)),"?")="OUT",$F234&lt;&gt;""),"Use the Out column, not In",IF(AND(IFERROR(INDEX(tblMoveTypes[Qty?],MATCH($C234,tblMoveTypes[Movement],0)),"?")="Yes",N($F234)+N($G234)&lt;=0),"Qty needed",IF(AND(IFERROR(INDEX(tblMoveTypes[Qty?],MATCH($C234,tblMoveTypes[Movement],0)),"?")="No",N($F234)+N($G234)&gt;0),"Leave In and Out blank",IF(AND(IFERROR(INDEX(tblMoveTypes[Courier?],MATCH($C234,tblMoveTypes[Movement],0)),"?")="Yes",$I234=""),"Courier needed",IF(AND(IFERROR(INDEX(tblMoveTypes[Courier?],MATCH($C234,tblMoveTypes[Movement],0)),"?")="No",$I234&lt;&gt;""),"Leave Courier blank",IF(AND(IFERROR(INDEX(tblMoveTypes[Orders?],MATCH($C234,tblMoveTypes[Movement],0)),"?")="Yes",$H234=""),"Orders needed",IF(AND(IFERROR(INDEX(tblMoveTypes[Orders?],MATCH($C234,tblMoveTypes[Movement],0)),"?")="No",$H234&lt;&gt;""),"Leave Orders blank",IF(AND(IFERROR(INDEX(tblMoveTypes[Reason?],MATCH($C234,tblMoveTypes[Movement],0)),"?")="Yes",$J234=""),"Reason needed",IF($A234&lt;_xlfn.MINIFS(tblShipment[Arrival Date],tblShipment[Shipment No],$B234),"Date before arrival",IF(AND($E234&lt;&gt;"",COUNTIFS(tblShipment[Shipment No],$B234,tblShipment[Item Name],$E234)=0),"Item not in this shipment","OK")))))))))))))))))</f>
        <v>OK</v>
      </c>
    </row>
    <row r="235" customFormat="false" ht="15" hidden="false" customHeight="false" outlineLevel="0" collapsed="false">
      <c r="A235" s="32" t="n">
        <v>46242</v>
      </c>
      <c r="B235" s="31" t="s">
        <v>164</v>
      </c>
      <c r="C235" s="31" t="s">
        <v>98</v>
      </c>
      <c r="D235" s="34" t="str">
        <f aca="false">IF($C235="","",IFERROR(IF(IFERROR(INDEX(tblMoveTypes[In / Out],MATCH($C235,tblMoveTypes[Movement],0)),"?")="IN","IN   ",IF(IFERROR(INDEX(tblMoveTypes[In / Out],MATCH($C235,tblMoveTypes[Movement],0)),"?")="OUT","OUT   ","--   "))&amp;"fill: "&amp;IF(IFERROR(INDEX(tblMoveTypes[Item?],MATCH($C235,tblMoveTypes[Movement],0)),"?")="Yes","Item  ","")&amp;IF(AND(IFERROR(INDEX(tblMoveTypes[Qty?],MATCH($C235,tblMoveTypes[Movement],0)),"?")="Yes",IFERROR(INDEX(tblMoveTypes[In / Out],MATCH($C235,tblMoveTypes[Movement],0)),"?")="IN"),"In  ","")&amp;IF(AND(IFERROR(INDEX(tblMoveTypes[Qty?],MATCH($C235,tblMoveTypes[Movement],0)),"?")="Yes",IFERROR(INDEX(tblMoveTypes[In / Out],MATCH($C235,tblMoveTypes[Movement],0)),"?")="OUT"),"Out  ","")&amp;IF(IFERROR(INDEX(tblMoveTypes[Orders?],MATCH($C235,tblMoveTypes[Movement],0)),"?")="Yes","Orders  ","")&amp;IF(IFERROR(INDEX(tblMoveTypes[Courier?],MATCH($C235,tblMoveTypes[Movement],0)),"?")="Yes","Courier  ","")&amp;IF(IFERROR(INDEX(tblMoveTypes[Reason?],MATCH($C235,tblMoveTypes[Movement],0)),"?")="Yes","Reason",""),"unknown movement"))</f>
        <v>OUT   fill: Item  Out  Courier  </v>
      </c>
      <c r="E235" s="31" t="s">
        <v>100</v>
      </c>
      <c r="F235" s="33"/>
      <c r="G235" s="33" t="n">
        <v>34</v>
      </c>
      <c r="H235" s="33"/>
      <c r="I235" s="31" t="s">
        <v>76</v>
      </c>
      <c r="J235" s="31"/>
      <c r="K235" s="31"/>
      <c r="L235" s="31"/>
      <c r="M235" s="34" t="str">
        <f aca="false">IF($E235="","",IFERROR(INDEX(tblItems[Item Code],MATCH($E235,tblItems[Item Name],0)),"?"))</f>
        <v>EG-FG-MNG-18-02-01-01</v>
      </c>
      <c r="N235" s="34" t="str">
        <f aca="false">IF($B235="","",IFERROR(INDEX(tblShipment[Market],MATCH($B235,tblShipment[Shipment No],0)),"?"))</f>
        <v>Qatar</v>
      </c>
      <c r="O235" s="35" t="n">
        <f aca="false">N($F235)+N($G235)</f>
        <v>34</v>
      </c>
      <c r="P235" s="34" t="str">
        <f aca="false">IF($A235="","",IF($L235="Yes","VOID",IF(COUNTIFS(tblMoveTypes[Movement],$C235)=0,"Unknown movement",IF(COUNTIF(tblShipment[Shipment No],$B235)=0,"Unknown shipment",IF(AND(IFERROR(INDEX(tblMoveTypes[Item?],MATCH($C235,tblMoveTypes[Movement],0)),"?")="Yes",$E235=""),"Item needed",IF(AND(IFERROR(INDEX(tblMoveTypes[Item?],MATCH($C235,tblMoveTypes[Movement],0)),"?")="No",$E235&lt;&gt;""),"Leave Item blank",IF(AND(IFERROR(INDEX(tblMoveTypes[In / Out],MATCH($C235,tblMoveTypes[Movement],0)),"?")="IN",$G235&lt;&gt;""),"Use the In column, not Out",IF(AND(IFERROR(INDEX(tblMoveTypes[In / Out],MATCH($C235,tblMoveTypes[Movement],0)),"?")="OUT",$F235&lt;&gt;""),"Use the Out column, not In",IF(AND(IFERROR(INDEX(tblMoveTypes[Qty?],MATCH($C235,tblMoveTypes[Movement],0)),"?")="Yes",N($F235)+N($G235)&lt;=0),"Qty needed",IF(AND(IFERROR(INDEX(tblMoveTypes[Qty?],MATCH($C235,tblMoveTypes[Movement],0)),"?")="No",N($F235)+N($G235)&gt;0),"Leave In and Out blank",IF(AND(IFERROR(INDEX(tblMoveTypes[Courier?],MATCH($C235,tblMoveTypes[Movement],0)),"?")="Yes",$I235=""),"Courier needed",IF(AND(IFERROR(INDEX(tblMoveTypes[Courier?],MATCH($C235,tblMoveTypes[Movement],0)),"?")="No",$I235&lt;&gt;""),"Leave Courier blank",IF(AND(IFERROR(INDEX(tblMoveTypes[Orders?],MATCH($C235,tblMoveTypes[Movement],0)),"?")="Yes",$H235=""),"Orders needed",IF(AND(IFERROR(INDEX(tblMoveTypes[Orders?],MATCH($C235,tblMoveTypes[Movement],0)),"?")="No",$H235&lt;&gt;""),"Leave Orders blank",IF(AND(IFERROR(INDEX(tblMoveTypes[Reason?],MATCH($C235,tblMoveTypes[Movement],0)),"?")="Yes",$J235=""),"Reason needed",IF($A235&lt;_xlfn.MINIFS(tblShipment[Arrival Date],tblShipment[Shipment No],$B235),"Date before arrival",IF(AND($E235&lt;&gt;"",COUNTIFS(tblShipment[Shipment No],$B235,tblShipment[Item Name],$E235)=0),"Item not in this shipment","OK")))))))))))))))))</f>
        <v>OK</v>
      </c>
    </row>
    <row r="236" customFormat="false" ht="15" hidden="false" customHeight="false" outlineLevel="0" collapsed="false">
      <c r="A236" s="32" t="n">
        <v>46242</v>
      </c>
      <c r="B236" s="31" t="s">
        <v>164</v>
      </c>
      <c r="C236" s="31" t="s">
        <v>98</v>
      </c>
      <c r="D236" s="34" t="str">
        <f aca="false">IF($C236="","",IFERROR(IF(IFERROR(INDEX(tblMoveTypes[In / Out],MATCH($C236,tblMoveTypes[Movement],0)),"?")="IN","IN   ",IF(IFERROR(INDEX(tblMoveTypes[In / Out],MATCH($C236,tblMoveTypes[Movement],0)),"?")="OUT","OUT   ","--   "))&amp;"fill: "&amp;IF(IFERROR(INDEX(tblMoveTypes[Item?],MATCH($C236,tblMoveTypes[Movement],0)),"?")="Yes","Item  ","")&amp;IF(AND(IFERROR(INDEX(tblMoveTypes[Qty?],MATCH($C236,tblMoveTypes[Movement],0)),"?")="Yes",IFERROR(INDEX(tblMoveTypes[In / Out],MATCH($C236,tblMoveTypes[Movement],0)),"?")="IN"),"In  ","")&amp;IF(AND(IFERROR(INDEX(tblMoveTypes[Qty?],MATCH($C236,tblMoveTypes[Movement],0)),"?")="Yes",IFERROR(INDEX(tblMoveTypes[In / Out],MATCH($C236,tblMoveTypes[Movement],0)),"?")="OUT"),"Out  ","")&amp;IF(IFERROR(INDEX(tblMoveTypes[Orders?],MATCH($C236,tblMoveTypes[Movement],0)),"?")="Yes","Orders  ","")&amp;IF(IFERROR(INDEX(tblMoveTypes[Courier?],MATCH($C236,tblMoveTypes[Movement],0)),"?")="Yes","Courier  ","")&amp;IF(IFERROR(INDEX(tblMoveTypes[Reason?],MATCH($C236,tblMoveTypes[Movement],0)),"?")="Yes","Reason",""),"unknown movement"))</f>
        <v>OUT   fill: Item  Out  Courier  </v>
      </c>
      <c r="E236" s="31" t="s">
        <v>112</v>
      </c>
      <c r="F236" s="33"/>
      <c r="G236" s="33" t="n">
        <v>34</v>
      </c>
      <c r="H236" s="33"/>
      <c r="I236" s="31" t="s">
        <v>76</v>
      </c>
      <c r="J236" s="31"/>
      <c r="K236" s="31"/>
      <c r="L236" s="31"/>
      <c r="M236" s="34" t="str">
        <f aca="false">IF($E236="","",IFERROR(INDEX(tblItems[Item Code],MATCH($E236,tblItems[Item Name],0)),"?"))</f>
        <v>BOX-TRIO-01</v>
      </c>
      <c r="N236" s="34" t="str">
        <f aca="false">IF($B236="","",IFERROR(INDEX(tblShipment[Market],MATCH($B236,tblShipment[Shipment No],0)),"?"))</f>
        <v>Qatar</v>
      </c>
      <c r="O236" s="35" t="n">
        <f aca="false">N($F236)+N($G236)</f>
        <v>34</v>
      </c>
      <c r="P236" s="34" t="str">
        <f aca="false">IF($A236="","",IF($L236="Yes","VOID",IF(COUNTIFS(tblMoveTypes[Movement],$C236)=0,"Unknown movement",IF(COUNTIF(tblShipment[Shipment No],$B236)=0,"Unknown shipment",IF(AND(IFERROR(INDEX(tblMoveTypes[Item?],MATCH($C236,tblMoveTypes[Movement],0)),"?")="Yes",$E236=""),"Item needed",IF(AND(IFERROR(INDEX(tblMoveTypes[Item?],MATCH($C236,tblMoveTypes[Movement],0)),"?")="No",$E236&lt;&gt;""),"Leave Item blank",IF(AND(IFERROR(INDEX(tblMoveTypes[In / Out],MATCH($C236,tblMoveTypes[Movement],0)),"?")="IN",$G236&lt;&gt;""),"Use the In column, not Out",IF(AND(IFERROR(INDEX(tblMoveTypes[In / Out],MATCH($C236,tblMoveTypes[Movement],0)),"?")="OUT",$F236&lt;&gt;""),"Use the Out column, not In",IF(AND(IFERROR(INDEX(tblMoveTypes[Qty?],MATCH($C236,tblMoveTypes[Movement],0)),"?")="Yes",N($F236)+N($G236)&lt;=0),"Qty needed",IF(AND(IFERROR(INDEX(tblMoveTypes[Qty?],MATCH($C236,tblMoveTypes[Movement],0)),"?")="No",N($F236)+N($G236)&gt;0),"Leave In and Out blank",IF(AND(IFERROR(INDEX(tblMoveTypes[Courier?],MATCH($C236,tblMoveTypes[Movement],0)),"?")="Yes",$I236=""),"Courier needed",IF(AND(IFERROR(INDEX(tblMoveTypes[Courier?],MATCH($C236,tblMoveTypes[Movement],0)),"?")="No",$I236&lt;&gt;""),"Leave Courier blank",IF(AND(IFERROR(INDEX(tblMoveTypes[Orders?],MATCH($C236,tblMoveTypes[Movement],0)),"?")="Yes",$H236=""),"Orders needed",IF(AND(IFERROR(INDEX(tblMoveTypes[Orders?],MATCH($C236,tblMoveTypes[Movement],0)),"?")="No",$H236&lt;&gt;""),"Leave Orders blank",IF(AND(IFERROR(INDEX(tblMoveTypes[Reason?],MATCH($C236,tblMoveTypes[Movement],0)),"?")="Yes",$J236=""),"Reason needed",IF($A236&lt;_xlfn.MINIFS(tblShipment[Arrival Date],tblShipment[Shipment No],$B236),"Date before arrival",IF(AND($E236&lt;&gt;"",COUNTIFS(tblShipment[Shipment No],$B236,tblShipment[Item Name],$E236)=0),"Item not in this shipment","OK")))))))))))))))))</f>
        <v>OK</v>
      </c>
    </row>
    <row r="237" customFormat="false" ht="15" hidden="false" customHeight="false" outlineLevel="0" collapsed="false">
      <c r="A237" s="32" t="n">
        <v>46242</v>
      </c>
      <c r="B237" s="31" t="s">
        <v>164</v>
      </c>
      <c r="C237" s="31" t="s">
        <v>98</v>
      </c>
      <c r="D237" s="34" t="str">
        <f aca="false">IF($C237="","",IFERROR(IF(IFERROR(INDEX(tblMoveTypes[In / Out],MATCH($C237,tblMoveTypes[Movement],0)),"?")="IN","IN   ",IF(IFERROR(INDEX(tblMoveTypes[In / Out],MATCH($C237,tblMoveTypes[Movement],0)),"?")="OUT","OUT   ","--   "))&amp;"fill: "&amp;IF(IFERROR(INDEX(tblMoveTypes[Item?],MATCH($C237,tblMoveTypes[Movement],0)),"?")="Yes","Item  ","")&amp;IF(AND(IFERROR(INDEX(tblMoveTypes[Qty?],MATCH($C237,tblMoveTypes[Movement],0)),"?")="Yes",IFERROR(INDEX(tblMoveTypes[In / Out],MATCH($C237,tblMoveTypes[Movement],0)),"?")="IN"),"In  ","")&amp;IF(AND(IFERROR(INDEX(tblMoveTypes[Qty?],MATCH($C237,tblMoveTypes[Movement],0)),"?")="Yes",IFERROR(INDEX(tblMoveTypes[In / Out],MATCH($C237,tblMoveTypes[Movement],0)),"?")="OUT"),"Out  ","")&amp;IF(IFERROR(INDEX(tblMoveTypes[Orders?],MATCH($C237,tblMoveTypes[Movement],0)),"?")="Yes","Orders  ","")&amp;IF(IFERROR(INDEX(tblMoveTypes[Courier?],MATCH($C237,tblMoveTypes[Movement],0)),"?")="Yes","Courier  ","")&amp;IF(IFERROR(INDEX(tblMoveTypes[Reason?],MATCH($C237,tblMoveTypes[Movement],0)),"?")="Yes","Reason",""),"unknown movement"))</f>
        <v>OUT   fill: Item  Out  Courier  </v>
      </c>
      <c r="E237" s="31" t="s">
        <v>72</v>
      </c>
      <c r="F237" s="33"/>
      <c r="G237" s="33" t="n">
        <v>143</v>
      </c>
      <c r="H237" s="33"/>
      <c r="I237" s="31" t="s">
        <v>76</v>
      </c>
      <c r="J237" s="31"/>
      <c r="K237" s="31"/>
      <c r="L237" s="31"/>
      <c r="M237" s="34" t="str">
        <f aca="false">IF($E237="","",IFERROR(INDEX(tblItems[Item Code],MATCH($E237,tblItems[Item Name],0)),"?"))</f>
        <v>EG-FG-MNG-05-02-01-01</v>
      </c>
      <c r="N237" s="34" t="str">
        <f aca="false">IF($B237="","",IFERROR(INDEX(tblShipment[Market],MATCH($B237,tblShipment[Shipment No],0)),"?"))</f>
        <v>Qatar</v>
      </c>
      <c r="O237" s="35" t="n">
        <f aca="false">N($F237)+N($G237)</f>
        <v>143</v>
      </c>
      <c r="P237" s="34" t="str">
        <f aca="false">IF($A237="","",IF($L237="Yes","VOID",IF(COUNTIFS(tblMoveTypes[Movement],$C237)=0,"Unknown movement",IF(COUNTIF(tblShipment[Shipment No],$B237)=0,"Unknown shipment",IF(AND(IFERROR(INDEX(tblMoveTypes[Item?],MATCH($C237,tblMoveTypes[Movement],0)),"?")="Yes",$E237=""),"Item needed",IF(AND(IFERROR(INDEX(tblMoveTypes[Item?],MATCH($C237,tblMoveTypes[Movement],0)),"?")="No",$E237&lt;&gt;""),"Leave Item blank",IF(AND(IFERROR(INDEX(tblMoveTypes[In / Out],MATCH($C237,tblMoveTypes[Movement],0)),"?")="IN",$G237&lt;&gt;""),"Use the In column, not Out",IF(AND(IFERROR(INDEX(tblMoveTypes[In / Out],MATCH($C237,tblMoveTypes[Movement],0)),"?")="OUT",$F237&lt;&gt;""),"Use the Out column, not In",IF(AND(IFERROR(INDEX(tblMoveTypes[Qty?],MATCH($C237,tblMoveTypes[Movement],0)),"?")="Yes",N($F237)+N($G237)&lt;=0),"Qty needed",IF(AND(IFERROR(INDEX(tblMoveTypes[Qty?],MATCH($C237,tblMoveTypes[Movement],0)),"?")="No",N($F237)+N($G237)&gt;0),"Leave In and Out blank",IF(AND(IFERROR(INDEX(tblMoveTypes[Courier?],MATCH($C237,tblMoveTypes[Movement],0)),"?")="Yes",$I237=""),"Courier needed",IF(AND(IFERROR(INDEX(tblMoveTypes[Courier?],MATCH($C237,tblMoveTypes[Movement],0)),"?")="No",$I237&lt;&gt;""),"Leave Courier blank",IF(AND(IFERROR(INDEX(tblMoveTypes[Orders?],MATCH($C237,tblMoveTypes[Movement],0)),"?")="Yes",$H237=""),"Orders needed",IF(AND(IFERROR(INDEX(tblMoveTypes[Orders?],MATCH($C237,tblMoveTypes[Movement],0)),"?")="No",$H237&lt;&gt;""),"Leave Orders blank",IF(AND(IFERROR(INDEX(tblMoveTypes[Reason?],MATCH($C237,tblMoveTypes[Movement],0)),"?")="Yes",$J237=""),"Reason needed",IF($A237&lt;_xlfn.MINIFS(tblShipment[Arrival Date],tblShipment[Shipment No],$B237),"Date before arrival",IF(AND($E237&lt;&gt;"",COUNTIFS(tblShipment[Shipment No],$B237,tblShipment[Item Name],$E237)=0),"Item not in this shipment","OK")))))))))))))))))</f>
        <v>OK</v>
      </c>
    </row>
    <row r="238" customFormat="false" ht="15" hidden="false" customHeight="false" outlineLevel="0" collapsed="false">
      <c r="A238" s="32" t="n">
        <v>46242</v>
      </c>
      <c r="B238" s="31" t="s">
        <v>164</v>
      </c>
      <c r="C238" s="31" t="s">
        <v>98</v>
      </c>
      <c r="D238" s="34" t="str">
        <f aca="false">IF($C238="","",IFERROR(IF(IFERROR(INDEX(tblMoveTypes[In / Out],MATCH($C238,tblMoveTypes[Movement],0)),"?")="IN","IN   ",IF(IFERROR(INDEX(tblMoveTypes[In / Out],MATCH($C238,tblMoveTypes[Movement],0)),"?")="OUT","OUT   ","--   "))&amp;"fill: "&amp;IF(IFERROR(INDEX(tblMoveTypes[Item?],MATCH($C238,tblMoveTypes[Movement],0)),"?")="Yes","Item  ","")&amp;IF(AND(IFERROR(INDEX(tblMoveTypes[Qty?],MATCH($C238,tblMoveTypes[Movement],0)),"?")="Yes",IFERROR(INDEX(tblMoveTypes[In / Out],MATCH($C238,tblMoveTypes[Movement],0)),"?")="IN"),"In  ","")&amp;IF(AND(IFERROR(INDEX(tblMoveTypes[Qty?],MATCH($C238,tblMoveTypes[Movement],0)),"?")="Yes",IFERROR(INDEX(tblMoveTypes[In / Out],MATCH($C238,tblMoveTypes[Movement],0)),"?")="OUT"),"Out  ","")&amp;IF(IFERROR(INDEX(tblMoveTypes[Orders?],MATCH($C238,tblMoveTypes[Movement],0)),"?")="Yes","Orders  ","")&amp;IF(IFERROR(INDEX(tblMoveTypes[Courier?],MATCH($C238,tblMoveTypes[Movement],0)),"?")="Yes","Courier  ","")&amp;IF(IFERROR(INDEX(tblMoveTypes[Reason?],MATCH($C238,tblMoveTypes[Movement],0)),"?")="Yes","Reason",""),"unknown movement"))</f>
        <v>OUT   fill: Item  Out  Courier  </v>
      </c>
      <c r="E238" s="31" t="s">
        <v>137</v>
      </c>
      <c r="F238" s="33"/>
      <c r="G238" s="33" t="n">
        <v>20</v>
      </c>
      <c r="H238" s="33"/>
      <c r="I238" s="31" t="s">
        <v>76</v>
      </c>
      <c r="J238" s="31"/>
      <c r="K238" s="31"/>
      <c r="L238" s="31"/>
      <c r="M238" s="34" t="str">
        <f aca="false">IF($E238="","",IFERROR(INDEX(tblItems[Item Code],MATCH($E238,tblItems[Item Name],0)),"?"))</f>
        <v>EG-FG-PER-01-02-01-01</v>
      </c>
      <c r="N238" s="34" t="str">
        <f aca="false">IF($B238="","",IFERROR(INDEX(tblShipment[Market],MATCH($B238,tblShipment[Shipment No],0)),"?"))</f>
        <v>Qatar</v>
      </c>
      <c r="O238" s="35" t="n">
        <f aca="false">N($F238)+N($G238)</f>
        <v>20</v>
      </c>
      <c r="P238" s="34" t="str">
        <f aca="false">IF($A238="","",IF($L238="Yes","VOID",IF(COUNTIFS(tblMoveTypes[Movement],$C238)=0,"Unknown movement",IF(COUNTIF(tblShipment[Shipment No],$B238)=0,"Unknown shipment",IF(AND(IFERROR(INDEX(tblMoveTypes[Item?],MATCH($C238,tblMoveTypes[Movement],0)),"?")="Yes",$E238=""),"Item needed",IF(AND(IFERROR(INDEX(tblMoveTypes[Item?],MATCH($C238,tblMoveTypes[Movement],0)),"?")="No",$E238&lt;&gt;""),"Leave Item blank",IF(AND(IFERROR(INDEX(tblMoveTypes[In / Out],MATCH($C238,tblMoveTypes[Movement],0)),"?")="IN",$G238&lt;&gt;""),"Use the In column, not Out",IF(AND(IFERROR(INDEX(tblMoveTypes[In / Out],MATCH($C238,tblMoveTypes[Movement],0)),"?")="OUT",$F238&lt;&gt;""),"Use the Out column, not In",IF(AND(IFERROR(INDEX(tblMoveTypes[Qty?],MATCH($C238,tblMoveTypes[Movement],0)),"?")="Yes",N($F238)+N($G238)&lt;=0),"Qty needed",IF(AND(IFERROR(INDEX(tblMoveTypes[Qty?],MATCH($C238,tblMoveTypes[Movement],0)),"?")="No",N($F238)+N($G238)&gt;0),"Leave In and Out blank",IF(AND(IFERROR(INDEX(tblMoveTypes[Courier?],MATCH($C238,tblMoveTypes[Movement],0)),"?")="Yes",$I238=""),"Courier needed",IF(AND(IFERROR(INDEX(tblMoveTypes[Courier?],MATCH($C238,tblMoveTypes[Movement],0)),"?")="No",$I238&lt;&gt;""),"Leave Courier blank",IF(AND(IFERROR(INDEX(tblMoveTypes[Orders?],MATCH($C238,tblMoveTypes[Movement],0)),"?")="Yes",$H238=""),"Orders needed",IF(AND(IFERROR(INDEX(tblMoveTypes[Orders?],MATCH($C238,tblMoveTypes[Movement],0)),"?")="No",$H238&lt;&gt;""),"Leave Orders blank",IF(AND(IFERROR(INDEX(tblMoveTypes[Reason?],MATCH($C238,tblMoveTypes[Movement],0)),"?")="Yes",$J238=""),"Reason needed",IF($A238&lt;_xlfn.MINIFS(tblShipment[Arrival Date],tblShipment[Shipment No],$B238),"Date before arrival",IF(AND($E238&lt;&gt;"",COUNTIFS(tblShipment[Shipment No],$B238,tblShipment[Item Name],$E238)=0),"Item not in this shipment","OK")))))))))))))))))</f>
        <v>OK</v>
      </c>
    </row>
    <row r="239" customFormat="false" ht="15" hidden="false" customHeight="false" outlineLevel="0" collapsed="false">
      <c r="A239" s="32" t="n">
        <v>46242</v>
      </c>
      <c r="B239" s="31" t="s">
        <v>164</v>
      </c>
      <c r="C239" s="31" t="s">
        <v>98</v>
      </c>
      <c r="D239" s="34" t="str">
        <f aca="false">IF($C239="","",IFERROR(IF(IFERROR(INDEX(tblMoveTypes[In / Out],MATCH($C239,tblMoveTypes[Movement],0)),"?")="IN","IN   ",IF(IFERROR(INDEX(tblMoveTypes[In / Out],MATCH($C239,tblMoveTypes[Movement],0)),"?")="OUT","OUT   ","--   "))&amp;"fill: "&amp;IF(IFERROR(INDEX(tblMoveTypes[Item?],MATCH($C239,tblMoveTypes[Movement],0)),"?")="Yes","Item  ","")&amp;IF(AND(IFERROR(INDEX(tblMoveTypes[Qty?],MATCH($C239,tblMoveTypes[Movement],0)),"?")="Yes",IFERROR(INDEX(tblMoveTypes[In / Out],MATCH($C239,tblMoveTypes[Movement],0)),"?")="IN"),"In  ","")&amp;IF(AND(IFERROR(INDEX(tblMoveTypes[Qty?],MATCH($C239,tblMoveTypes[Movement],0)),"?")="Yes",IFERROR(INDEX(tblMoveTypes[In / Out],MATCH($C239,tblMoveTypes[Movement],0)),"?")="OUT"),"Out  ","")&amp;IF(IFERROR(INDEX(tblMoveTypes[Orders?],MATCH($C239,tblMoveTypes[Movement],0)),"?")="Yes","Orders  ","")&amp;IF(IFERROR(INDEX(tblMoveTypes[Courier?],MATCH($C239,tblMoveTypes[Movement],0)),"?")="Yes","Courier  ","")&amp;IF(IFERROR(INDEX(tblMoveTypes[Reason?],MATCH($C239,tblMoveTypes[Movement],0)),"?")="Yes","Reason",""),"unknown movement"))</f>
        <v>OUT   fill: Item  Out  Courier  </v>
      </c>
      <c r="E239" s="31" t="s">
        <v>95</v>
      </c>
      <c r="F239" s="33"/>
      <c r="G239" s="33" t="n">
        <v>39</v>
      </c>
      <c r="H239" s="33"/>
      <c r="I239" s="31" t="s">
        <v>76</v>
      </c>
      <c r="J239" s="31"/>
      <c r="K239" s="31"/>
      <c r="L239" s="31"/>
      <c r="M239" s="34" t="str">
        <f aca="false">IF($E239="","",IFERROR(INDEX(tblItems[Item Code],MATCH($E239,tblItems[Item Name],0)),"?"))</f>
        <v>EG-FG-GUV-01-02-01-01</v>
      </c>
      <c r="N239" s="34" t="str">
        <f aca="false">IF($B239="","",IFERROR(INDEX(tblShipment[Market],MATCH($B239,tblShipment[Shipment No],0)),"?"))</f>
        <v>Qatar</v>
      </c>
      <c r="O239" s="35" t="n">
        <f aca="false">N($F239)+N($G239)</f>
        <v>39</v>
      </c>
      <c r="P239" s="34" t="str">
        <f aca="false">IF($A239="","",IF($L239="Yes","VOID",IF(COUNTIFS(tblMoveTypes[Movement],$C239)=0,"Unknown movement",IF(COUNTIF(tblShipment[Shipment No],$B239)=0,"Unknown shipment",IF(AND(IFERROR(INDEX(tblMoveTypes[Item?],MATCH($C239,tblMoveTypes[Movement],0)),"?")="Yes",$E239=""),"Item needed",IF(AND(IFERROR(INDEX(tblMoveTypes[Item?],MATCH($C239,tblMoveTypes[Movement],0)),"?")="No",$E239&lt;&gt;""),"Leave Item blank",IF(AND(IFERROR(INDEX(tblMoveTypes[In / Out],MATCH($C239,tblMoveTypes[Movement],0)),"?")="IN",$G239&lt;&gt;""),"Use the In column, not Out",IF(AND(IFERROR(INDEX(tblMoveTypes[In / Out],MATCH($C239,tblMoveTypes[Movement],0)),"?")="OUT",$F239&lt;&gt;""),"Use the Out column, not In",IF(AND(IFERROR(INDEX(tblMoveTypes[Qty?],MATCH($C239,tblMoveTypes[Movement],0)),"?")="Yes",N($F239)+N($G239)&lt;=0),"Qty needed",IF(AND(IFERROR(INDEX(tblMoveTypes[Qty?],MATCH($C239,tblMoveTypes[Movement],0)),"?")="No",N($F239)+N($G239)&gt;0),"Leave In and Out blank",IF(AND(IFERROR(INDEX(tblMoveTypes[Courier?],MATCH($C239,tblMoveTypes[Movement],0)),"?")="Yes",$I239=""),"Courier needed",IF(AND(IFERROR(INDEX(tblMoveTypes[Courier?],MATCH($C239,tblMoveTypes[Movement],0)),"?")="No",$I239&lt;&gt;""),"Leave Courier blank",IF(AND(IFERROR(INDEX(tblMoveTypes[Orders?],MATCH($C239,tblMoveTypes[Movement],0)),"?")="Yes",$H239=""),"Orders needed",IF(AND(IFERROR(INDEX(tblMoveTypes[Orders?],MATCH($C239,tblMoveTypes[Movement],0)),"?")="No",$H239&lt;&gt;""),"Leave Orders blank",IF(AND(IFERROR(INDEX(tblMoveTypes[Reason?],MATCH($C239,tblMoveTypes[Movement],0)),"?")="Yes",$J239=""),"Reason needed",IF($A239&lt;_xlfn.MINIFS(tblShipment[Arrival Date],tblShipment[Shipment No],$B239),"Date before arrival",IF(AND($E239&lt;&gt;"",COUNTIFS(tblShipment[Shipment No],$B239,tblShipment[Item Name],$E239)=0),"Item not in this shipment","OK")))))))))))))))))</f>
        <v>OK</v>
      </c>
    </row>
    <row r="240" customFormat="false" ht="15" hidden="false" customHeight="false" outlineLevel="0" collapsed="false">
      <c r="A240" s="32" t="n">
        <v>46242</v>
      </c>
      <c r="B240" s="31" t="s">
        <v>164</v>
      </c>
      <c r="C240" s="31" t="s">
        <v>98</v>
      </c>
      <c r="D240" s="34" t="str">
        <f aca="false">IF($C240="","",IFERROR(IF(IFERROR(INDEX(tblMoveTypes[In / Out],MATCH($C240,tblMoveTypes[Movement],0)),"?")="IN","IN   ",IF(IFERROR(INDEX(tblMoveTypes[In / Out],MATCH($C240,tblMoveTypes[Movement],0)),"?")="OUT","OUT   ","--   "))&amp;"fill: "&amp;IF(IFERROR(INDEX(tblMoveTypes[Item?],MATCH($C240,tblMoveTypes[Movement],0)),"?")="Yes","Item  ","")&amp;IF(AND(IFERROR(INDEX(tblMoveTypes[Qty?],MATCH($C240,tblMoveTypes[Movement],0)),"?")="Yes",IFERROR(INDEX(tblMoveTypes[In / Out],MATCH($C240,tblMoveTypes[Movement],0)),"?")="IN"),"In  ","")&amp;IF(AND(IFERROR(INDEX(tblMoveTypes[Qty?],MATCH($C240,tblMoveTypes[Movement],0)),"?")="Yes",IFERROR(INDEX(tblMoveTypes[In / Out],MATCH($C240,tblMoveTypes[Movement],0)),"?")="OUT"),"Out  ","")&amp;IF(IFERROR(INDEX(tblMoveTypes[Orders?],MATCH($C240,tblMoveTypes[Movement],0)),"?")="Yes","Orders  ","")&amp;IF(IFERROR(INDEX(tblMoveTypes[Courier?],MATCH($C240,tblMoveTypes[Movement],0)),"?")="Yes","Courier  ","")&amp;IF(IFERROR(INDEX(tblMoveTypes[Reason?],MATCH($C240,tblMoveTypes[Movement],0)),"?")="Yes","Reason",""),"unknown movement"))</f>
        <v>OUT   fill: Item  Out  Courier  </v>
      </c>
      <c r="E240" s="31" t="s">
        <v>127</v>
      </c>
      <c r="F240" s="33"/>
      <c r="G240" s="33" t="n">
        <v>20</v>
      </c>
      <c r="H240" s="33"/>
      <c r="I240" s="31" t="s">
        <v>76</v>
      </c>
      <c r="J240" s="31"/>
      <c r="K240" s="31"/>
      <c r="L240" s="31"/>
      <c r="M240" s="34" t="str">
        <f aca="false">IF($E240="","",IFERROR(INDEX(tblItems[Item Code],MATCH($E240,tblItems[Item Name],0)),"?"))</f>
        <v>EG-FG-GRP-03-02-01-01</v>
      </c>
      <c r="N240" s="34" t="str">
        <f aca="false">IF($B240="","",IFERROR(INDEX(tblShipment[Market],MATCH($B240,tblShipment[Shipment No],0)),"?"))</f>
        <v>Qatar</v>
      </c>
      <c r="O240" s="35" t="n">
        <f aca="false">N($F240)+N($G240)</f>
        <v>20</v>
      </c>
      <c r="P240" s="34" t="str">
        <f aca="false">IF($A240="","",IF($L240="Yes","VOID",IF(COUNTIFS(tblMoveTypes[Movement],$C240)=0,"Unknown movement",IF(COUNTIF(tblShipment[Shipment No],$B240)=0,"Unknown shipment",IF(AND(IFERROR(INDEX(tblMoveTypes[Item?],MATCH($C240,tblMoveTypes[Movement],0)),"?")="Yes",$E240=""),"Item needed",IF(AND(IFERROR(INDEX(tblMoveTypes[Item?],MATCH($C240,tblMoveTypes[Movement],0)),"?")="No",$E240&lt;&gt;""),"Leave Item blank",IF(AND(IFERROR(INDEX(tblMoveTypes[In / Out],MATCH($C240,tblMoveTypes[Movement],0)),"?")="IN",$G240&lt;&gt;""),"Use the In column, not Out",IF(AND(IFERROR(INDEX(tblMoveTypes[In / Out],MATCH($C240,tblMoveTypes[Movement],0)),"?")="OUT",$F240&lt;&gt;""),"Use the Out column, not In",IF(AND(IFERROR(INDEX(tblMoveTypes[Qty?],MATCH($C240,tblMoveTypes[Movement],0)),"?")="Yes",N($F240)+N($G240)&lt;=0),"Qty needed",IF(AND(IFERROR(INDEX(tblMoveTypes[Qty?],MATCH($C240,tblMoveTypes[Movement],0)),"?")="No",N($F240)+N($G240)&gt;0),"Leave In and Out blank",IF(AND(IFERROR(INDEX(tblMoveTypes[Courier?],MATCH($C240,tblMoveTypes[Movement],0)),"?")="Yes",$I240=""),"Courier needed",IF(AND(IFERROR(INDEX(tblMoveTypes[Courier?],MATCH($C240,tblMoveTypes[Movement],0)),"?")="No",$I240&lt;&gt;""),"Leave Courier blank",IF(AND(IFERROR(INDEX(tblMoveTypes[Orders?],MATCH($C240,tblMoveTypes[Movement],0)),"?")="Yes",$H240=""),"Orders needed",IF(AND(IFERROR(INDEX(tblMoveTypes[Orders?],MATCH($C240,tblMoveTypes[Movement],0)),"?")="No",$H240&lt;&gt;""),"Leave Orders blank",IF(AND(IFERROR(INDEX(tblMoveTypes[Reason?],MATCH($C240,tblMoveTypes[Movement],0)),"?")="Yes",$J240=""),"Reason needed",IF($A240&lt;_xlfn.MINIFS(tblShipment[Arrival Date],tblShipment[Shipment No],$B240),"Date before arrival",IF(AND($E240&lt;&gt;"",COUNTIFS(tblShipment[Shipment No],$B240,tblShipment[Item Name],$E240)=0),"Item not in this shipment","OK")))))))))))))))))</f>
        <v>OK</v>
      </c>
    </row>
    <row r="241" customFormat="false" ht="15" hidden="false" customHeight="false" outlineLevel="0" collapsed="false">
      <c r="A241" s="32" t="n">
        <v>46242</v>
      </c>
      <c r="B241" s="31" t="s">
        <v>164</v>
      </c>
      <c r="C241" s="31" t="s">
        <v>98</v>
      </c>
      <c r="D241" s="34" t="str">
        <f aca="false">IF($C241="","",IFERROR(IF(IFERROR(INDEX(tblMoveTypes[In / Out],MATCH($C241,tblMoveTypes[Movement],0)),"?")="IN","IN   ",IF(IFERROR(INDEX(tblMoveTypes[In / Out],MATCH($C241,tblMoveTypes[Movement],0)),"?")="OUT","OUT   ","--   "))&amp;"fill: "&amp;IF(IFERROR(INDEX(tblMoveTypes[Item?],MATCH($C241,tblMoveTypes[Movement],0)),"?")="Yes","Item  ","")&amp;IF(AND(IFERROR(INDEX(tblMoveTypes[Qty?],MATCH($C241,tblMoveTypes[Movement],0)),"?")="Yes",IFERROR(INDEX(tblMoveTypes[In / Out],MATCH($C241,tblMoveTypes[Movement],0)),"?")="IN"),"In  ","")&amp;IF(AND(IFERROR(INDEX(tblMoveTypes[Qty?],MATCH($C241,tblMoveTypes[Movement],0)),"?")="Yes",IFERROR(INDEX(tblMoveTypes[In / Out],MATCH($C241,tblMoveTypes[Movement],0)),"?")="OUT"),"Out  ","")&amp;IF(IFERROR(INDEX(tblMoveTypes[Orders?],MATCH($C241,tblMoveTypes[Movement],0)),"?")="Yes","Orders  ","")&amp;IF(IFERROR(INDEX(tblMoveTypes[Courier?],MATCH($C241,tblMoveTypes[Movement],0)),"?")="Yes","Courier  ","")&amp;IF(IFERROR(INDEX(tblMoveTypes[Reason?],MATCH($C241,tblMoveTypes[Movement],0)),"?")="Yes","Reason",""),"unknown movement"))</f>
        <v>OUT   fill: Item  Out  Courier  </v>
      </c>
      <c r="E241" s="31" t="s">
        <v>148</v>
      </c>
      <c r="F241" s="33"/>
      <c r="G241" s="33" t="n">
        <v>20</v>
      </c>
      <c r="H241" s="33"/>
      <c r="I241" s="31" t="s">
        <v>76</v>
      </c>
      <c r="J241" s="31"/>
      <c r="K241" s="31"/>
      <c r="L241" s="31"/>
      <c r="M241" s="34" t="str">
        <f aca="false">IF($E241="","",IFERROR(INDEX(tblItems[Item Code],MATCH($E241,tblItems[Item Name],0)),"?"))</f>
        <v>EG-FG-MNG-99-02-01-01</v>
      </c>
      <c r="N241" s="34" t="str">
        <f aca="false">IF($B241="","",IFERROR(INDEX(tblShipment[Market],MATCH($B241,tblShipment[Shipment No],0)),"?"))</f>
        <v>Qatar</v>
      </c>
      <c r="O241" s="35" t="n">
        <f aca="false">N($F241)+N($G241)</f>
        <v>20</v>
      </c>
      <c r="P241" s="34" t="str">
        <f aca="false">IF($A241="","",IF($L241="Yes","VOID",IF(COUNTIFS(tblMoveTypes[Movement],$C241)=0,"Unknown movement",IF(COUNTIF(tblShipment[Shipment No],$B241)=0,"Unknown shipment",IF(AND(IFERROR(INDEX(tblMoveTypes[Item?],MATCH($C241,tblMoveTypes[Movement],0)),"?")="Yes",$E241=""),"Item needed",IF(AND(IFERROR(INDEX(tblMoveTypes[Item?],MATCH($C241,tblMoveTypes[Movement],0)),"?")="No",$E241&lt;&gt;""),"Leave Item blank",IF(AND(IFERROR(INDEX(tblMoveTypes[In / Out],MATCH($C241,tblMoveTypes[Movement],0)),"?")="IN",$G241&lt;&gt;""),"Use the In column, not Out",IF(AND(IFERROR(INDEX(tblMoveTypes[In / Out],MATCH($C241,tblMoveTypes[Movement],0)),"?")="OUT",$F241&lt;&gt;""),"Use the Out column, not In",IF(AND(IFERROR(INDEX(tblMoveTypes[Qty?],MATCH($C241,tblMoveTypes[Movement],0)),"?")="Yes",N($F241)+N($G241)&lt;=0),"Qty needed",IF(AND(IFERROR(INDEX(tblMoveTypes[Qty?],MATCH($C241,tblMoveTypes[Movement],0)),"?")="No",N($F241)+N($G241)&gt;0),"Leave In and Out blank",IF(AND(IFERROR(INDEX(tblMoveTypes[Courier?],MATCH($C241,tblMoveTypes[Movement],0)),"?")="Yes",$I241=""),"Courier needed",IF(AND(IFERROR(INDEX(tblMoveTypes[Courier?],MATCH($C241,tblMoveTypes[Movement],0)),"?")="No",$I241&lt;&gt;""),"Leave Courier blank",IF(AND(IFERROR(INDEX(tblMoveTypes[Orders?],MATCH($C241,tblMoveTypes[Movement],0)),"?")="Yes",$H241=""),"Orders needed",IF(AND(IFERROR(INDEX(tblMoveTypes[Orders?],MATCH($C241,tblMoveTypes[Movement],0)),"?")="No",$H241&lt;&gt;""),"Leave Orders blank",IF(AND(IFERROR(INDEX(tblMoveTypes[Reason?],MATCH($C241,tblMoveTypes[Movement],0)),"?")="Yes",$J241=""),"Reason needed",IF($A241&lt;_xlfn.MINIFS(tblShipment[Arrival Date],tblShipment[Shipment No],$B241),"Date before arrival",IF(AND($E241&lt;&gt;"",COUNTIFS(tblShipment[Shipment No],$B241,tblShipment[Item Name],$E241)=0),"Item not in this shipment","OK")))))))))))))))))</f>
        <v>OK</v>
      </c>
    </row>
    <row r="242" customFormat="false" ht="15" hidden="false" customHeight="false" outlineLevel="0" collapsed="false">
      <c r="A242" s="32" t="n">
        <v>46242</v>
      </c>
      <c r="B242" s="31" t="s">
        <v>164</v>
      </c>
      <c r="C242" s="31" t="s">
        <v>98</v>
      </c>
      <c r="D242" s="34" t="str">
        <f aca="false">IF($C242="","",IFERROR(IF(IFERROR(INDEX(tblMoveTypes[In / Out],MATCH($C242,tblMoveTypes[Movement],0)),"?")="IN","IN   ",IF(IFERROR(INDEX(tblMoveTypes[In / Out],MATCH($C242,tblMoveTypes[Movement],0)),"?")="OUT","OUT   ","--   "))&amp;"fill: "&amp;IF(IFERROR(INDEX(tblMoveTypes[Item?],MATCH($C242,tblMoveTypes[Movement],0)),"?")="Yes","Item  ","")&amp;IF(AND(IFERROR(INDEX(tblMoveTypes[Qty?],MATCH($C242,tblMoveTypes[Movement],0)),"?")="Yes",IFERROR(INDEX(tblMoveTypes[In / Out],MATCH($C242,tblMoveTypes[Movement],0)),"?")="IN"),"In  ","")&amp;IF(AND(IFERROR(INDEX(tblMoveTypes[Qty?],MATCH($C242,tblMoveTypes[Movement],0)),"?")="Yes",IFERROR(INDEX(tblMoveTypes[In / Out],MATCH($C242,tblMoveTypes[Movement],0)),"?")="OUT"),"Out  ","")&amp;IF(IFERROR(INDEX(tblMoveTypes[Orders?],MATCH($C242,tblMoveTypes[Movement],0)),"?")="Yes","Orders  ","")&amp;IF(IFERROR(INDEX(tblMoveTypes[Courier?],MATCH($C242,tblMoveTypes[Movement],0)),"?")="Yes","Courier  ","")&amp;IF(IFERROR(INDEX(tblMoveTypes[Reason?],MATCH($C242,tblMoveTypes[Movement],0)),"?")="Yes","Reason",""),"unknown movement"))</f>
        <v>OUT   fill: Item  Out  Courier  </v>
      </c>
      <c r="E242" s="31" t="s">
        <v>117</v>
      </c>
      <c r="F242" s="33"/>
      <c r="G242" s="33" t="n">
        <v>20</v>
      </c>
      <c r="H242" s="33"/>
      <c r="I242" s="31" t="s">
        <v>76</v>
      </c>
      <c r="J242" s="31"/>
      <c r="K242" s="31"/>
      <c r="L242" s="31"/>
      <c r="M242" s="34" t="str">
        <f aca="false">IF($E242="","",IFERROR(INDEX(tblItems[Item Code],MATCH($E242,tblItems[Item Name],0)),"?"))</f>
        <v>EG-FG-MNG-06-02-01-01</v>
      </c>
      <c r="N242" s="34" t="str">
        <f aca="false">IF($B242="","",IFERROR(INDEX(tblShipment[Market],MATCH($B242,tblShipment[Shipment No],0)),"?"))</f>
        <v>Qatar</v>
      </c>
      <c r="O242" s="35" t="n">
        <f aca="false">N($F242)+N($G242)</f>
        <v>20</v>
      </c>
      <c r="P242" s="34" t="str">
        <f aca="false">IF($A242="","",IF($L242="Yes","VOID",IF(COUNTIFS(tblMoveTypes[Movement],$C242)=0,"Unknown movement",IF(COUNTIF(tblShipment[Shipment No],$B242)=0,"Unknown shipment",IF(AND(IFERROR(INDEX(tblMoveTypes[Item?],MATCH($C242,tblMoveTypes[Movement],0)),"?")="Yes",$E242=""),"Item needed",IF(AND(IFERROR(INDEX(tblMoveTypes[Item?],MATCH($C242,tblMoveTypes[Movement],0)),"?")="No",$E242&lt;&gt;""),"Leave Item blank",IF(AND(IFERROR(INDEX(tblMoveTypes[In / Out],MATCH($C242,tblMoveTypes[Movement],0)),"?")="IN",$G242&lt;&gt;""),"Use the In column, not Out",IF(AND(IFERROR(INDEX(tblMoveTypes[In / Out],MATCH($C242,tblMoveTypes[Movement],0)),"?")="OUT",$F242&lt;&gt;""),"Use the Out column, not In",IF(AND(IFERROR(INDEX(tblMoveTypes[Qty?],MATCH($C242,tblMoveTypes[Movement],0)),"?")="Yes",N($F242)+N($G242)&lt;=0),"Qty needed",IF(AND(IFERROR(INDEX(tblMoveTypes[Qty?],MATCH($C242,tblMoveTypes[Movement],0)),"?")="No",N($F242)+N($G242)&gt;0),"Leave In and Out blank",IF(AND(IFERROR(INDEX(tblMoveTypes[Courier?],MATCH($C242,tblMoveTypes[Movement],0)),"?")="Yes",$I242=""),"Courier needed",IF(AND(IFERROR(INDEX(tblMoveTypes[Courier?],MATCH($C242,tblMoveTypes[Movement],0)),"?")="No",$I242&lt;&gt;""),"Leave Courier blank",IF(AND(IFERROR(INDEX(tblMoveTypes[Orders?],MATCH($C242,tblMoveTypes[Movement],0)),"?")="Yes",$H242=""),"Orders needed",IF(AND(IFERROR(INDEX(tblMoveTypes[Orders?],MATCH($C242,tblMoveTypes[Movement],0)),"?")="No",$H242&lt;&gt;""),"Leave Orders blank",IF(AND(IFERROR(INDEX(tblMoveTypes[Reason?],MATCH($C242,tblMoveTypes[Movement],0)),"?")="Yes",$J242=""),"Reason needed",IF($A242&lt;_xlfn.MINIFS(tblShipment[Arrival Date],tblShipment[Shipment No],$B242),"Date before arrival",IF(AND($E242&lt;&gt;"",COUNTIFS(tblShipment[Shipment No],$B242,tblShipment[Item Name],$E242)=0),"Item not in this shipment","OK")))))))))))))))))</f>
        <v>OK</v>
      </c>
    </row>
    <row r="243" customFormat="false" ht="15" hidden="false" customHeight="false" outlineLevel="0" collapsed="false">
      <c r="A243" s="32" t="n">
        <v>46242</v>
      </c>
      <c r="B243" s="31" t="s">
        <v>164</v>
      </c>
      <c r="C243" s="31" t="s">
        <v>98</v>
      </c>
      <c r="D243" s="34" t="str">
        <f aca="false">IF($C243="","",IFERROR(IF(IFERROR(INDEX(tblMoveTypes[In / Out],MATCH($C243,tblMoveTypes[Movement],0)),"?")="IN","IN   ",IF(IFERROR(INDEX(tblMoveTypes[In / Out],MATCH($C243,tblMoveTypes[Movement],0)),"?")="OUT","OUT   ","--   "))&amp;"fill: "&amp;IF(IFERROR(INDEX(tblMoveTypes[Item?],MATCH($C243,tblMoveTypes[Movement],0)),"?")="Yes","Item  ","")&amp;IF(AND(IFERROR(INDEX(tblMoveTypes[Qty?],MATCH($C243,tblMoveTypes[Movement],0)),"?")="Yes",IFERROR(INDEX(tblMoveTypes[In / Out],MATCH($C243,tblMoveTypes[Movement],0)),"?")="IN"),"In  ","")&amp;IF(AND(IFERROR(INDEX(tblMoveTypes[Qty?],MATCH($C243,tblMoveTypes[Movement],0)),"?")="Yes",IFERROR(INDEX(tblMoveTypes[In / Out],MATCH($C243,tblMoveTypes[Movement],0)),"?")="OUT"),"Out  ","")&amp;IF(IFERROR(INDEX(tblMoveTypes[Orders?],MATCH($C243,tblMoveTypes[Movement],0)),"?")="Yes","Orders  ","")&amp;IF(IFERROR(INDEX(tblMoveTypes[Courier?],MATCH($C243,tblMoveTypes[Movement],0)),"?")="Yes","Courier  ","")&amp;IF(IFERROR(INDEX(tblMoveTypes[Reason?],MATCH($C243,tblMoveTypes[Movement],0)),"?")="Yes","Reason",""),"unknown movement"))</f>
        <v>OUT   fill: Item  Out  Courier  </v>
      </c>
      <c r="E243" s="31" t="s">
        <v>84</v>
      </c>
      <c r="F243" s="33"/>
      <c r="G243" s="33" t="n">
        <v>122</v>
      </c>
      <c r="H243" s="33"/>
      <c r="I243" s="31" t="s">
        <v>76</v>
      </c>
      <c r="J243" s="31"/>
      <c r="K243" s="31"/>
      <c r="L243" s="31"/>
      <c r="M243" s="34" t="str">
        <f aca="false">IF($E243="","",IFERROR(INDEX(tblItems[Item Code],MATCH($E243,tblItems[Item Name],0)),"?"))</f>
        <v>EG-FG-MNG-12-02-01-01</v>
      </c>
      <c r="N243" s="34" t="str">
        <f aca="false">IF($B243="","",IFERROR(INDEX(tblShipment[Market],MATCH($B243,tblShipment[Shipment No],0)),"?"))</f>
        <v>Qatar</v>
      </c>
      <c r="O243" s="35" t="n">
        <f aca="false">N($F243)+N($G243)</f>
        <v>122</v>
      </c>
      <c r="P243" s="34" t="str">
        <f aca="false">IF($A243="","",IF($L243="Yes","VOID",IF(COUNTIFS(tblMoveTypes[Movement],$C243)=0,"Unknown movement",IF(COUNTIF(tblShipment[Shipment No],$B243)=0,"Unknown shipment",IF(AND(IFERROR(INDEX(tblMoveTypes[Item?],MATCH($C243,tblMoveTypes[Movement],0)),"?")="Yes",$E243=""),"Item needed",IF(AND(IFERROR(INDEX(tblMoveTypes[Item?],MATCH($C243,tblMoveTypes[Movement],0)),"?")="No",$E243&lt;&gt;""),"Leave Item blank",IF(AND(IFERROR(INDEX(tblMoveTypes[In / Out],MATCH($C243,tblMoveTypes[Movement],0)),"?")="IN",$G243&lt;&gt;""),"Use the In column, not Out",IF(AND(IFERROR(INDEX(tblMoveTypes[In / Out],MATCH($C243,tblMoveTypes[Movement],0)),"?")="OUT",$F243&lt;&gt;""),"Use the Out column, not In",IF(AND(IFERROR(INDEX(tblMoveTypes[Qty?],MATCH($C243,tblMoveTypes[Movement],0)),"?")="Yes",N($F243)+N($G243)&lt;=0),"Qty needed",IF(AND(IFERROR(INDEX(tblMoveTypes[Qty?],MATCH($C243,tblMoveTypes[Movement],0)),"?")="No",N($F243)+N($G243)&gt;0),"Leave In and Out blank",IF(AND(IFERROR(INDEX(tblMoveTypes[Courier?],MATCH($C243,tblMoveTypes[Movement],0)),"?")="Yes",$I243=""),"Courier needed",IF(AND(IFERROR(INDEX(tblMoveTypes[Courier?],MATCH($C243,tblMoveTypes[Movement],0)),"?")="No",$I243&lt;&gt;""),"Leave Courier blank",IF(AND(IFERROR(INDEX(tblMoveTypes[Orders?],MATCH($C243,tblMoveTypes[Movement],0)),"?")="Yes",$H243=""),"Orders needed",IF(AND(IFERROR(INDEX(tblMoveTypes[Orders?],MATCH($C243,tblMoveTypes[Movement],0)),"?")="No",$H243&lt;&gt;""),"Leave Orders blank",IF(AND(IFERROR(INDEX(tblMoveTypes[Reason?],MATCH($C243,tblMoveTypes[Movement],0)),"?")="Yes",$J243=""),"Reason needed",IF($A243&lt;_xlfn.MINIFS(tblShipment[Arrival Date],tblShipment[Shipment No],$B243),"Date before arrival",IF(AND($E243&lt;&gt;"",COUNTIFS(tblShipment[Shipment No],$B243,tblShipment[Item Name],$E243)=0),"Item not in this shipment","OK")))))))))))))))))</f>
        <v>OK</v>
      </c>
    </row>
    <row r="244" customFormat="false" ht="15" hidden="false" customHeight="false" outlineLevel="0" collapsed="false">
      <c r="A244" s="32" t="n">
        <v>46242</v>
      </c>
      <c r="B244" s="31" t="s">
        <v>164</v>
      </c>
      <c r="C244" s="31" t="s">
        <v>98</v>
      </c>
      <c r="D244" s="34" t="str">
        <f aca="false">IF($C244="","",IFERROR(IF(IFERROR(INDEX(tblMoveTypes[In / Out],MATCH($C244,tblMoveTypes[Movement],0)),"?")="IN","IN   ",IF(IFERROR(INDEX(tblMoveTypes[In / Out],MATCH($C244,tblMoveTypes[Movement],0)),"?")="OUT","OUT   ","--   "))&amp;"fill: "&amp;IF(IFERROR(INDEX(tblMoveTypes[Item?],MATCH($C244,tblMoveTypes[Movement],0)),"?")="Yes","Item  ","")&amp;IF(AND(IFERROR(INDEX(tblMoveTypes[Qty?],MATCH($C244,tblMoveTypes[Movement],0)),"?")="Yes",IFERROR(INDEX(tblMoveTypes[In / Out],MATCH($C244,tblMoveTypes[Movement],0)),"?")="IN"),"In  ","")&amp;IF(AND(IFERROR(INDEX(tblMoveTypes[Qty?],MATCH($C244,tblMoveTypes[Movement],0)),"?")="Yes",IFERROR(INDEX(tblMoveTypes[In / Out],MATCH($C244,tblMoveTypes[Movement],0)),"?")="OUT"),"Out  ","")&amp;IF(IFERROR(INDEX(tblMoveTypes[Orders?],MATCH($C244,tblMoveTypes[Movement],0)),"?")="Yes","Orders  ","")&amp;IF(IFERROR(INDEX(tblMoveTypes[Courier?],MATCH($C244,tblMoveTypes[Movement],0)),"?")="Yes","Courier  ","")&amp;IF(IFERROR(INDEX(tblMoveTypes[Reason?],MATCH($C244,tblMoveTypes[Movement],0)),"?")="Yes","Reason",""),"unknown movement"))</f>
        <v>OUT   fill: Item  Out  Courier  </v>
      </c>
      <c r="E244" s="31" t="s">
        <v>91</v>
      </c>
      <c r="F244" s="33"/>
      <c r="G244" s="33" t="n">
        <v>59</v>
      </c>
      <c r="H244" s="33"/>
      <c r="I244" s="31" t="s">
        <v>76</v>
      </c>
      <c r="J244" s="31"/>
      <c r="K244" s="31"/>
      <c r="L244" s="31"/>
      <c r="M244" s="34" t="str">
        <f aca="false">IF($E244="","",IFERROR(INDEX(tblItems[Item Code],MATCH($E244,tblItems[Item Name],0)),"?"))</f>
        <v>EG-FG-FIG-01-02-01-01</v>
      </c>
      <c r="N244" s="34" t="str">
        <f aca="false">IF($B244="","",IFERROR(INDEX(tblShipment[Market],MATCH($B244,tblShipment[Shipment No],0)),"?"))</f>
        <v>Qatar</v>
      </c>
      <c r="O244" s="35" t="n">
        <f aca="false">N($F244)+N($G244)</f>
        <v>59</v>
      </c>
      <c r="P244" s="34" t="str">
        <f aca="false">IF($A244="","",IF($L244="Yes","VOID",IF(COUNTIFS(tblMoveTypes[Movement],$C244)=0,"Unknown movement",IF(COUNTIF(tblShipment[Shipment No],$B244)=0,"Unknown shipment",IF(AND(IFERROR(INDEX(tblMoveTypes[Item?],MATCH($C244,tblMoveTypes[Movement],0)),"?")="Yes",$E244=""),"Item needed",IF(AND(IFERROR(INDEX(tblMoveTypes[Item?],MATCH($C244,tblMoveTypes[Movement],0)),"?")="No",$E244&lt;&gt;""),"Leave Item blank",IF(AND(IFERROR(INDEX(tblMoveTypes[In / Out],MATCH($C244,tblMoveTypes[Movement],0)),"?")="IN",$G244&lt;&gt;""),"Use the In column, not Out",IF(AND(IFERROR(INDEX(tblMoveTypes[In / Out],MATCH($C244,tblMoveTypes[Movement],0)),"?")="OUT",$F244&lt;&gt;""),"Use the Out column, not In",IF(AND(IFERROR(INDEX(tblMoveTypes[Qty?],MATCH($C244,tblMoveTypes[Movement],0)),"?")="Yes",N($F244)+N($G244)&lt;=0),"Qty needed",IF(AND(IFERROR(INDEX(tblMoveTypes[Qty?],MATCH($C244,tblMoveTypes[Movement],0)),"?")="No",N($F244)+N($G244)&gt;0),"Leave In and Out blank",IF(AND(IFERROR(INDEX(tblMoveTypes[Courier?],MATCH($C244,tblMoveTypes[Movement],0)),"?")="Yes",$I244=""),"Courier needed",IF(AND(IFERROR(INDEX(tblMoveTypes[Courier?],MATCH($C244,tblMoveTypes[Movement],0)),"?")="No",$I244&lt;&gt;""),"Leave Courier blank",IF(AND(IFERROR(INDEX(tblMoveTypes[Orders?],MATCH($C244,tblMoveTypes[Movement],0)),"?")="Yes",$H244=""),"Orders needed",IF(AND(IFERROR(INDEX(tblMoveTypes[Orders?],MATCH($C244,tblMoveTypes[Movement],0)),"?")="No",$H244&lt;&gt;""),"Leave Orders blank",IF(AND(IFERROR(INDEX(tblMoveTypes[Reason?],MATCH($C244,tblMoveTypes[Movement],0)),"?")="Yes",$J244=""),"Reason needed",IF($A244&lt;_xlfn.MINIFS(tblShipment[Arrival Date],tblShipment[Shipment No],$B244),"Date before arrival",IF(AND($E244&lt;&gt;"",COUNTIFS(tblShipment[Shipment No],$B244,tblShipment[Item Name],$E244)=0),"Item not in this shipment","OK")))))))))))))))))</f>
        <v>OK</v>
      </c>
    </row>
    <row r="245" customFormat="false" ht="15" hidden="false" customHeight="false" outlineLevel="0" collapsed="false">
      <c r="A245" s="32" t="n">
        <v>46242</v>
      </c>
      <c r="B245" s="31" t="s">
        <v>164</v>
      </c>
      <c r="C245" s="31" t="s">
        <v>98</v>
      </c>
      <c r="D245" s="34" t="str">
        <f aca="false">IF($C245="","",IFERROR(IF(IFERROR(INDEX(tblMoveTypes[In / Out],MATCH($C245,tblMoveTypes[Movement],0)),"?")="IN","IN   ",IF(IFERROR(INDEX(tblMoveTypes[In / Out],MATCH($C245,tblMoveTypes[Movement],0)),"?")="OUT","OUT   ","--   "))&amp;"fill: "&amp;IF(IFERROR(INDEX(tblMoveTypes[Item?],MATCH($C245,tblMoveTypes[Movement],0)),"?")="Yes","Item  ","")&amp;IF(AND(IFERROR(INDEX(tblMoveTypes[Qty?],MATCH($C245,tblMoveTypes[Movement],0)),"?")="Yes",IFERROR(INDEX(tblMoveTypes[In / Out],MATCH($C245,tblMoveTypes[Movement],0)),"?")="IN"),"In  ","")&amp;IF(AND(IFERROR(INDEX(tblMoveTypes[Qty?],MATCH($C245,tblMoveTypes[Movement],0)),"?")="Yes",IFERROR(INDEX(tblMoveTypes[In / Out],MATCH($C245,tblMoveTypes[Movement],0)),"?")="OUT"),"Out  ","")&amp;IF(IFERROR(INDEX(tblMoveTypes[Orders?],MATCH($C245,tblMoveTypes[Movement],0)),"?")="Yes","Orders  ","")&amp;IF(IFERROR(INDEX(tblMoveTypes[Courier?],MATCH($C245,tblMoveTypes[Movement],0)),"?")="Yes","Courier  ","")&amp;IF(IFERROR(INDEX(tblMoveTypes[Reason?],MATCH($C245,tblMoveTypes[Movement],0)),"?")="Yes","Reason",""),"unknown movement"))</f>
        <v>OUT   fill: Item  Out  Courier  </v>
      </c>
      <c r="E245" s="31" t="s">
        <v>122</v>
      </c>
      <c r="F245" s="33"/>
      <c r="G245" s="33" t="n">
        <v>20</v>
      </c>
      <c r="H245" s="33"/>
      <c r="I245" s="31" t="s">
        <v>76</v>
      </c>
      <c r="J245" s="31"/>
      <c r="K245" s="31"/>
      <c r="L245" s="31"/>
      <c r="M245" s="34" t="str">
        <f aca="false">IF($E245="","",IFERROR(INDEX(tblItems[Item Code],MATCH($E245,tblItems[Item Name],0)),"?"))</f>
        <v>EG-FG-GRP-01-02-01-01</v>
      </c>
      <c r="N245" s="34" t="str">
        <f aca="false">IF($B245="","",IFERROR(INDEX(tblShipment[Market],MATCH($B245,tblShipment[Shipment No],0)),"?"))</f>
        <v>Qatar</v>
      </c>
      <c r="O245" s="35" t="n">
        <f aca="false">N($F245)+N($G245)</f>
        <v>20</v>
      </c>
      <c r="P245" s="34" t="str">
        <f aca="false">IF($A245="","",IF($L245="Yes","VOID",IF(COUNTIFS(tblMoveTypes[Movement],$C245)=0,"Unknown movement",IF(COUNTIF(tblShipment[Shipment No],$B245)=0,"Unknown shipment",IF(AND(IFERROR(INDEX(tblMoveTypes[Item?],MATCH($C245,tblMoveTypes[Movement],0)),"?")="Yes",$E245=""),"Item needed",IF(AND(IFERROR(INDEX(tblMoveTypes[Item?],MATCH($C245,tblMoveTypes[Movement],0)),"?")="No",$E245&lt;&gt;""),"Leave Item blank",IF(AND(IFERROR(INDEX(tblMoveTypes[In / Out],MATCH($C245,tblMoveTypes[Movement],0)),"?")="IN",$G245&lt;&gt;""),"Use the In column, not Out",IF(AND(IFERROR(INDEX(tblMoveTypes[In / Out],MATCH($C245,tblMoveTypes[Movement],0)),"?")="OUT",$F245&lt;&gt;""),"Use the Out column, not In",IF(AND(IFERROR(INDEX(tblMoveTypes[Qty?],MATCH($C245,tblMoveTypes[Movement],0)),"?")="Yes",N($F245)+N($G245)&lt;=0),"Qty needed",IF(AND(IFERROR(INDEX(tblMoveTypes[Qty?],MATCH($C245,tblMoveTypes[Movement],0)),"?")="No",N($F245)+N($G245)&gt;0),"Leave In and Out blank",IF(AND(IFERROR(INDEX(tblMoveTypes[Courier?],MATCH($C245,tblMoveTypes[Movement],0)),"?")="Yes",$I245=""),"Courier needed",IF(AND(IFERROR(INDEX(tblMoveTypes[Courier?],MATCH($C245,tblMoveTypes[Movement],0)),"?")="No",$I245&lt;&gt;""),"Leave Courier blank",IF(AND(IFERROR(INDEX(tblMoveTypes[Orders?],MATCH($C245,tblMoveTypes[Movement],0)),"?")="Yes",$H245=""),"Orders needed",IF(AND(IFERROR(INDEX(tblMoveTypes[Orders?],MATCH($C245,tblMoveTypes[Movement],0)),"?")="No",$H245&lt;&gt;""),"Leave Orders blank",IF(AND(IFERROR(INDEX(tblMoveTypes[Reason?],MATCH($C245,tblMoveTypes[Movement],0)),"?")="Yes",$J245=""),"Reason needed",IF($A245&lt;_xlfn.MINIFS(tblShipment[Arrival Date],tblShipment[Shipment No],$B245),"Date before arrival",IF(AND($E245&lt;&gt;"",COUNTIFS(tblShipment[Shipment No],$B245,tblShipment[Item Name],$E245)=0),"Item not in this shipment","OK")))))))))))))))))</f>
        <v>OK</v>
      </c>
    </row>
    <row r="246" customFormat="false" ht="15" hidden="false" customHeight="false" outlineLevel="0" collapsed="false">
      <c r="A246" s="32" t="n">
        <v>46242</v>
      </c>
      <c r="B246" s="31" t="s">
        <v>164</v>
      </c>
      <c r="C246" s="31" t="s">
        <v>110</v>
      </c>
      <c r="D246" s="34" t="str">
        <f aca="false">IF($C246="","",IFERROR(IF(IFERROR(INDEX(tblMoveTypes[In / Out],MATCH($C246,tblMoveTypes[Movement],0)),"?")="IN","IN   ",IF(IFERROR(INDEX(tblMoveTypes[In / Out],MATCH($C246,tblMoveTypes[Movement],0)),"?")="OUT","OUT   ","--   "))&amp;"fill: "&amp;IF(IFERROR(INDEX(tblMoveTypes[Item?],MATCH($C246,tblMoveTypes[Movement],0)),"?")="Yes","Item  ","")&amp;IF(AND(IFERROR(INDEX(tblMoveTypes[Qty?],MATCH($C246,tblMoveTypes[Movement],0)),"?")="Yes",IFERROR(INDEX(tblMoveTypes[In / Out],MATCH($C246,tblMoveTypes[Movement],0)),"?")="IN"),"In  ","")&amp;IF(AND(IFERROR(INDEX(tblMoveTypes[Qty?],MATCH($C246,tblMoveTypes[Movement],0)),"?")="Yes",IFERROR(INDEX(tblMoveTypes[In / Out],MATCH($C246,tblMoveTypes[Movement],0)),"?")="OUT"),"Out  ","")&amp;IF(IFERROR(INDEX(tblMoveTypes[Orders?],MATCH($C246,tblMoveTypes[Movement],0)),"?")="Yes","Orders  ","")&amp;IF(IFERROR(INDEX(tblMoveTypes[Courier?],MATCH($C246,tblMoveTypes[Movement],0)),"?")="Yes","Courier  ","")&amp;IF(IFERROR(INDEX(tblMoveTypes[Reason?],MATCH($C246,tblMoveTypes[Movement],0)),"?")="Yes","Reason",""),"unknown movement"))</f>
        <v>--   fill: Orders  Courier  </v>
      </c>
      <c r="E246" s="31"/>
      <c r="F246" s="33"/>
      <c r="G246" s="33"/>
      <c r="H246" s="33" t="n">
        <v>213</v>
      </c>
      <c r="I246" s="31" t="s">
        <v>76</v>
      </c>
      <c r="J246" s="31"/>
      <c r="K246" s="31"/>
      <c r="L246" s="31"/>
      <c r="M246" s="34" t="str">
        <f aca="false">IF($E246="","",IFERROR(INDEX(tblItems[Item Code],MATCH($E246,tblItems[Item Name],0)),"?"))</f>
        <v/>
      </c>
      <c r="N246" s="34" t="str">
        <f aca="false">IF($B246="","",IFERROR(INDEX(tblShipment[Market],MATCH($B246,tblShipment[Shipment No],0)),"?"))</f>
        <v>Qatar</v>
      </c>
      <c r="O246" s="35" t="n">
        <f aca="false">N($F246)+N($G246)</f>
        <v>0</v>
      </c>
      <c r="P246" s="34" t="str">
        <f aca="false">IF($A246="","",IF($L246="Yes","VOID",IF(COUNTIFS(tblMoveTypes[Movement],$C246)=0,"Unknown movement",IF(COUNTIF(tblShipment[Shipment No],$B246)=0,"Unknown shipment",IF(AND(IFERROR(INDEX(tblMoveTypes[Item?],MATCH($C246,tblMoveTypes[Movement],0)),"?")="Yes",$E246=""),"Item needed",IF(AND(IFERROR(INDEX(tblMoveTypes[Item?],MATCH($C246,tblMoveTypes[Movement],0)),"?")="No",$E246&lt;&gt;""),"Leave Item blank",IF(AND(IFERROR(INDEX(tblMoveTypes[In / Out],MATCH($C246,tblMoveTypes[Movement],0)),"?")="IN",$G246&lt;&gt;""),"Use the In column, not Out",IF(AND(IFERROR(INDEX(tblMoveTypes[In / Out],MATCH($C246,tblMoveTypes[Movement],0)),"?")="OUT",$F246&lt;&gt;""),"Use the Out column, not In",IF(AND(IFERROR(INDEX(tblMoveTypes[Qty?],MATCH($C246,tblMoveTypes[Movement],0)),"?")="Yes",N($F246)+N($G246)&lt;=0),"Qty needed",IF(AND(IFERROR(INDEX(tblMoveTypes[Qty?],MATCH($C246,tblMoveTypes[Movement],0)),"?")="No",N($F246)+N($G246)&gt;0),"Leave In and Out blank",IF(AND(IFERROR(INDEX(tblMoveTypes[Courier?],MATCH($C246,tblMoveTypes[Movement],0)),"?")="Yes",$I246=""),"Courier needed",IF(AND(IFERROR(INDEX(tblMoveTypes[Courier?],MATCH($C246,tblMoveTypes[Movement],0)),"?")="No",$I246&lt;&gt;""),"Leave Courier blank",IF(AND(IFERROR(INDEX(tblMoveTypes[Orders?],MATCH($C246,tblMoveTypes[Movement],0)),"?")="Yes",$H246=""),"Orders needed",IF(AND(IFERROR(INDEX(tblMoveTypes[Orders?],MATCH($C246,tblMoveTypes[Movement],0)),"?")="No",$H246&lt;&gt;""),"Leave Orders blank",IF(AND(IFERROR(INDEX(tblMoveTypes[Reason?],MATCH($C246,tblMoveTypes[Movement],0)),"?")="Yes",$J246=""),"Reason needed",IF($A246&lt;_xlfn.MINIFS(tblShipment[Arrival Date],tblShipment[Shipment No],$B246),"Date before arrival",IF(AND($E246&lt;&gt;"",COUNTIFS(tblShipment[Shipment No],$B246,tblShipment[Item Name],$E246)=0),"Item not in this shipment","OK")))))))))))))))))</f>
        <v>OK</v>
      </c>
    </row>
    <row r="247" customFormat="false" ht="15" hidden="false" customHeight="false" outlineLevel="0" collapsed="false">
      <c r="A247" s="32" t="n">
        <v>46242</v>
      </c>
      <c r="B247" s="31" t="s">
        <v>164</v>
      </c>
      <c r="C247" s="31" t="s">
        <v>115</v>
      </c>
      <c r="D247" s="34" t="str">
        <f aca="false">IF($C247="","",IFERROR(IF(IFERROR(INDEX(tblMoveTypes[In / Out],MATCH($C247,tblMoveTypes[Movement],0)),"?")="IN","IN   ",IF(IFERROR(INDEX(tblMoveTypes[In / Out],MATCH($C247,tblMoveTypes[Movement],0)),"?")="OUT","OUT   ","--   "))&amp;"fill: "&amp;IF(IFERROR(INDEX(tblMoveTypes[Item?],MATCH($C247,tblMoveTypes[Movement],0)),"?")="Yes","Item  ","")&amp;IF(AND(IFERROR(INDEX(tblMoveTypes[Qty?],MATCH($C247,tblMoveTypes[Movement],0)),"?")="Yes",IFERROR(INDEX(tblMoveTypes[In / Out],MATCH($C247,tblMoveTypes[Movement],0)),"?")="IN"),"In  ","")&amp;IF(AND(IFERROR(INDEX(tblMoveTypes[Qty?],MATCH($C247,tblMoveTypes[Movement],0)),"?")="Yes",IFERROR(INDEX(tblMoveTypes[In / Out],MATCH($C247,tblMoveTypes[Movement],0)),"?")="OUT"),"Out  ","")&amp;IF(IFERROR(INDEX(tblMoveTypes[Orders?],MATCH($C247,tblMoveTypes[Movement],0)),"?")="Yes","Orders  ","")&amp;IF(IFERROR(INDEX(tblMoveTypes[Courier?],MATCH($C247,tblMoveTypes[Movement],0)),"?")="Yes","Courier  ","")&amp;IF(IFERROR(INDEX(tblMoveTypes[Reason?],MATCH($C247,tblMoveTypes[Movement],0)),"?")="Yes","Reason",""),"unknown movement"))</f>
        <v>OUT   fill: Out  Orders  Courier  </v>
      </c>
      <c r="E247" s="31"/>
      <c r="F247" s="33"/>
      <c r="G247" s="33" t="n">
        <v>321</v>
      </c>
      <c r="H247" s="33" t="n">
        <v>129</v>
      </c>
      <c r="I247" s="31" t="s">
        <v>76</v>
      </c>
      <c r="J247" s="31"/>
      <c r="K247" s="31"/>
      <c r="L247" s="31"/>
      <c r="M247" s="34" t="str">
        <f aca="false">IF($E247="","",IFERROR(INDEX(tblItems[Item Code],MATCH($E247,tblItems[Item Name],0)),"?"))</f>
        <v/>
      </c>
      <c r="N247" s="34" t="str">
        <f aca="false">IF($B247="","",IFERROR(INDEX(tblShipment[Market],MATCH($B247,tblShipment[Shipment No],0)),"?"))</f>
        <v>Qatar</v>
      </c>
      <c r="O247" s="35" t="n">
        <f aca="false">N($F247)+N($G247)</f>
        <v>321</v>
      </c>
      <c r="P247" s="34" t="str">
        <f aca="false">IF($A247="","",IF($L247="Yes","VOID",IF(COUNTIFS(tblMoveTypes[Movement],$C247)=0,"Unknown movement",IF(COUNTIF(tblShipment[Shipment No],$B247)=0,"Unknown shipment",IF(AND(IFERROR(INDEX(tblMoveTypes[Item?],MATCH($C247,tblMoveTypes[Movement],0)),"?")="Yes",$E247=""),"Item needed",IF(AND(IFERROR(INDEX(tblMoveTypes[Item?],MATCH($C247,tblMoveTypes[Movement],0)),"?")="No",$E247&lt;&gt;""),"Leave Item blank",IF(AND(IFERROR(INDEX(tblMoveTypes[In / Out],MATCH($C247,tblMoveTypes[Movement],0)),"?")="IN",$G247&lt;&gt;""),"Use the In column, not Out",IF(AND(IFERROR(INDEX(tblMoveTypes[In / Out],MATCH($C247,tblMoveTypes[Movement],0)),"?")="OUT",$F247&lt;&gt;""),"Use the Out column, not In",IF(AND(IFERROR(INDEX(tblMoveTypes[Qty?],MATCH($C247,tblMoveTypes[Movement],0)),"?")="Yes",N($F247)+N($G247)&lt;=0),"Qty needed",IF(AND(IFERROR(INDEX(tblMoveTypes[Qty?],MATCH($C247,tblMoveTypes[Movement],0)),"?")="No",N($F247)+N($G247)&gt;0),"Leave In and Out blank",IF(AND(IFERROR(INDEX(tblMoveTypes[Courier?],MATCH($C247,tblMoveTypes[Movement],0)),"?")="Yes",$I247=""),"Courier needed",IF(AND(IFERROR(INDEX(tblMoveTypes[Courier?],MATCH($C247,tblMoveTypes[Movement],0)),"?")="No",$I247&lt;&gt;""),"Leave Courier blank",IF(AND(IFERROR(INDEX(tblMoveTypes[Orders?],MATCH($C247,tblMoveTypes[Movement],0)),"?")="Yes",$H247=""),"Orders needed",IF(AND(IFERROR(INDEX(tblMoveTypes[Orders?],MATCH($C247,tblMoveTypes[Movement],0)),"?")="No",$H247&lt;&gt;""),"Leave Orders blank",IF(AND(IFERROR(INDEX(tblMoveTypes[Reason?],MATCH($C247,tblMoveTypes[Movement],0)),"?")="Yes",$J247=""),"Reason needed",IF($A247&lt;_xlfn.MINIFS(tblShipment[Arrival Date],tblShipment[Shipment No],$B247),"Date before arrival",IF(AND($E247&lt;&gt;"",COUNTIFS(tblShipment[Shipment No],$B247,tblShipment[Item Name],$E247)=0),"Item not in this shipment","OK")))))))))))))))))</f>
        <v>OK</v>
      </c>
    </row>
    <row r="248" customFormat="false" ht="15" hidden="false" customHeight="false" outlineLevel="0" collapsed="false">
      <c r="A248" s="32" t="n">
        <v>46243</v>
      </c>
      <c r="B248" s="31" t="s">
        <v>163</v>
      </c>
      <c r="C248" s="31" t="s">
        <v>98</v>
      </c>
      <c r="D248" s="34" t="str">
        <f aca="false">IF($C248="","",IFERROR(IF(IFERROR(INDEX(tblMoveTypes[In / Out],MATCH($C248,tblMoveTypes[Movement],0)),"?")="IN","IN   ",IF(IFERROR(INDEX(tblMoveTypes[In / Out],MATCH($C248,tblMoveTypes[Movement],0)),"?")="OUT","OUT   ","--   "))&amp;"fill: "&amp;IF(IFERROR(INDEX(tblMoveTypes[Item?],MATCH($C248,tblMoveTypes[Movement],0)),"?")="Yes","Item  ","")&amp;IF(AND(IFERROR(INDEX(tblMoveTypes[Qty?],MATCH($C248,tblMoveTypes[Movement],0)),"?")="Yes",IFERROR(INDEX(tblMoveTypes[In / Out],MATCH($C248,tblMoveTypes[Movement],0)),"?")="IN"),"In  ","")&amp;IF(AND(IFERROR(INDEX(tblMoveTypes[Qty?],MATCH($C248,tblMoveTypes[Movement],0)),"?")="Yes",IFERROR(INDEX(tblMoveTypes[In / Out],MATCH($C248,tblMoveTypes[Movement],0)),"?")="OUT"),"Out  ","")&amp;IF(IFERROR(INDEX(tblMoveTypes[Orders?],MATCH($C248,tblMoveTypes[Movement],0)),"?")="Yes","Orders  ","")&amp;IF(IFERROR(INDEX(tblMoveTypes[Courier?],MATCH($C248,tblMoveTypes[Movement],0)),"?")="Yes","Courier  ","")&amp;IF(IFERROR(INDEX(tblMoveTypes[Reason?],MATCH($C248,tblMoveTypes[Movement],0)),"?")="Yes","Reason",""),"unknown movement"))</f>
        <v>OUT   fill: Item  Out  Courier  </v>
      </c>
      <c r="E248" s="31" t="s">
        <v>100</v>
      </c>
      <c r="F248" s="33"/>
      <c r="G248" s="33" t="n">
        <v>4</v>
      </c>
      <c r="H248" s="33"/>
      <c r="I248" s="31" t="s">
        <v>76</v>
      </c>
      <c r="J248" s="31"/>
      <c r="K248" s="31"/>
      <c r="L248" s="31"/>
      <c r="M248" s="34" t="str">
        <f aca="false">IF($E248="","",IFERROR(INDEX(tblItems[Item Code],MATCH($E248,tblItems[Item Name],0)),"?"))</f>
        <v>EG-FG-MNG-18-02-01-01</v>
      </c>
      <c r="N248" s="34" t="str">
        <f aca="false">IF($B248="","",IFERROR(INDEX(tblShipment[Market],MATCH($B248,tblShipment[Shipment No],0)),"?"))</f>
        <v>Qatar</v>
      </c>
      <c r="O248" s="35" t="n">
        <f aca="false">N($F248)+N($G248)</f>
        <v>4</v>
      </c>
      <c r="P248" s="34" t="str">
        <f aca="false">IF($A248="","",IF($L248="Yes","VOID",IF(COUNTIFS(tblMoveTypes[Movement],$C248)=0,"Unknown movement",IF(COUNTIF(tblShipment[Shipment No],$B248)=0,"Unknown shipment",IF(AND(IFERROR(INDEX(tblMoveTypes[Item?],MATCH($C248,tblMoveTypes[Movement],0)),"?")="Yes",$E248=""),"Item needed",IF(AND(IFERROR(INDEX(tblMoveTypes[Item?],MATCH($C248,tblMoveTypes[Movement],0)),"?")="No",$E248&lt;&gt;""),"Leave Item blank",IF(AND(IFERROR(INDEX(tblMoveTypes[In / Out],MATCH($C248,tblMoveTypes[Movement],0)),"?")="IN",$G248&lt;&gt;""),"Use the In column, not Out",IF(AND(IFERROR(INDEX(tblMoveTypes[In / Out],MATCH($C248,tblMoveTypes[Movement],0)),"?")="OUT",$F248&lt;&gt;""),"Use the Out column, not In",IF(AND(IFERROR(INDEX(tblMoveTypes[Qty?],MATCH($C248,tblMoveTypes[Movement],0)),"?")="Yes",N($F248)+N($G248)&lt;=0),"Qty needed",IF(AND(IFERROR(INDEX(tblMoveTypes[Qty?],MATCH($C248,tblMoveTypes[Movement],0)),"?")="No",N($F248)+N($G248)&gt;0),"Leave In and Out blank",IF(AND(IFERROR(INDEX(tblMoveTypes[Courier?],MATCH($C248,tblMoveTypes[Movement],0)),"?")="Yes",$I248=""),"Courier needed",IF(AND(IFERROR(INDEX(tblMoveTypes[Courier?],MATCH($C248,tblMoveTypes[Movement],0)),"?")="No",$I248&lt;&gt;""),"Leave Courier blank",IF(AND(IFERROR(INDEX(tblMoveTypes[Orders?],MATCH($C248,tblMoveTypes[Movement],0)),"?")="Yes",$H248=""),"Orders needed",IF(AND(IFERROR(INDEX(tblMoveTypes[Orders?],MATCH($C248,tblMoveTypes[Movement],0)),"?")="No",$H248&lt;&gt;""),"Leave Orders blank",IF(AND(IFERROR(INDEX(tblMoveTypes[Reason?],MATCH($C248,tblMoveTypes[Movement],0)),"?")="Yes",$J248=""),"Reason needed",IF($A248&lt;_xlfn.MINIFS(tblShipment[Arrival Date],tblShipment[Shipment No],$B248),"Date before arrival",IF(AND($E248&lt;&gt;"",COUNTIFS(tblShipment[Shipment No],$B248,tblShipment[Item Name],$E248)=0),"Item not in this shipment","OK")))))))))))))))))</f>
        <v>OK</v>
      </c>
    </row>
    <row r="249" customFormat="false" ht="15" hidden="false" customHeight="false" outlineLevel="0" collapsed="false">
      <c r="A249" s="32" t="n">
        <v>46243</v>
      </c>
      <c r="B249" s="31" t="s">
        <v>163</v>
      </c>
      <c r="C249" s="31" t="s">
        <v>110</v>
      </c>
      <c r="D249" s="34" t="str">
        <f aca="false">IF($C249="","",IFERROR(IF(IFERROR(INDEX(tblMoveTypes[In / Out],MATCH($C249,tblMoveTypes[Movement],0)),"?")="IN","IN   ",IF(IFERROR(INDEX(tblMoveTypes[In / Out],MATCH($C249,tblMoveTypes[Movement],0)),"?")="OUT","OUT   ","--   "))&amp;"fill: "&amp;IF(IFERROR(INDEX(tblMoveTypes[Item?],MATCH($C249,tblMoveTypes[Movement],0)),"?")="Yes","Item  ","")&amp;IF(AND(IFERROR(INDEX(tblMoveTypes[Qty?],MATCH($C249,tblMoveTypes[Movement],0)),"?")="Yes",IFERROR(INDEX(tblMoveTypes[In / Out],MATCH($C249,tblMoveTypes[Movement],0)),"?")="IN"),"In  ","")&amp;IF(AND(IFERROR(INDEX(tblMoveTypes[Qty?],MATCH($C249,tblMoveTypes[Movement],0)),"?")="Yes",IFERROR(INDEX(tblMoveTypes[In / Out],MATCH($C249,tblMoveTypes[Movement],0)),"?")="OUT"),"Out  ","")&amp;IF(IFERROR(INDEX(tblMoveTypes[Orders?],MATCH($C249,tblMoveTypes[Movement],0)),"?")="Yes","Orders  ","")&amp;IF(IFERROR(INDEX(tblMoveTypes[Courier?],MATCH($C249,tblMoveTypes[Movement],0)),"?")="Yes","Courier  ","")&amp;IF(IFERROR(INDEX(tblMoveTypes[Reason?],MATCH($C249,tblMoveTypes[Movement],0)),"?")="Yes","Reason",""),"unknown movement"))</f>
        <v>--   fill: Orders  Courier  </v>
      </c>
      <c r="E249" s="31"/>
      <c r="F249" s="33"/>
      <c r="G249" s="33"/>
      <c r="H249" s="33" t="n">
        <v>2</v>
      </c>
      <c r="I249" s="31" t="s">
        <v>76</v>
      </c>
      <c r="J249" s="31"/>
      <c r="K249" s="31"/>
      <c r="L249" s="31"/>
      <c r="M249" s="34" t="str">
        <f aca="false">IF($E249="","",IFERROR(INDEX(tblItems[Item Code],MATCH($E249,tblItems[Item Name],0)),"?"))</f>
        <v/>
      </c>
      <c r="N249" s="34" t="str">
        <f aca="false">IF($B249="","",IFERROR(INDEX(tblShipment[Market],MATCH($B249,tblShipment[Shipment No],0)),"?"))</f>
        <v>Qatar</v>
      </c>
      <c r="O249" s="35" t="n">
        <f aca="false">N($F249)+N($G249)</f>
        <v>0</v>
      </c>
      <c r="P249" s="34" t="str">
        <f aca="false">IF($A249="","",IF($L249="Yes","VOID",IF(COUNTIFS(tblMoveTypes[Movement],$C249)=0,"Unknown movement",IF(COUNTIF(tblShipment[Shipment No],$B249)=0,"Unknown shipment",IF(AND(IFERROR(INDEX(tblMoveTypes[Item?],MATCH($C249,tblMoveTypes[Movement],0)),"?")="Yes",$E249=""),"Item needed",IF(AND(IFERROR(INDEX(tblMoveTypes[Item?],MATCH($C249,tblMoveTypes[Movement],0)),"?")="No",$E249&lt;&gt;""),"Leave Item blank",IF(AND(IFERROR(INDEX(tblMoveTypes[In / Out],MATCH($C249,tblMoveTypes[Movement],0)),"?")="IN",$G249&lt;&gt;""),"Use the In column, not Out",IF(AND(IFERROR(INDEX(tblMoveTypes[In / Out],MATCH($C249,tblMoveTypes[Movement],0)),"?")="OUT",$F249&lt;&gt;""),"Use the Out column, not In",IF(AND(IFERROR(INDEX(tblMoveTypes[Qty?],MATCH($C249,tblMoveTypes[Movement],0)),"?")="Yes",N($F249)+N($G249)&lt;=0),"Qty needed",IF(AND(IFERROR(INDEX(tblMoveTypes[Qty?],MATCH($C249,tblMoveTypes[Movement],0)),"?")="No",N($F249)+N($G249)&gt;0),"Leave In and Out blank",IF(AND(IFERROR(INDEX(tblMoveTypes[Courier?],MATCH($C249,tblMoveTypes[Movement],0)),"?")="Yes",$I249=""),"Courier needed",IF(AND(IFERROR(INDEX(tblMoveTypes[Courier?],MATCH($C249,tblMoveTypes[Movement],0)),"?")="No",$I249&lt;&gt;""),"Leave Courier blank",IF(AND(IFERROR(INDEX(tblMoveTypes[Orders?],MATCH($C249,tblMoveTypes[Movement],0)),"?")="Yes",$H249=""),"Orders needed",IF(AND(IFERROR(INDEX(tblMoveTypes[Orders?],MATCH($C249,tblMoveTypes[Movement],0)),"?")="No",$H249&lt;&gt;""),"Leave Orders blank",IF(AND(IFERROR(INDEX(tblMoveTypes[Reason?],MATCH($C249,tblMoveTypes[Movement],0)),"?")="Yes",$J249=""),"Reason needed",IF($A249&lt;_xlfn.MINIFS(tblShipment[Arrival Date],tblShipment[Shipment No],$B249),"Date before arrival",IF(AND($E249&lt;&gt;"",COUNTIFS(tblShipment[Shipment No],$B249,tblShipment[Item Name],$E249)=0),"Item not in this shipment","OK")))))))))))))))))</f>
        <v>OK</v>
      </c>
    </row>
    <row r="250" customFormat="false" ht="15" hidden="false" customHeight="false" outlineLevel="0" collapsed="false">
      <c r="A250" s="32" t="n">
        <v>46243</v>
      </c>
      <c r="B250" s="31" t="s">
        <v>163</v>
      </c>
      <c r="C250" s="31" t="s">
        <v>115</v>
      </c>
      <c r="D250" s="34" t="str">
        <f aca="false">IF($C250="","",IFERROR(IF(IFERROR(INDEX(tblMoveTypes[In / Out],MATCH($C250,tblMoveTypes[Movement],0)),"?")="IN","IN   ",IF(IFERROR(INDEX(tblMoveTypes[In / Out],MATCH($C250,tblMoveTypes[Movement],0)),"?")="OUT","OUT   ","--   "))&amp;"fill: "&amp;IF(IFERROR(INDEX(tblMoveTypes[Item?],MATCH($C250,tblMoveTypes[Movement],0)),"?")="Yes","Item  ","")&amp;IF(AND(IFERROR(INDEX(tblMoveTypes[Qty?],MATCH($C250,tblMoveTypes[Movement],0)),"?")="Yes",IFERROR(INDEX(tblMoveTypes[In / Out],MATCH($C250,tblMoveTypes[Movement],0)),"?")="IN"),"In  ","")&amp;IF(AND(IFERROR(INDEX(tblMoveTypes[Qty?],MATCH($C250,tblMoveTypes[Movement],0)),"?")="Yes",IFERROR(INDEX(tblMoveTypes[In / Out],MATCH($C250,tblMoveTypes[Movement],0)),"?")="OUT"),"Out  ","")&amp;IF(IFERROR(INDEX(tblMoveTypes[Orders?],MATCH($C250,tblMoveTypes[Movement],0)),"?")="Yes","Orders  ","")&amp;IF(IFERROR(INDEX(tblMoveTypes[Courier?],MATCH($C250,tblMoveTypes[Movement],0)),"?")="Yes","Courier  ","")&amp;IF(IFERROR(INDEX(tblMoveTypes[Reason?],MATCH($C250,tblMoveTypes[Movement],0)),"?")="Yes","Reason",""),"unknown movement"))</f>
        <v>OUT   fill: Out  Orders  Courier  </v>
      </c>
      <c r="E250" s="31"/>
      <c r="F250" s="33"/>
      <c r="G250" s="33" t="n">
        <v>4</v>
      </c>
      <c r="H250" s="33" t="n">
        <v>2</v>
      </c>
      <c r="I250" s="31" t="s">
        <v>76</v>
      </c>
      <c r="J250" s="31"/>
      <c r="K250" s="31"/>
      <c r="L250" s="31"/>
      <c r="M250" s="34" t="str">
        <f aca="false">IF($E250="","",IFERROR(INDEX(tblItems[Item Code],MATCH($E250,tblItems[Item Name],0)),"?"))</f>
        <v/>
      </c>
      <c r="N250" s="34" t="str">
        <f aca="false">IF($B250="","",IFERROR(INDEX(tblShipment[Market],MATCH($B250,tblShipment[Shipment No],0)),"?"))</f>
        <v>Qatar</v>
      </c>
      <c r="O250" s="35" t="n">
        <f aca="false">N($F250)+N($G250)</f>
        <v>4</v>
      </c>
      <c r="P250" s="34" t="str">
        <f aca="false">IF($A250="","",IF($L250="Yes","VOID",IF(COUNTIFS(tblMoveTypes[Movement],$C250)=0,"Unknown movement",IF(COUNTIF(tblShipment[Shipment No],$B250)=0,"Unknown shipment",IF(AND(IFERROR(INDEX(tblMoveTypes[Item?],MATCH($C250,tblMoveTypes[Movement],0)),"?")="Yes",$E250=""),"Item needed",IF(AND(IFERROR(INDEX(tblMoveTypes[Item?],MATCH($C250,tblMoveTypes[Movement],0)),"?")="No",$E250&lt;&gt;""),"Leave Item blank",IF(AND(IFERROR(INDEX(tblMoveTypes[In / Out],MATCH($C250,tblMoveTypes[Movement],0)),"?")="IN",$G250&lt;&gt;""),"Use the In column, not Out",IF(AND(IFERROR(INDEX(tblMoveTypes[In / Out],MATCH($C250,tblMoveTypes[Movement],0)),"?")="OUT",$F250&lt;&gt;""),"Use the Out column, not In",IF(AND(IFERROR(INDEX(tblMoveTypes[Qty?],MATCH($C250,tblMoveTypes[Movement],0)),"?")="Yes",N($F250)+N($G250)&lt;=0),"Qty needed",IF(AND(IFERROR(INDEX(tblMoveTypes[Qty?],MATCH($C250,tblMoveTypes[Movement],0)),"?")="No",N($F250)+N($G250)&gt;0),"Leave In and Out blank",IF(AND(IFERROR(INDEX(tblMoveTypes[Courier?],MATCH($C250,tblMoveTypes[Movement],0)),"?")="Yes",$I250=""),"Courier needed",IF(AND(IFERROR(INDEX(tblMoveTypes[Courier?],MATCH($C250,tblMoveTypes[Movement],0)),"?")="No",$I250&lt;&gt;""),"Leave Courier blank",IF(AND(IFERROR(INDEX(tblMoveTypes[Orders?],MATCH($C250,tblMoveTypes[Movement],0)),"?")="Yes",$H250=""),"Orders needed",IF(AND(IFERROR(INDEX(tblMoveTypes[Orders?],MATCH($C250,tblMoveTypes[Movement],0)),"?")="No",$H250&lt;&gt;""),"Leave Orders blank",IF(AND(IFERROR(INDEX(tblMoveTypes[Reason?],MATCH($C250,tblMoveTypes[Movement],0)),"?")="Yes",$J250=""),"Reason needed",IF($A250&lt;_xlfn.MINIFS(tblShipment[Arrival Date],tblShipment[Shipment No],$B250),"Date before arrival",IF(AND($E250&lt;&gt;"",COUNTIFS(tblShipment[Shipment No],$B250,tblShipment[Item Name],$E250)=0),"Item not in this shipment","OK")))))))))))))))))</f>
        <v>OK</v>
      </c>
    </row>
    <row r="251" customFormat="false" ht="15" hidden="false" customHeight="false" outlineLevel="0" collapsed="false">
      <c r="A251" s="32" t="n">
        <v>46243</v>
      </c>
      <c r="B251" s="31" t="s">
        <v>164</v>
      </c>
      <c r="C251" s="31" t="s">
        <v>115</v>
      </c>
      <c r="D251" s="34" t="str">
        <f aca="false">IF($C251="","",IFERROR(IF(IFERROR(INDEX(tblMoveTypes[In / Out],MATCH($C251,tblMoveTypes[Movement],0)),"?")="IN","IN   ",IF(IFERROR(INDEX(tblMoveTypes[In / Out],MATCH($C251,tblMoveTypes[Movement],0)),"?")="OUT","OUT   ","--   "))&amp;"fill: "&amp;IF(IFERROR(INDEX(tblMoveTypes[Item?],MATCH($C251,tblMoveTypes[Movement],0)),"?")="Yes","Item  ","")&amp;IF(AND(IFERROR(INDEX(tblMoveTypes[Qty?],MATCH($C251,tblMoveTypes[Movement],0)),"?")="Yes",IFERROR(INDEX(tblMoveTypes[In / Out],MATCH($C251,tblMoveTypes[Movement],0)),"?")="IN"),"In  ","")&amp;IF(AND(IFERROR(INDEX(tblMoveTypes[Qty?],MATCH($C251,tblMoveTypes[Movement],0)),"?")="Yes",IFERROR(INDEX(tblMoveTypes[In / Out],MATCH($C251,tblMoveTypes[Movement],0)),"?")="OUT"),"Out  ","")&amp;IF(IFERROR(INDEX(tblMoveTypes[Orders?],MATCH($C251,tblMoveTypes[Movement],0)),"?")="Yes","Orders  ","")&amp;IF(IFERROR(INDEX(tblMoveTypes[Courier?],MATCH($C251,tblMoveTypes[Movement],0)),"?")="Yes","Courier  ","")&amp;IF(IFERROR(INDEX(tblMoveTypes[Reason?],MATCH($C251,tblMoveTypes[Movement],0)),"?")="Yes","Reason",""),"unknown movement"))</f>
        <v>OUT   fill: Out  Orders  Courier  </v>
      </c>
      <c r="E251" s="31"/>
      <c r="F251" s="33"/>
      <c r="G251" s="33" t="n">
        <v>91</v>
      </c>
      <c r="H251" s="33" t="n">
        <v>37</v>
      </c>
      <c r="I251" s="31" t="s">
        <v>76</v>
      </c>
      <c r="J251" s="31"/>
      <c r="K251" s="31"/>
      <c r="L251" s="31"/>
      <c r="M251" s="34" t="str">
        <f aca="false">IF($E251="","",IFERROR(INDEX(tblItems[Item Code],MATCH($E251,tblItems[Item Name],0)),"?"))</f>
        <v/>
      </c>
      <c r="N251" s="34" t="str">
        <f aca="false">IF($B251="","",IFERROR(INDEX(tblShipment[Market],MATCH($B251,tblShipment[Shipment No],0)),"?"))</f>
        <v>Qatar</v>
      </c>
      <c r="O251" s="35" t="n">
        <f aca="false">N($F251)+N($G251)</f>
        <v>91</v>
      </c>
      <c r="P251" s="34" t="str">
        <f aca="false">IF($A251="","",IF($L251="Yes","VOID",IF(COUNTIFS(tblMoveTypes[Movement],$C251)=0,"Unknown movement",IF(COUNTIF(tblShipment[Shipment No],$B251)=0,"Unknown shipment",IF(AND(IFERROR(INDEX(tblMoveTypes[Item?],MATCH($C251,tblMoveTypes[Movement],0)),"?")="Yes",$E251=""),"Item needed",IF(AND(IFERROR(INDEX(tblMoveTypes[Item?],MATCH($C251,tblMoveTypes[Movement],0)),"?")="No",$E251&lt;&gt;""),"Leave Item blank",IF(AND(IFERROR(INDEX(tblMoveTypes[In / Out],MATCH($C251,tblMoveTypes[Movement],0)),"?")="IN",$G251&lt;&gt;""),"Use the In column, not Out",IF(AND(IFERROR(INDEX(tblMoveTypes[In / Out],MATCH($C251,tblMoveTypes[Movement],0)),"?")="OUT",$F251&lt;&gt;""),"Use the Out column, not In",IF(AND(IFERROR(INDEX(tblMoveTypes[Qty?],MATCH($C251,tblMoveTypes[Movement],0)),"?")="Yes",N($F251)+N($G251)&lt;=0),"Qty needed",IF(AND(IFERROR(INDEX(tblMoveTypes[Qty?],MATCH($C251,tblMoveTypes[Movement],0)),"?")="No",N($F251)+N($G251)&gt;0),"Leave In and Out blank",IF(AND(IFERROR(INDEX(tblMoveTypes[Courier?],MATCH($C251,tblMoveTypes[Movement],0)),"?")="Yes",$I251=""),"Courier needed",IF(AND(IFERROR(INDEX(tblMoveTypes[Courier?],MATCH($C251,tblMoveTypes[Movement],0)),"?")="No",$I251&lt;&gt;""),"Leave Courier blank",IF(AND(IFERROR(INDEX(tblMoveTypes[Orders?],MATCH($C251,tblMoveTypes[Movement],0)),"?")="Yes",$H251=""),"Orders needed",IF(AND(IFERROR(INDEX(tblMoveTypes[Orders?],MATCH($C251,tblMoveTypes[Movement],0)),"?")="No",$H251&lt;&gt;""),"Leave Orders blank",IF(AND(IFERROR(INDEX(tblMoveTypes[Reason?],MATCH($C251,tblMoveTypes[Movement],0)),"?")="Yes",$J251=""),"Reason needed",IF($A251&lt;_xlfn.MINIFS(tblShipment[Arrival Date],tblShipment[Shipment No],$B251),"Date before arrival",IF(AND($E251&lt;&gt;"",COUNTIFS(tblShipment[Shipment No],$B251,tblShipment[Item Name],$E251)=0),"Item not in this shipment","OK")))))))))))))))))</f>
        <v>OK</v>
      </c>
    </row>
    <row r="252" customFormat="false" ht="15" hidden="false" customHeight="false" outlineLevel="0" collapsed="false">
      <c r="A252" s="32" t="n">
        <v>46243</v>
      </c>
      <c r="B252" s="31" t="s">
        <v>164</v>
      </c>
      <c r="C252" s="31" t="s">
        <v>120</v>
      </c>
      <c r="D252" s="34" t="str">
        <f aca="false">IF($C252="","",IFERROR(IF(IFERROR(INDEX(tblMoveTypes[In / Out],MATCH($C252,tblMoveTypes[Movement],0)),"?")="IN","IN   ",IF(IFERROR(INDEX(tblMoveTypes[In / Out],MATCH($C252,tblMoveTypes[Movement],0)),"?")="OUT","OUT   ","--   "))&amp;"fill: "&amp;IF(IFERROR(INDEX(tblMoveTypes[Item?],MATCH($C252,tblMoveTypes[Movement],0)),"?")="Yes","Item  ","")&amp;IF(AND(IFERROR(INDEX(tblMoveTypes[Qty?],MATCH($C252,tblMoveTypes[Movement],0)),"?")="Yes",IFERROR(INDEX(tblMoveTypes[In / Out],MATCH($C252,tblMoveTypes[Movement],0)),"?")="IN"),"In  ","")&amp;IF(AND(IFERROR(INDEX(tblMoveTypes[Qty?],MATCH($C252,tblMoveTypes[Movement],0)),"?")="Yes",IFERROR(INDEX(tblMoveTypes[In / Out],MATCH($C252,tblMoveTypes[Movement],0)),"?")="OUT"),"Out  ","")&amp;IF(IFERROR(INDEX(tblMoveTypes[Orders?],MATCH($C252,tblMoveTypes[Movement],0)),"?")="Yes","Orders  ","")&amp;IF(IFERROR(INDEX(tblMoveTypes[Courier?],MATCH($C252,tblMoveTypes[Movement],0)),"?")="Yes","Courier  ","")&amp;IF(IFERROR(INDEX(tblMoveTypes[Reason?],MATCH($C252,tblMoveTypes[Movement],0)),"?")="Yes","Reason",""),"unknown movement"))</f>
        <v>IN   fill: In  Orders  Courier  Reason</v>
      </c>
      <c r="E252" s="31"/>
      <c r="F252" s="33" t="n">
        <v>11</v>
      </c>
      <c r="G252" s="33"/>
      <c r="H252" s="33" t="n">
        <v>1</v>
      </c>
      <c r="I252" s="31" t="s">
        <v>76</v>
      </c>
      <c r="J252" s="31" t="s">
        <v>129</v>
      </c>
      <c r="K252" s="31"/>
      <c r="L252" s="31"/>
      <c r="M252" s="34" t="str">
        <f aca="false">IF($E252="","",IFERROR(INDEX(tblItems[Item Code],MATCH($E252,tblItems[Item Name],0)),"?"))</f>
        <v/>
      </c>
      <c r="N252" s="34" t="str">
        <f aca="false">IF($B252="","",IFERROR(INDEX(tblShipment[Market],MATCH($B252,tblShipment[Shipment No],0)),"?"))</f>
        <v>Qatar</v>
      </c>
      <c r="O252" s="35" t="n">
        <f aca="false">N($F252)+N($G252)</f>
        <v>11</v>
      </c>
      <c r="P252" s="34" t="str">
        <f aca="false">IF($A252="","",IF($L252="Yes","VOID",IF(COUNTIFS(tblMoveTypes[Movement],$C252)=0,"Unknown movement",IF(COUNTIF(tblShipment[Shipment No],$B252)=0,"Unknown shipment",IF(AND(IFERROR(INDEX(tblMoveTypes[Item?],MATCH($C252,tblMoveTypes[Movement],0)),"?")="Yes",$E252=""),"Item needed",IF(AND(IFERROR(INDEX(tblMoveTypes[Item?],MATCH($C252,tblMoveTypes[Movement],0)),"?")="No",$E252&lt;&gt;""),"Leave Item blank",IF(AND(IFERROR(INDEX(tblMoveTypes[In / Out],MATCH($C252,tblMoveTypes[Movement],0)),"?")="IN",$G252&lt;&gt;""),"Use the In column, not Out",IF(AND(IFERROR(INDEX(tblMoveTypes[In / Out],MATCH($C252,tblMoveTypes[Movement],0)),"?")="OUT",$F252&lt;&gt;""),"Use the Out column, not In",IF(AND(IFERROR(INDEX(tblMoveTypes[Qty?],MATCH($C252,tblMoveTypes[Movement],0)),"?")="Yes",N($F252)+N($G252)&lt;=0),"Qty needed",IF(AND(IFERROR(INDEX(tblMoveTypes[Qty?],MATCH($C252,tblMoveTypes[Movement],0)),"?")="No",N($F252)+N($G252)&gt;0),"Leave In and Out blank",IF(AND(IFERROR(INDEX(tblMoveTypes[Courier?],MATCH($C252,tblMoveTypes[Movement],0)),"?")="Yes",$I252=""),"Courier needed",IF(AND(IFERROR(INDEX(tblMoveTypes[Courier?],MATCH($C252,tblMoveTypes[Movement],0)),"?")="No",$I252&lt;&gt;""),"Leave Courier blank",IF(AND(IFERROR(INDEX(tblMoveTypes[Orders?],MATCH($C252,tblMoveTypes[Movement],0)),"?")="Yes",$H252=""),"Orders needed",IF(AND(IFERROR(INDEX(tblMoveTypes[Orders?],MATCH($C252,tblMoveTypes[Movement],0)),"?")="No",$H252&lt;&gt;""),"Leave Orders blank",IF(AND(IFERROR(INDEX(tblMoveTypes[Reason?],MATCH($C252,tblMoveTypes[Movement],0)),"?")="Yes",$J252=""),"Reason needed",IF($A252&lt;_xlfn.MINIFS(tblShipment[Arrival Date],tblShipment[Shipment No],$B252),"Date before arrival",IF(AND($E252&lt;&gt;"",COUNTIFS(tblShipment[Shipment No],$B252,tblShipment[Item Name],$E252)=0),"Item not in this shipment","OK")))))))))))))))))</f>
        <v>OK</v>
      </c>
    </row>
    <row r="253" customFormat="false" ht="15" hidden="false" customHeight="false" outlineLevel="0" collapsed="false">
      <c r="A253" s="32" t="n">
        <v>46243</v>
      </c>
      <c r="B253" s="31" t="s">
        <v>164</v>
      </c>
      <c r="C253" s="31" t="s">
        <v>125</v>
      </c>
      <c r="D253" s="34" t="str">
        <f aca="false">IF($C253="","",IFERROR(IF(IFERROR(INDEX(tblMoveTypes[In / Out],MATCH($C253,tblMoveTypes[Movement],0)),"?")="IN","IN   ",IF(IFERROR(INDEX(tblMoveTypes[In / Out],MATCH($C253,tblMoveTypes[Movement],0)),"?")="OUT","OUT   ","--   "))&amp;"fill: "&amp;IF(IFERROR(INDEX(tblMoveTypes[Item?],MATCH($C253,tblMoveTypes[Movement],0)),"?")="Yes","Item  ","")&amp;IF(AND(IFERROR(INDEX(tblMoveTypes[Qty?],MATCH($C253,tblMoveTypes[Movement],0)),"?")="Yes",IFERROR(INDEX(tblMoveTypes[In / Out],MATCH($C253,tblMoveTypes[Movement],0)),"?")="IN"),"In  ","")&amp;IF(AND(IFERROR(INDEX(tblMoveTypes[Qty?],MATCH($C253,tblMoveTypes[Movement],0)),"?")="Yes",IFERROR(INDEX(tblMoveTypes[In / Out],MATCH($C253,tblMoveTypes[Movement],0)),"?")="OUT"),"Out  ","")&amp;IF(IFERROR(INDEX(tblMoveTypes[Orders?],MATCH($C253,tblMoveTypes[Movement],0)),"?")="Yes","Orders  ","")&amp;IF(IFERROR(INDEX(tblMoveTypes[Courier?],MATCH($C253,tblMoveTypes[Movement],0)),"?")="Yes","Courier  ","")&amp;IF(IFERROR(INDEX(tblMoveTypes[Reason?],MATCH($C253,tblMoveTypes[Movement],0)),"?")="Yes","Reason",""),"unknown movement"))</f>
        <v>IN   fill: Item  In  </v>
      </c>
      <c r="E253" s="31" t="s">
        <v>127</v>
      </c>
      <c r="F253" s="33" t="n">
        <v>8</v>
      </c>
      <c r="G253" s="33"/>
      <c r="H253" s="33"/>
      <c r="I253" s="31"/>
      <c r="J253" s="31"/>
      <c r="K253" s="31"/>
      <c r="L253" s="31"/>
      <c r="M253" s="34" t="str">
        <f aca="false">IF($E253="","",IFERROR(INDEX(tblItems[Item Code],MATCH($E253,tblItems[Item Name],0)),"?"))</f>
        <v>EG-FG-GRP-03-02-01-01</v>
      </c>
      <c r="N253" s="34" t="str">
        <f aca="false">IF($B253="","",IFERROR(INDEX(tblShipment[Market],MATCH($B253,tblShipment[Shipment No],0)),"?"))</f>
        <v>Qatar</v>
      </c>
      <c r="O253" s="35" t="n">
        <f aca="false">N($F253)+N($G253)</f>
        <v>8</v>
      </c>
      <c r="P253" s="34" t="str">
        <f aca="false">IF($A253="","",IF($L253="Yes","VOID",IF(COUNTIFS(tblMoveTypes[Movement],$C253)=0,"Unknown movement",IF(COUNTIF(tblShipment[Shipment No],$B253)=0,"Unknown shipment",IF(AND(IFERROR(INDEX(tblMoveTypes[Item?],MATCH($C253,tblMoveTypes[Movement],0)),"?")="Yes",$E253=""),"Item needed",IF(AND(IFERROR(INDEX(tblMoveTypes[Item?],MATCH($C253,tblMoveTypes[Movement],0)),"?")="No",$E253&lt;&gt;""),"Leave Item blank",IF(AND(IFERROR(INDEX(tblMoveTypes[In / Out],MATCH($C253,tblMoveTypes[Movement],0)),"?")="IN",$G253&lt;&gt;""),"Use the In column, not Out",IF(AND(IFERROR(INDEX(tblMoveTypes[In / Out],MATCH($C253,tblMoveTypes[Movement],0)),"?")="OUT",$F253&lt;&gt;""),"Use the Out column, not In",IF(AND(IFERROR(INDEX(tblMoveTypes[Qty?],MATCH($C253,tblMoveTypes[Movement],0)),"?")="Yes",N($F253)+N($G253)&lt;=0),"Qty needed",IF(AND(IFERROR(INDEX(tblMoveTypes[Qty?],MATCH($C253,tblMoveTypes[Movement],0)),"?")="No",N($F253)+N($G253)&gt;0),"Leave In and Out blank",IF(AND(IFERROR(INDEX(tblMoveTypes[Courier?],MATCH($C253,tblMoveTypes[Movement],0)),"?")="Yes",$I253=""),"Courier needed",IF(AND(IFERROR(INDEX(tblMoveTypes[Courier?],MATCH($C253,tblMoveTypes[Movement],0)),"?")="No",$I253&lt;&gt;""),"Leave Courier blank",IF(AND(IFERROR(INDEX(tblMoveTypes[Orders?],MATCH($C253,tblMoveTypes[Movement],0)),"?")="Yes",$H253=""),"Orders needed",IF(AND(IFERROR(INDEX(tblMoveTypes[Orders?],MATCH($C253,tblMoveTypes[Movement],0)),"?")="No",$H253&lt;&gt;""),"Leave Orders blank",IF(AND(IFERROR(INDEX(tblMoveTypes[Reason?],MATCH($C253,tblMoveTypes[Movement],0)),"?")="Yes",$J253=""),"Reason needed",IF($A253&lt;_xlfn.MINIFS(tblShipment[Arrival Date],tblShipment[Shipment No],$B253),"Date before arrival",IF(AND($E253&lt;&gt;"",COUNTIFS(tblShipment[Shipment No],$B253,tblShipment[Item Name],$E253)=0),"Item not in this shipment","OK")))))))))))))))))</f>
        <v>OK</v>
      </c>
    </row>
    <row r="254" customFormat="false" ht="15" hidden="false" customHeight="false" outlineLevel="0" collapsed="false">
      <c r="A254" s="32" t="n">
        <v>46243</v>
      </c>
      <c r="B254" s="31" t="s">
        <v>164</v>
      </c>
      <c r="C254" s="31" t="s">
        <v>130</v>
      </c>
      <c r="D254" s="34" t="str">
        <f aca="false">IF($C254="","",IFERROR(IF(IFERROR(INDEX(tblMoveTypes[In / Out],MATCH($C254,tblMoveTypes[Movement],0)),"?")="IN","IN   ",IF(IFERROR(INDEX(tblMoveTypes[In / Out],MATCH($C254,tblMoveTypes[Movement],0)),"?")="OUT","OUT   ","--   "))&amp;"fill: "&amp;IF(IFERROR(INDEX(tblMoveTypes[Item?],MATCH($C254,tblMoveTypes[Movement],0)),"?")="Yes","Item  ","")&amp;IF(AND(IFERROR(INDEX(tblMoveTypes[Qty?],MATCH($C254,tblMoveTypes[Movement],0)),"?")="Yes",IFERROR(INDEX(tblMoveTypes[In / Out],MATCH($C254,tblMoveTypes[Movement],0)),"?")="IN"),"In  ","")&amp;IF(AND(IFERROR(INDEX(tblMoveTypes[Qty?],MATCH($C254,tblMoveTypes[Movement],0)),"?")="Yes",IFERROR(INDEX(tblMoveTypes[In / Out],MATCH($C254,tblMoveTypes[Movement],0)),"?")="OUT"),"Out  ","")&amp;IF(IFERROR(INDEX(tblMoveTypes[Orders?],MATCH($C254,tblMoveTypes[Movement],0)),"?")="Yes","Orders  ","")&amp;IF(IFERROR(INDEX(tblMoveTypes[Courier?],MATCH($C254,tblMoveTypes[Movement],0)),"?")="Yes","Courier  ","")&amp;IF(IFERROR(INDEX(tblMoveTypes[Reason?],MATCH($C254,tblMoveTypes[Movement],0)),"?")="Yes","Reason",""),"unknown movement"))</f>
        <v>OUT   fill: Item  Out  Reason</v>
      </c>
      <c r="E254" s="31" t="s">
        <v>127</v>
      </c>
      <c r="F254" s="33"/>
      <c r="G254" s="33" t="n">
        <v>3</v>
      </c>
      <c r="H254" s="33"/>
      <c r="I254" s="31"/>
      <c r="J254" s="31" t="s">
        <v>77</v>
      </c>
      <c r="K254" s="31"/>
      <c r="L254" s="31"/>
      <c r="M254" s="34" t="str">
        <f aca="false">IF($E254="","",IFERROR(INDEX(tblItems[Item Code],MATCH($E254,tblItems[Item Name],0)),"?"))</f>
        <v>EG-FG-GRP-03-02-01-01</v>
      </c>
      <c r="N254" s="34" t="str">
        <f aca="false">IF($B254="","",IFERROR(INDEX(tblShipment[Market],MATCH($B254,tblShipment[Shipment No],0)),"?"))</f>
        <v>Qatar</v>
      </c>
      <c r="O254" s="35" t="n">
        <f aca="false">N($F254)+N($G254)</f>
        <v>3</v>
      </c>
      <c r="P254" s="34" t="str">
        <f aca="false">IF($A254="","",IF($L254="Yes","VOID",IF(COUNTIFS(tblMoveTypes[Movement],$C254)=0,"Unknown movement",IF(COUNTIF(tblShipment[Shipment No],$B254)=0,"Unknown shipment",IF(AND(IFERROR(INDEX(tblMoveTypes[Item?],MATCH($C254,tblMoveTypes[Movement],0)),"?")="Yes",$E254=""),"Item needed",IF(AND(IFERROR(INDEX(tblMoveTypes[Item?],MATCH($C254,tblMoveTypes[Movement],0)),"?")="No",$E254&lt;&gt;""),"Leave Item blank",IF(AND(IFERROR(INDEX(tblMoveTypes[In / Out],MATCH($C254,tblMoveTypes[Movement],0)),"?")="IN",$G254&lt;&gt;""),"Use the In column, not Out",IF(AND(IFERROR(INDEX(tblMoveTypes[In / Out],MATCH($C254,tblMoveTypes[Movement],0)),"?")="OUT",$F254&lt;&gt;""),"Use the Out column, not In",IF(AND(IFERROR(INDEX(tblMoveTypes[Qty?],MATCH($C254,tblMoveTypes[Movement],0)),"?")="Yes",N($F254)+N($G254)&lt;=0),"Qty needed",IF(AND(IFERROR(INDEX(tblMoveTypes[Qty?],MATCH($C254,tblMoveTypes[Movement],0)),"?")="No",N($F254)+N($G254)&gt;0),"Leave In and Out blank",IF(AND(IFERROR(INDEX(tblMoveTypes[Courier?],MATCH($C254,tblMoveTypes[Movement],0)),"?")="Yes",$I254=""),"Courier needed",IF(AND(IFERROR(INDEX(tblMoveTypes[Courier?],MATCH($C254,tblMoveTypes[Movement],0)),"?")="No",$I254&lt;&gt;""),"Leave Courier blank",IF(AND(IFERROR(INDEX(tblMoveTypes[Orders?],MATCH($C254,tblMoveTypes[Movement],0)),"?")="Yes",$H254=""),"Orders needed",IF(AND(IFERROR(INDEX(tblMoveTypes[Orders?],MATCH($C254,tblMoveTypes[Movement],0)),"?")="No",$H254&lt;&gt;""),"Leave Orders blank",IF(AND(IFERROR(INDEX(tblMoveTypes[Reason?],MATCH($C254,tblMoveTypes[Movement],0)),"?")="Yes",$J254=""),"Reason needed",IF($A254&lt;_xlfn.MINIFS(tblShipment[Arrival Date],tblShipment[Shipment No],$B254),"Date before arrival",IF(AND($E254&lt;&gt;"",COUNTIFS(tblShipment[Shipment No],$B254,tblShipment[Item Name],$E254)=0),"Item not in this shipment","OK")))))))))))))))))</f>
        <v>OK</v>
      </c>
    </row>
    <row r="255" customFormat="false" ht="15" hidden="false" customHeight="false" outlineLevel="0" collapsed="false">
      <c r="A255" s="32" t="n">
        <v>46245</v>
      </c>
      <c r="B255" s="31" t="s">
        <v>164</v>
      </c>
      <c r="C255" s="31" t="s">
        <v>115</v>
      </c>
      <c r="D255" s="34" t="str">
        <f aca="false">IF($C255="","",IFERROR(IF(IFERROR(INDEX(tblMoveTypes[In / Out],MATCH($C255,tblMoveTypes[Movement],0)),"?")="IN","IN   ",IF(IFERROR(INDEX(tblMoveTypes[In / Out],MATCH($C255,tblMoveTypes[Movement],0)),"?")="OUT","OUT   ","--   "))&amp;"fill: "&amp;IF(IFERROR(INDEX(tblMoveTypes[Item?],MATCH($C255,tblMoveTypes[Movement],0)),"?")="Yes","Item  ","")&amp;IF(AND(IFERROR(INDEX(tblMoveTypes[Qty?],MATCH($C255,tblMoveTypes[Movement],0)),"?")="Yes",IFERROR(INDEX(tblMoveTypes[In / Out],MATCH($C255,tblMoveTypes[Movement],0)),"?")="IN"),"In  ","")&amp;IF(AND(IFERROR(INDEX(tblMoveTypes[Qty?],MATCH($C255,tblMoveTypes[Movement],0)),"?")="Yes",IFERROR(INDEX(tblMoveTypes[In / Out],MATCH($C255,tblMoveTypes[Movement],0)),"?")="OUT"),"Out  ","")&amp;IF(IFERROR(INDEX(tblMoveTypes[Orders?],MATCH($C255,tblMoveTypes[Movement],0)),"?")="Yes","Orders  ","")&amp;IF(IFERROR(INDEX(tblMoveTypes[Courier?],MATCH($C255,tblMoveTypes[Movement],0)),"?")="Yes","Courier  ","")&amp;IF(IFERROR(INDEX(tblMoveTypes[Reason?],MATCH($C255,tblMoveTypes[Movement],0)),"?")="Yes","Reason",""),"unknown movement"))</f>
        <v>OUT   fill: Out  Orders  Courier  </v>
      </c>
      <c r="E255" s="31"/>
      <c r="F255" s="33"/>
      <c r="G255" s="33" t="n">
        <v>108</v>
      </c>
      <c r="H255" s="33" t="n">
        <v>43</v>
      </c>
      <c r="I255" s="31" t="s">
        <v>76</v>
      </c>
      <c r="J255" s="31"/>
      <c r="K255" s="31"/>
      <c r="L255" s="31"/>
      <c r="M255" s="34" t="str">
        <f aca="false">IF($E255="","",IFERROR(INDEX(tblItems[Item Code],MATCH($E255,tblItems[Item Name],0)),"?"))</f>
        <v/>
      </c>
      <c r="N255" s="34" t="str">
        <f aca="false">IF($B255="","",IFERROR(INDEX(tblShipment[Market],MATCH($B255,tblShipment[Shipment No],0)),"?"))</f>
        <v>Qatar</v>
      </c>
      <c r="O255" s="35" t="n">
        <f aca="false">N($F255)+N($G255)</f>
        <v>108</v>
      </c>
      <c r="P255" s="34" t="str">
        <f aca="false">IF($A255="","",IF($L255="Yes","VOID",IF(COUNTIFS(tblMoveTypes[Movement],$C255)=0,"Unknown movement",IF(COUNTIF(tblShipment[Shipment No],$B255)=0,"Unknown shipment",IF(AND(IFERROR(INDEX(tblMoveTypes[Item?],MATCH($C255,tblMoveTypes[Movement],0)),"?")="Yes",$E255=""),"Item needed",IF(AND(IFERROR(INDEX(tblMoveTypes[Item?],MATCH($C255,tblMoveTypes[Movement],0)),"?")="No",$E255&lt;&gt;""),"Leave Item blank",IF(AND(IFERROR(INDEX(tblMoveTypes[In / Out],MATCH($C255,tblMoveTypes[Movement],0)),"?")="IN",$G255&lt;&gt;""),"Use the In column, not Out",IF(AND(IFERROR(INDEX(tblMoveTypes[In / Out],MATCH($C255,tblMoveTypes[Movement],0)),"?")="OUT",$F255&lt;&gt;""),"Use the Out column, not In",IF(AND(IFERROR(INDEX(tblMoveTypes[Qty?],MATCH($C255,tblMoveTypes[Movement],0)),"?")="Yes",N($F255)+N($G255)&lt;=0),"Qty needed",IF(AND(IFERROR(INDEX(tblMoveTypes[Qty?],MATCH($C255,tblMoveTypes[Movement],0)),"?")="No",N($F255)+N($G255)&gt;0),"Leave In and Out blank",IF(AND(IFERROR(INDEX(tblMoveTypes[Courier?],MATCH($C255,tblMoveTypes[Movement],0)),"?")="Yes",$I255=""),"Courier needed",IF(AND(IFERROR(INDEX(tblMoveTypes[Courier?],MATCH($C255,tblMoveTypes[Movement],0)),"?")="No",$I255&lt;&gt;""),"Leave Courier blank",IF(AND(IFERROR(INDEX(tblMoveTypes[Orders?],MATCH($C255,tblMoveTypes[Movement],0)),"?")="Yes",$H255=""),"Orders needed",IF(AND(IFERROR(INDEX(tblMoveTypes[Orders?],MATCH($C255,tblMoveTypes[Movement],0)),"?")="No",$H255&lt;&gt;""),"Leave Orders blank",IF(AND(IFERROR(INDEX(tblMoveTypes[Reason?],MATCH($C255,tblMoveTypes[Movement],0)),"?")="Yes",$J255=""),"Reason needed",IF($A255&lt;_xlfn.MINIFS(tblShipment[Arrival Date],tblShipment[Shipment No],$B255),"Date before arrival",IF(AND($E255&lt;&gt;"",COUNTIFS(tblShipment[Shipment No],$B255,tblShipment[Item Name],$E255)=0),"Item not in this shipment","OK")))))))))))))))))</f>
        <v>OK</v>
      </c>
    </row>
    <row r="256" customFormat="false" ht="15" hidden="false" customHeight="false" outlineLevel="0" collapsed="false">
      <c r="A256" s="32" t="n">
        <v>46245</v>
      </c>
      <c r="B256" s="31" t="s">
        <v>165</v>
      </c>
      <c r="C256" s="31" t="s">
        <v>79</v>
      </c>
      <c r="D256" s="34" t="str">
        <f aca="false">IF($C256="","",IFERROR(IF(IFERROR(INDEX(tblMoveTypes[In / Out],MATCH($C256,tblMoveTypes[Movement],0)),"?")="IN","IN   ",IF(IFERROR(INDEX(tblMoveTypes[In / Out],MATCH($C256,tblMoveTypes[Movement],0)),"?")="OUT","OUT   ","--   "))&amp;"fill: "&amp;IF(IFERROR(INDEX(tblMoveTypes[Item?],MATCH($C256,tblMoveTypes[Movement],0)),"?")="Yes","Item  ","")&amp;IF(AND(IFERROR(INDEX(tblMoveTypes[Qty?],MATCH($C256,tblMoveTypes[Movement],0)),"?")="Yes",IFERROR(INDEX(tblMoveTypes[In / Out],MATCH($C256,tblMoveTypes[Movement],0)),"?")="IN"),"In  ","")&amp;IF(AND(IFERROR(INDEX(tblMoveTypes[Qty?],MATCH($C256,tblMoveTypes[Movement],0)),"?")="Yes",IFERROR(INDEX(tblMoveTypes[In / Out],MATCH($C256,tblMoveTypes[Movement],0)),"?")="OUT"),"Out  ","")&amp;IF(IFERROR(INDEX(tblMoveTypes[Orders?],MATCH($C256,tblMoveTypes[Movement],0)),"?")="Yes","Orders  ","")&amp;IF(IFERROR(INDEX(tblMoveTypes[Courier?],MATCH($C256,tblMoveTypes[Movement],0)),"?")="Yes","Courier  ","")&amp;IF(IFERROR(INDEX(tblMoveTypes[Reason?],MATCH($C256,tblMoveTypes[Movement],0)),"?")="Yes","Reason",""),"unknown movement"))</f>
        <v>IN   fill: Item  In  </v>
      </c>
      <c r="E256" s="31" t="s">
        <v>84</v>
      </c>
      <c r="F256" s="33" t="n">
        <v>100</v>
      </c>
      <c r="G256" s="33"/>
      <c r="H256" s="33"/>
      <c r="I256" s="31"/>
      <c r="J256" s="31"/>
      <c r="K256" s="31"/>
      <c r="L256" s="31"/>
      <c r="M256" s="34" t="str">
        <f aca="false">IF($E256="","",IFERROR(INDEX(tblItems[Item Code],MATCH($E256,tblItems[Item Name],0)),"?"))</f>
        <v>EG-FG-MNG-12-02-01-01</v>
      </c>
      <c r="N256" s="34" t="str">
        <f aca="false">IF($B256="","",IFERROR(INDEX(tblShipment[Market],MATCH($B256,tblShipment[Shipment No],0)),"?"))</f>
        <v>Qatar</v>
      </c>
      <c r="O256" s="35" t="n">
        <f aca="false">N($F256)+N($G256)</f>
        <v>100</v>
      </c>
      <c r="P256" s="34" t="str">
        <f aca="false">IF($A256="","",IF($L256="Yes","VOID",IF(COUNTIFS(tblMoveTypes[Movement],$C256)=0,"Unknown movement",IF(COUNTIF(tblShipment[Shipment No],$B256)=0,"Unknown shipment",IF(AND(IFERROR(INDEX(tblMoveTypes[Item?],MATCH($C256,tblMoveTypes[Movement],0)),"?")="Yes",$E256=""),"Item needed",IF(AND(IFERROR(INDEX(tblMoveTypes[Item?],MATCH($C256,tblMoveTypes[Movement],0)),"?")="No",$E256&lt;&gt;""),"Leave Item blank",IF(AND(IFERROR(INDEX(tblMoveTypes[In / Out],MATCH($C256,tblMoveTypes[Movement],0)),"?")="IN",$G256&lt;&gt;""),"Use the In column, not Out",IF(AND(IFERROR(INDEX(tblMoveTypes[In / Out],MATCH($C256,tblMoveTypes[Movement],0)),"?")="OUT",$F256&lt;&gt;""),"Use the Out column, not In",IF(AND(IFERROR(INDEX(tblMoveTypes[Qty?],MATCH($C256,tblMoveTypes[Movement],0)),"?")="Yes",N($F256)+N($G256)&lt;=0),"Qty needed",IF(AND(IFERROR(INDEX(tblMoveTypes[Qty?],MATCH($C256,tblMoveTypes[Movement],0)),"?")="No",N($F256)+N($G256)&gt;0),"Leave In and Out blank",IF(AND(IFERROR(INDEX(tblMoveTypes[Courier?],MATCH($C256,tblMoveTypes[Movement],0)),"?")="Yes",$I256=""),"Courier needed",IF(AND(IFERROR(INDEX(tblMoveTypes[Courier?],MATCH($C256,tblMoveTypes[Movement],0)),"?")="No",$I256&lt;&gt;""),"Leave Courier blank",IF(AND(IFERROR(INDEX(tblMoveTypes[Orders?],MATCH($C256,tblMoveTypes[Movement],0)),"?")="Yes",$H256=""),"Orders needed",IF(AND(IFERROR(INDEX(tblMoveTypes[Orders?],MATCH($C256,tblMoveTypes[Movement],0)),"?")="No",$H256&lt;&gt;""),"Leave Orders blank",IF(AND(IFERROR(INDEX(tblMoveTypes[Reason?],MATCH($C256,tblMoveTypes[Movement],0)),"?")="Yes",$J256=""),"Reason needed",IF($A256&lt;_xlfn.MINIFS(tblShipment[Arrival Date],tblShipment[Shipment No],$B256),"Date before arrival",IF(AND($E256&lt;&gt;"",COUNTIFS(tblShipment[Shipment No],$B256,tblShipment[Item Name],$E256)=0),"Item not in this shipment","OK")))))))))))))))))</f>
        <v>OK</v>
      </c>
    </row>
    <row r="257" customFormat="false" ht="15" hidden="false" customHeight="false" outlineLevel="0" collapsed="false">
      <c r="A257" s="32" t="n">
        <v>46245</v>
      </c>
      <c r="B257" s="31" t="s">
        <v>165</v>
      </c>
      <c r="C257" s="31" t="s">
        <v>78</v>
      </c>
      <c r="D257" s="34" t="str">
        <f aca="false">IF($C257="","",IFERROR(IF(IFERROR(INDEX(tblMoveTypes[In / Out],MATCH($C257,tblMoveTypes[Movement],0)),"?")="IN","IN   ",IF(IFERROR(INDEX(tblMoveTypes[In / Out],MATCH($C257,tblMoveTypes[Movement],0)),"?")="OUT","OUT   ","--   "))&amp;"fill: "&amp;IF(IFERROR(INDEX(tblMoveTypes[Item?],MATCH($C257,tblMoveTypes[Movement],0)),"?")="Yes","Item  ","")&amp;IF(AND(IFERROR(INDEX(tblMoveTypes[Qty?],MATCH($C257,tblMoveTypes[Movement],0)),"?")="Yes",IFERROR(INDEX(tblMoveTypes[In / Out],MATCH($C257,tblMoveTypes[Movement],0)),"?")="IN"),"In  ","")&amp;IF(AND(IFERROR(INDEX(tblMoveTypes[Qty?],MATCH($C257,tblMoveTypes[Movement],0)),"?")="Yes",IFERROR(INDEX(tblMoveTypes[In / Out],MATCH($C257,tblMoveTypes[Movement],0)),"?")="OUT"),"Out  ","")&amp;IF(IFERROR(INDEX(tblMoveTypes[Orders?],MATCH($C257,tblMoveTypes[Movement],0)),"?")="Yes","Orders  ","")&amp;IF(IFERROR(INDEX(tblMoveTypes[Courier?],MATCH($C257,tblMoveTypes[Movement],0)),"?")="Yes","Courier  ","")&amp;IF(IFERROR(INDEX(tblMoveTypes[Reason?],MATCH($C257,tblMoveTypes[Movement],0)),"?")="Yes","Reason",""),"unknown movement"))</f>
        <v>OUT   fill: Item  Out  Reason</v>
      </c>
      <c r="E257" s="31" t="s">
        <v>84</v>
      </c>
      <c r="F257" s="33"/>
      <c r="G257" s="33" t="n">
        <v>1</v>
      </c>
      <c r="H257" s="33"/>
      <c r="I257" s="31"/>
      <c r="J257" s="31" t="s">
        <v>86</v>
      </c>
      <c r="K257" s="31"/>
      <c r="L257" s="31"/>
      <c r="M257" s="34" t="str">
        <f aca="false">IF($E257="","",IFERROR(INDEX(tblItems[Item Code],MATCH($E257,tblItems[Item Name],0)),"?"))</f>
        <v>EG-FG-MNG-12-02-01-01</v>
      </c>
      <c r="N257" s="34" t="str">
        <f aca="false">IF($B257="","",IFERROR(INDEX(tblShipment[Market],MATCH($B257,tblShipment[Shipment No],0)),"?"))</f>
        <v>Qatar</v>
      </c>
      <c r="O257" s="35" t="n">
        <f aca="false">N($F257)+N($G257)</f>
        <v>1</v>
      </c>
      <c r="P257" s="34" t="str">
        <f aca="false">IF($A257="","",IF($L257="Yes","VOID",IF(COUNTIFS(tblMoveTypes[Movement],$C257)=0,"Unknown movement",IF(COUNTIF(tblShipment[Shipment No],$B257)=0,"Unknown shipment",IF(AND(IFERROR(INDEX(tblMoveTypes[Item?],MATCH($C257,tblMoveTypes[Movement],0)),"?")="Yes",$E257=""),"Item needed",IF(AND(IFERROR(INDEX(tblMoveTypes[Item?],MATCH($C257,tblMoveTypes[Movement],0)),"?")="No",$E257&lt;&gt;""),"Leave Item blank",IF(AND(IFERROR(INDEX(tblMoveTypes[In / Out],MATCH($C257,tblMoveTypes[Movement],0)),"?")="IN",$G257&lt;&gt;""),"Use the In column, not Out",IF(AND(IFERROR(INDEX(tblMoveTypes[In / Out],MATCH($C257,tblMoveTypes[Movement],0)),"?")="OUT",$F257&lt;&gt;""),"Use the Out column, not In",IF(AND(IFERROR(INDEX(tblMoveTypes[Qty?],MATCH($C257,tblMoveTypes[Movement],0)),"?")="Yes",N($F257)+N($G257)&lt;=0),"Qty needed",IF(AND(IFERROR(INDEX(tblMoveTypes[Qty?],MATCH($C257,tblMoveTypes[Movement],0)),"?")="No",N($F257)+N($G257)&gt;0),"Leave In and Out blank",IF(AND(IFERROR(INDEX(tblMoveTypes[Courier?],MATCH($C257,tblMoveTypes[Movement],0)),"?")="Yes",$I257=""),"Courier needed",IF(AND(IFERROR(INDEX(tblMoveTypes[Courier?],MATCH($C257,tblMoveTypes[Movement],0)),"?")="No",$I257&lt;&gt;""),"Leave Courier blank",IF(AND(IFERROR(INDEX(tblMoveTypes[Orders?],MATCH($C257,tblMoveTypes[Movement],0)),"?")="Yes",$H257=""),"Orders needed",IF(AND(IFERROR(INDEX(tblMoveTypes[Orders?],MATCH($C257,tblMoveTypes[Movement],0)),"?")="No",$H257&lt;&gt;""),"Leave Orders blank",IF(AND(IFERROR(INDEX(tblMoveTypes[Reason?],MATCH($C257,tblMoveTypes[Movement],0)),"?")="Yes",$J257=""),"Reason needed",IF($A257&lt;_xlfn.MINIFS(tblShipment[Arrival Date],tblShipment[Shipment No],$B257),"Date before arrival",IF(AND($E257&lt;&gt;"",COUNTIFS(tblShipment[Shipment No],$B257,tblShipment[Item Name],$E257)=0),"Item not in this shipment","OK")))))))))))))))))</f>
        <v>OK</v>
      </c>
    </row>
    <row r="258" customFormat="false" ht="15" hidden="false" customHeight="false" outlineLevel="0" collapsed="false">
      <c r="A258" s="32" t="n">
        <v>46245</v>
      </c>
      <c r="B258" s="31" t="s">
        <v>165</v>
      </c>
      <c r="C258" s="31" t="s">
        <v>79</v>
      </c>
      <c r="D258" s="34" t="str">
        <f aca="false">IF($C258="","",IFERROR(IF(IFERROR(INDEX(tblMoveTypes[In / Out],MATCH($C258,tblMoveTypes[Movement],0)),"?")="IN","IN   ",IF(IFERROR(INDEX(tblMoveTypes[In / Out],MATCH($C258,tblMoveTypes[Movement],0)),"?")="OUT","OUT   ","--   "))&amp;"fill: "&amp;IF(IFERROR(INDEX(tblMoveTypes[Item?],MATCH($C258,tblMoveTypes[Movement],0)),"?")="Yes","Item  ","")&amp;IF(AND(IFERROR(INDEX(tblMoveTypes[Qty?],MATCH($C258,tblMoveTypes[Movement],0)),"?")="Yes",IFERROR(INDEX(tblMoveTypes[In / Out],MATCH($C258,tblMoveTypes[Movement],0)),"?")="IN"),"In  ","")&amp;IF(AND(IFERROR(INDEX(tblMoveTypes[Qty?],MATCH($C258,tblMoveTypes[Movement],0)),"?")="Yes",IFERROR(INDEX(tblMoveTypes[In / Out],MATCH($C258,tblMoveTypes[Movement],0)),"?")="OUT"),"Out  ","")&amp;IF(IFERROR(INDEX(tblMoveTypes[Orders?],MATCH($C258,tblMoveTypes[Movement],0)),"?")="Yes","Orders  ","")&amp;IF(IFERROR(INDEX(tblMoveTypes[Courier?],MATCH($C258,tblMoveTypes[Movement],0)),"?")="Yes","Courier  ","")&amp;IF(IFERROR(INDEX(tblMoveTypes[Reason?],MATCH($C258,tblMoveTypes[Movement],0)),"?")="Yes","Reason",""),"unknown movement"))</f>
        <v>IN   fill: Item  In  </v>
      </c>
      <c r="E258" s="31" t="s">
        <v>100</v>
      </c>
      <c r="F258" s="33" t="n">
        <v>25</v>
      </c>
      <c r="G258" s="33"/>
      <c r="H258" s="33"/>
      <c r="I258" s="31"/>
      <c r="J258" s="31"/>
      <c r="K258" s="31"/>
      <c r="L258" s="31"/>
      <c r="M258" s="34" t="str">
        <f aca="false">IF($E258="","",IFERROR(INDEX(tblItems[Item Code],MATCH($E258,tblItems[Item Name],0)),"?"))</f>
        <v>EG-FG-MNG-18-02-01-01</v>
      </c>
      <c r="N258" s="34" t="str">
        <f aca="false">IF($B258="","",IFERROR(INDEX(tblShipment[Market],MATCH($B258,tblShipment[Shipment No],0)),"?"))</f>
        <v>Qatar</v>
      </c>
      <c r="O258" s="35" t="n">
        <f aca="false">N($F258)+N($G258)</f>
        <v>25</v>
      </c>
      <c r="P258" s="34" t="str">
        <f aca="false">IF($A258="","",IF($L258="Yes","VOID",IF(COUNTIFS(tblMoveTypes[Movement],$C258)=0,"Unknown movement",IF(COUNTIF(tblShipment[Shipment No],$B258)=0,"Unknown shipment",IF(AND(IFERROR(INDEX(tblMoveTypes[Item?],MATCH($C258,tblMoveTypes[Movement],0)),"?")="Yes",$E258=""),"Item needed",IF(AND(IFERROR(INDEX(tblMoveTypes[Item?],MATCH($C258,tblMoveTypes[Movement],0)),"?")="No",$E258&lt;&gt;""),"Leave Item blank",IF(AND(IFERROR(INDEX(tblMoveTypes[In / Out],MATCH($C258,tblMoveTypes[Movement],0)),"?")="IN",$G258&lt;&gt;""),"Use the In column, not Out",IF(AND(IFERROR(INDEX(tblMoveTypes[In / Out],MATCH($C258,tblMoveTypes[Movement],0)),"?")="OUT",$F258&lt;&gt;""),"Use the Out column, not In",IF(AND(IFERROR(INDEX(tblMoveTypes[Qty?],MATCH($C258,tblMoveTypes[Movement],0)),"?")="Yes",N($F258)+N($G258)&lt;=0),"Qty needed",IF(AND(IFERROR(INDEX(tblMoveTypes[Qty?],MATCH($C258,tblMoveTypes[Movement],0)),"?")="No",N($F258)+N($G258)&gt;0),"Leave In and Out blank",IF(AND(IFERROR(INDEX(tblMoveTypes[Courier?],MATCH($C258,tblMoveTypes[Movement],0)),"?")="Yes",$I258=""),"Courier needed",IF(AND(IFERROR(INDEX(tblMoveTypes[Courier?],MATCH($C258,tblMoveTypes[Movement],0)),"?")="No",$I258&lt;&gt;""),"Leave Courier blank",IF(AND(IFERROR(INDEX(tblMoveTypes[Orders?],MATCH($C258,tblMoveTypes[Movement],0)),"?")="Yes",$H258=""),"Orders needed",IF(AND(IFERROR(INDEX(tblMoveTypes[Orders?],MATCH($C258,tblMoveTypes[Movement],0)),"?")="No",$H258&lt;&gt;""),"Leave Orders blank",IF(AND(IFERROR(INDEX(tblMoveTypes[Reason?],MATCH($C258,tblMoveTypes[Movement],0)),"?")="Yes",$J258=""),"Reason needed",IF($A258&lt;_xlfn.MINIFS(tblShipment[Arrival Date],tblShipment[Shipment No],$B258),"Date before arrival",IF(AND($E258&lt;&gt;"",COUNTIFS(tblShipment[Shipment No],$B258,tblShipment[Item Name],$E258)=0),"Item not in this shipment","OK")))))))))))))))))</f>
        <v>OK</v>
      </c>
    </row>
    <row r="259" customFormat="false" ht="15" hidden="false" customHeight="false" outlineLevel="0" collapsed="false">
      <c r="A259" s="32" t="n">
        <v>46245</v>
      </c>
      <c r="B259" s="31" t="s">
        <v>165</v>
      </c>
      <c r="C259" s="31" t="s">
        <v>78</v>
      </c>
      <c r="D259" s="34" t="str">
        <f aca="false">IF($C259="","",IFERROR(IF(IFERROR(INDEX(tblMoveTypes[In / Out],MATCH($C259,tblMoveTypes[Movement],0)),"?")="IN","IN   ",IF(IFERROR(INDEX(tblMoveTypes[In / Out],MATCH($C259,tblMoveTypes[Movement],0)),"?")="OUT","OUT   ","--   "))&amp;"fill: "&amp;IF(IFERROR(INDEX(tblMoveTypes[Item?],MATCH($C259,tblMoveTypes[Movement],0)),"?")="Yes","Item  ","")&amp;IF(AND(IFERROR(INDEX(tblMoveTypes[Qty?],MATCH($C259,tblMoveTypes[Movement],0)),"?")="Yes",IFERROR(INDEX(tblMoveTypes[In / Out],MATCH($C259,tblMoveTypes[Movement],0)),"?")="IN"),"In  ","")&amp;IF(AND(IFERROR(INDEX(tblMoveTypes[Qty?],MATCH($C259,tblMoveTypes[Movement],0)),"?")="Yes",IFERROR(INDEX(tblMoveTypes[In / Out],MATCH($C259,tblMoveTypes[Movement],0)),"?")="OUT"),"Out  ","")&amp;IF(IFERROR(INDEX(tblMoveTypes[Orders?],MATCH($C259,tblMoveTypes[Movement],0)),"?")="Yes","Orders  ","")&amp;IF(IFERROR(INDEX(tblMoveTypes[Courier?],MATCH($C259,tblMoveTypes[Movement],0)),"?")="Yes","Courier  ","")&amp;IF(IFERROR(INDEX(tblMoveTypes[Reason?],MATCH($C259,tblMoveTypes[Movement],0)),"?")="Yes","Reason",""),"unknown movement"))</f>
        <v>OUT   fill: Item  Out  Reason</v>
      </c>
      <c r="E259" s="31" t="s">
        <v>100</v>
      </c>
      <c r="F259" s="33"/>
      <c r="G259" s="33" t="n">
        <v>1</v>
      </c>
      <c r="H259" s="33"/>
      <c r="I259" s="31"/>
      <c r="J259" s="31" t="s">
        <v>77</v>
      </c>
      <c r="K259" s="31"/>
      <c r="L259" s="31"/>
      <c r="M259" s="34" t="str">
        <f aca="false">IF($E259="","",IFERROR(INDEX(tblItems[Item Code],MATCH($E259,tblItems[Item Name],0)),"?"))</f>
        <v>EG-FG-MNG-18-02-01-01</v>
      </c>
      <c r="N259" s="34" t="str">
        <f aca="false">IF($B259="","",IFERROR(INDEX(tblShipment[Market],MATCH($B259,tblShipment[Shipment No],0)),"?"))</f>
        <v>Qatar</v>
      </c>
      <c r="O259" s="35" t="n">
        <f aca="false">N($F259)+N($G259)</f>
        <v>1</v>
      </c>
      <c r="P259" s="34" t="str">
        <f aca="false">IF($A259="","",IF($L259="Yes","VOID",IF(COUNTIFS(tblMoveTypes[Movement],$C259)=0,"Unknown movement",IF(COUNTIF(tblShipment[Shipment No],$B259)=0,"Unknown shipment",IF(AND(IFERROR(INDEX(tblMoveTypes[Item?],MATCH($C259,tblMoveTypes[Movement],0)),"?")="Yes",$E259=""),"Item needed",IF(AND(IFERROR(INDEX(tblMoveTypes[Item?],MATCH($C259,tblMoveTypes[Movement],0)),"?")="No",$E259&lt;&gt;""),"Leave Item blank",IF(AND(IFERROR(INDEX(tblMoveTypes[In / Out],MATCH($C259,tblMoveTypes[Movement],0)),"?")="IN",$G259&lt;&gt;""),"Use the In column, not Out",IF(AND(IFERROR(INDEX(tblMoveTypes[In / Out],MATCH($C259,tblMoveTypes[Movement],0)),"?")="OUT",$F259&lt;&gt;""),"Use the Out column, not In",IF(AND(IFERROR(INDEX(tblMoveTypes[Qty?],MATCH($C259,tblMoveTypes[Movement],0)),"?")="Yes",N($F259)+N($G259)&lt;=0),"Qty needed",IF(AND(IFERROR(INDEX(tblMoveTypes[Qty?],MATCH($C259,tblMoveTypes[Movement],0)),"?")="No",N($F259)+N($G259)&gt;0),"Leave In and Out blank",IF(AND(IFERROR(INDEX(tblMoveTypes[Courier?],MATCH($C259,tblMoveTypes[Movement],0)),"?")="Yes",$I259=""),"Courier needed",IF(AND(IFERROR(INDEX(tblMoveTypes[Courier?],MATCH($C259,tblMoveTypes[Movement],0)),"?")="No",$I259&lt;&gt;""),"Leave Courier blank",IF(AND(IFERROR(INDEX(tblMoveTypes[Orders?],MATCH($C259,tblMoveTypes[Movement],0)),"?")="Yes",$H259=""),"Orders needed",IF(AND(IFERROR(INDEX(tblMoveTypes[Orders?],MATCH($C259,tblMoveTypes[Movement],0)),"?")="No",$H259&lt;&gt;""),"Leave Orders blank",IF(AND(IFERROR(INDEX(tblMoveTypes[Reason?],MATCH($C259,tblMoveTypes[Movement],0)),"?")="Yes",$J259=""),"Reason needed",IF($A259&lt;_xlfn.MINIFS(tblShipment[Arrival Date],tblShipment[Shipment No],$B259),"Date before arrival",IF(AND($E259&lt;&gt;"",COUNTIFS(tblShipment[Shipment No],$B259,tblShipment[Item Name],$E259)=0),"Item not in this shipment","OK")))))))))))))))))</f>
        <v>OK</v>
      </c>
    </row>
    <row r="260" customFormat="false" ht="15" hidden="false" customHeight="false" outlineLevel="0" collapsed="false">
      <c r="A260" s="32" t="n">
        <v>46245</v>
      </c>
      <c r="B260" s="31" t="s">
        <v>165</v>
      </c>
      <c r="C260" s="31" t="s">
        <v>79</v>
      </c>
      <c r="D260" s="34" t="str">
        <f aca="false">IF($C260="","",IFERROR(IF(IFERROR(INDEX(tblMoveTypes[In / Out],MATCH($C260,tblMoveTypes[Movement],0)),"?")="IN","IN   ",IF(IFERROR(INDEX(tblMoveTypes[In / Out],MATCH($C260,tblMoveTypes[Movement],0)),"?")="OUT","OUT   ","--   "))&amp;"fill: "&amp;IF(IFERROR(INDEX(tblMoveTypes[Item?],MATCH($C260,tblMoveTypes[Movement],0)),"?")="Yes","Item  ","")&amp;IF(AND(IFERROR(INDEX(tblMoveTypes[Qty?],MATCH($C260,tblMoveTypes[Movement],0)),"?")="Yes",IFERROR(INDEX(tblMoveTypes[In / Out],MATCH($C260,tblMoveTypes[Movement],0)),"?")="IN"),"In  ","")&amp;IF(AND(IFERROR(INDEX(tblMoveTypes[Qty?],MATCH($C260,tblMoveTypes[Movement],0)),"?")="Yes",IFERROR(INDEX(tblMoveTypes[In / Out],MATCH($C260,tblMoveTypes[Movement],0)),"?")="OUT"),"Out  ","")&amp;IF(IFERROR(INDEX(tblMoveTypes[Orders?],MATCH($C260,tblMoveTypes[Movement],0)),"?")="Yes","Orders  ","")&amp;IF(IFERROR(INDEX(tblMoveTypes[Courier?],MATCH($C260,tblMoveTypes[Movement],0)),"?")="Yes","Courier  ","")&amp;IF(IFERROR(INDEX(tblMoveTypes[Reason?],MATCH($C260,tblMoveTypes[Movement],0)),"?")="Yes","Reason",""),"unknown movement"))</f>
        <v>IN   fill: Item  In  </v>
      </c>
      <c r="E260" s="31" t="s">
        <v>95</v>
      </c>
      <c r="F260" s="33" t="n">
        <v>45</v>
      </c>
      <c r="G260" s="33"/>
      <c r="H260" s="33"/>
      <c r="I260" s="31"/>
      <c r="J260" s="31"/>
      <c r="K260" s="31"/>
      <c r="L260" s="31"/>
      <c r="M260" s="34" t="str">
        <f aca="false">IF($E260="","",IFERROR(INDEX(tblItems[Item Code],MATCH($E260,tblItems[Item Name],0)),"?"))</f>
        <v>EG-FG-GUV-01-02-01-01</v>
      </c>
      <c r="N260" s="34" t="str">
        <f aca="false">IF($B260="","",IFERROR(INDEX(tblShipment[Market],MATCH($B260,tblShipment[Shipment No],0)),"?"))</f>
        <v>Qatar</v>
      </c>
      <c r="O260" s="35" t="n">
        <f aca="false">N($F260)+N($G260)</f>
        <v>45</v>
      </c>
      <c r="P260" s="34" t="str">
        <f aca="false">IF($A260="","",IF($L260="Yes","VOID",IF(COUNTIFS(tblMoveTypes[Movement],$C260)=0,"Unknown movement",IF(COUNTIF(tblShipment[Shipment No],$B260)=0,"Unknown shipment",IF(AND(IFERROR(INDEX(tblMoveTypes[Item?],MATCH($C260,tblMoveTypes[Movement],0)),"?")="Yes",$E260=""),"Item needed",IF(AND(IFERROR(INDEX(tblMoveTypes[Item?],MATCH($C260,tblMoveTypes[Movement],0)),"?")="No",$E260&lt;&gt;""),"Leave Item blank",IF(AND(IFERROR(INDEX(tblMoveTypes[In / Out],MATCH($C260,tblMoveTypes[Movement],0)),"?")="IN",$G260&lt;&gt;""),"Use the In column, not Out",IF(AND(IFERROR(INDEX(tblMoveTypes[In / Out],MATCH($C260,tblMoveTypes[Movement],0)),"?")="OUT",$F260&lt;&gt;""),"Use the Out column, not In",IF(AND(IFERROR(INDEX(tblMoveTypes[Qty?],MATCH($C260,tblMoveTypes[Movement],0)),"?")="Yes",N($F260)+N($G260)&lt;=0),"Qty needed",IF(AND(IFERROR(INDEX(tblMoveTypes[Qty?],MATCH($C260,tblMoveTypes[Movement],0)),"?")="No",N($F260)+N($G260)&gt;0),"Leave In and Out blank",IF(AND(IFERROR(INDEX(tblMoveTypes[Courier?],MATCH($C260,tblMoveTypes[Movement],0)),"?")="Yes",$I260=""),"Courier needed",IF(AND(IFERROR(INDEX(tblMoveTypes[Courier?],MATCH($C260,tblMoveTypes[Movement],0)),"?")="No",$I260&lt;&gt;""),"Leave Courier blank",IF(AND(IFERROR(INDEX(tblMoveTypes[Orders?],MATCH($C260,tblMoveTypes[Movement],0)),"?")="Yes",$H260=""),"Orders needed",IF(AND(IFERROR(INDEX(tblMoveTypes[Orders?],MATCH($C260,tblMoveTypes[Movement],0)),"?")="No",$H260&lt;&gt;""),"Leave Orders blank",IF(AND(IFERROR(INDEX(tblMoveTypes[Reason?],MATCH($C260,tblMoveTypes[Movement],0)),"?")="Yes",$J260=""),"Reason needed",IF($A260&lt;_xlfn.MINIFS(tblShipment[Arrival Date],tblShipment[Shipment No],$B260),"Date before arrival",IF(AND($E260&lt;&gt;"",COUNTIFS(tblShipment[Shipment No],$B260,tblShipment[Item Name],$E260)=0),"Item not in this shipment","OK")))))))))))))))))</f>
        <v>OK</v>
      </c>
    </row>
    <row r="261" customFormat="false" ht="15" hidden="false" customHeight="false" outlineLevel="0" collapsed="false">
      <c r="A261" s="32" t="n">
        <v>46245</v>
      </c>
      <c r="B261" s="31" t="s">
        <v>165</v>
      </c>
      <c r="C261" s="31" t="s">
        <v>79</v>
      </c>
      <c r="D261" s="34" t="str">
        <f aca="false">IF($C261="","",IFERROR(IF(IFERROR(INDEX(tblMoveTypes[In / Out],MATCH($C261,tblMoveTypes[Movement],0)),"?")="IN","IN   ",IF(IFERROR(INDEX(tblMoveTypes[In / Out],MATCH($C261,tblMoveTypes[Movement],0)),"?")="OUT","OUT   ","--   "))&amp;"fill: "&amp;IF(IFERROR(INDEX(tblMoveTypes[Item?],MATCH($C261,tblMoveTypes[Movement],0)),"?")="Yes","Item  ","")&amp;IF(AND(IFERROR(INDEX(tblMoveTypes[Qty?],MATCH($C261,tblMoveTypes[Movement],0)),"?")="Yes",IFERROR(INDEX(tblMoveTypes[In / Out],MATCH($C261,tblMoveTypes[Movement],0)),"?")="IN"),"In  ","")&amp;IF(AND(IFERROR(INDEX(tblMoveTypes[Qty?],MATCH($C261,tblMoveTypes[Movement],0)),"?")="Yes",IFERROR(INDEX(tblMoveTypes[In / Out],MATCH($C261,tblMoveTypes[Movement],0)),"?")="OUT"),"Out  ","")&amp;IF(IFERROR(INDEX(tblMoveTypes[Orders?],MATCH($C261,tblMoveTypes[Movement],0)),"?")="Yes","Orders  ","")&amp;IF(IFERROR(INDEX(tblMoveTypes[Courier?],MATCH($C261,tblMoveTypes[Movement],0)),"?")="Yes","Courier  ","")&amp;IF(IFERROR(INDEX(tblMoveTypes[Reason?],MATCH($C261,tblMoveTypes[Movement],0)),"?")="Yes","Reason",""),"unknown movement"))</f>
        <v>IN   fill: Item  In  </v>
      </c>
      <c r="E261" s="31" t="s">
        <v>106</v>
      </c>
      <c r="F261" s="33" t="n">
        <v>30</v>
      </c>
      <c r="G261" s="33"/>
      <c r="H261" s="33"/>
      <c r="I261" s="31"/>
      <c r="J261" s="31"/>
      <c r="K261" s="31"/>
      <c r="L261" s="31"/>
      <c r="M261" s="34" t="str">
        <f aca="false">IF($E261="","",IFERROR(INDEX(tblItems[Item Code],MATCH($E261,tblItems[Item Name],0)),"?"))</f>
        <v>EG-FG-DAT-01-02-01-01</v>
      </c>
      <c r="N261" s="34" t="str">
        <f aca="false">IF($B261="","",IFERROR(INDEX(tblShipment[Market],MATCH($B261,tblShipment[Shipment No],0)),"?"))</f>
        <v>Qatar</v>
      </c>
      <c r="O261" s="35" t="n">
        <f aca="false">N($F261)+N($G261)</f>
        <v>30</v>
      </c>
      <c r="P261" s="34" t="str">
        <f aca="false">IF($A261="","",IF($L261="Yes","VOID",IF(COUNTIFS(tblMoveTypes[Movement],$C261)=0,"Unknown movement",IF(COUNTIF(tblShipment[Shipment No],$B261)=0,"Unknown shipment",IF(AND(IFERROR(INDEX(tblMoveTypes[Item?],MATCH($C261,tblMoveTypes[Movement],0)),"?")="Yes",$E261=""),"Item needed",IF(AND(IFERROR(INDEX(tblMoveTypes[Item?],MATCH($C261,tblMoveTypes[Movement],0)),"?")="No",$E261&lt;&gt;""),"Leave Item blank",IF(AND(IFERROR(INDEX(tblMoveTypes[In / Out],MATCH($C261,tblMoveTypes[Movement],0)),"?")="IN",$G261&lt;&gt;""),"Use the In column, not Out",IF(AND(IFERROR(INDEX(tblMoveTypes[In / Out],MATCH($C261,tblMoveTypes[Movement],0)),"?")="OUT",$F261&lt;&gt;""),"Use the Out column, not In",IF(AND(IFERROR(INDEX(tblMoveTypes[Qty?],MATCH($C261,tblMoveTypes[Movement],0)),"?")="Yes",N($F261)+N($G261)&lt;=0),"Qty needed",IF(AND(IFERROR(INDEX(tblMoveTypes[Qty?],MATCH($C261,tblMoveTypes[Movement],0)),"?")="No",N($F261)+N($G261)&gt;0),"Leave In and Out blank",IF(AND(IFERROR(INDEX(tblMoveTypes[Courier?],MATCH($C261,tblMoveTypes[Movement],0)),"?")="Yes",$I261=""),"Courier needed",IF(AND(IFERROR(INDEX(tblMoveTypes[Courier?],MATCH($C261,tblMoveTypes[Movement],0)),"?")="No",$I261&lt;&gt;""),"Leave Courier blank",IF(AND(IFERROR(INDEX(tblMoveTypes[Orders?],MATCH($C261,tblMoveTypes[Movement],0)),"?")="Yes",$H261=""),"Orders needed",IF(AND(IFERROR(INDEX(tblMoveTypes[Orders?],MATCH($C261,tblMoveTypes[Movement],0)),"?")="No",$H261&lt;&gt;""),"Leave Orders blank",IF(AND(IFERROR(INDEX(tblMoveTypes[Reason?],MATCH($C261,tblMoveTypes[Movement],0)),"?")="Yes",$J261=""),"Reason needed",IF($A261&lt;_xlfn.MINIFS(tblShipment[Arrival Date],tblShipment[Shipment No],$B261),"Date before arrival",IF(AND($E261&lt;&gt;"",COUNTIFS(tblShipment[Shipment No],$B261,tblShipment[Item Name],$E261)=0),"Item not in this shipment","OK")))))))))))))))))</f>
        <v>OK</v>
      </c>
    </row>
    <row r="262" customFormat="false" ht="15" hidden="false" customHeight="false" outlineLevel="0" collapsed="false">
      <c r="A262" s="32" t="n">
        <v>46245</v>
      </c>
      <c r="B262" s="31" t="s">
        <v>165</v>
      </c>
      <c r="C262" s="31" t="s">
        <v>78</v>
      </c>
      <c r="D262" s="34" t="str">
        <f aca="false">IF($C262="","",IFERROR(IF(IFERROR(INDEX(tblMoveTypes[In / Out],MATCH($C262,tblMoveTypes[Movement],0)),"?")="IN","IN   ",IF(IFERROR(INDEX(tblMoveTypes[In / Out],MATCH($C262,tblMoveTypes[Movement],0)),"?")="OUT","OUT   ","--   "))&amp;"fill: "&amp;IF(IFERROR(INDEX(tblMoveTypes[Item?],MATCH($C262,tblMoveTypes[Movement],0)),"?")="Yes","Item  ","")&amp;IF(AND(IFERROR(INDEX(tblMoveTypes[Qty?],MATCH($C262,tblMoveTypes[Movement],0)),"?")="Yes",IFERROR(INDEX(tblMoveTypes[In / Out],MATCH($C262,tblMoveTypes[Movement],0)),"?")="IN"),"In  ","")&amp;IF(AND(IFERROR(INDEX(tblMoveTypes[Qty?],MATCH($C262,tblMoveTypes[Movement],0)),"?")="Yes",IFERROR(INDEX(tblMoveTypes[In / Out],MATCH($C262,tblMoveTypes[Movement],0)),"?")="OUT"),"Out  ","")&amp;IF(IFERROR(INDEX(tblMoveTypes[Orders?],MATCH($C262,tblMoveTypes[Movement],0)),"?")="Yes","Orders  ","")&amp;IF(IFERROR(INDEX(tblMoveTypes[Courier?],MATCH($C262,tblMoveTypes[Movement],0)),"?")="Yes","Courier  ","")&amp;IF(IFERROR(INDEX(tblMoveTypes[Reason?],MATCH($C262,tblMoveTypes[Movement],0)),"?")="Yes","Reason",""),"unknown movement"))</f>
        <v>OUT   fill: Item  Out  Reason</v>
      </c>
      <c r="E262" s="31" t="s">
        <v>106</v>
      </c>
      <c r="F262" s="33"/>
      <c r="G262" s="33" t="n">
        <v>1</v>
      </c>
      <c r="H262" s="33"/>
      <c r="I262" s="31"/>
      <c r="J262" s="31" t="s">
        <v>77</v>
      </c>
      <c r="K262" s="31"/>
      <c r="L262" s="31"/>
      <c r="M262" s="34" t="str">
        <f aca="false">IF($E262="","",IFERROR(INDEX(tblItems[Item Code],MATCH($E262,tblItems[Item Name],0)),"?"))</f>
        <v>EG-FG-DAT-01-02-01-01</v>
      </c>
      <c r="N262" s="34" t="str">
        <f aca="false">IF($B262="","",IFERROR(INDEX(tblShipment[Market],MATCH($B262,tblShipment[Shipment No],0)),"?"))</f>
        <v>Qatar</v>
      </c>
      <c r="O262" s="35" t="n">
        <f aca="false">N($F262)+N($G262)</f>
        <v>1</v>
      </c>
      <c r="P262" s="34" t="str">
        <f aca="false">IF($A262="","",IF($L262="Yes","VOID",IF(COUNTIFS(tblMoveTypes[Movement],$C262)=0,"Unknown movement",IF(COUNTIF(tblShipment[Shipment No],$B262)=0,"Unknown shipment",IF(AND(IFERROR(INDEX(tblMoveTypes[Item?],MATCH($C262,tblMoveTypes[Movement],0)),"?")="Yes",$E262=""),"Item needed",IF(AND(IFERROR(INDEX(tblMoveTypes[Item?],MATCH($C262,tblMoveTypes[Movement],0)),"?")="No",$E262&lt;&gt;""),"Leave Item blank",IF(AND(IFERROR(INDEX(tblMoveTypes[In / Out],MATCH($C262,tblMoveTypes[Movement],0)),"?")="IN",$G262&lt;&gt;""),"Use the In column, not Out",IF(AND(IFERROR(INDEX(tblMoveTypes[In / Out],MATCH($C262,tblMoveTypes[Movement],0)),"?")="OUT",$F262&lt;&gt;""),"Use the Out column, not In",IF(AND(IFERROR(INDEX(tblMoveTypes[Qty?],MATCH($C262,tblMoveTypes[Movement],0)),"?")="Yes",N($F262)+N($G262)&lt;=0),"Qty needed",IF(AND(IFERROR(INDEX(tblMoveTypes[Qty?],MATCH($C262,tblMoveTypes[Movement],0)),"?")="No",N($F262)+N($G262)&gt;0),"Leave In and Out blank",IF(AND(IFERROR(INDEX(tblMoveTypes[Courier?],MATCH($C262,tblMoveTypes[Movement],0)),"?")="Yes",$I262=""),"Courier needed",IF(AND(IFERROR(INDEX(tblMoveTypes[Courier?],MATCH($C262,tblMoveTypes[Movement],0)),"?")="No",$I262&lt;&gt;""),"Leave Courier blank",IF(AND(IFERROR(INDEX(tblMoveTypes[Orders?],MATCH($C262,tblMoveTypes[Movement],0)),"?")="Yes",$H262=""),"Orders needed",IF(AND(IFERROR(INDEX(tblMoveTypes[Orders?],MATCH($C262,tblMoveTypes[Movement],0)),"?")="No",$H262&lt;&gt;""),"Leave Orders blank",IF(AND(IFERROR(INDEX(tblMoveTypes[Reason?],MATCH($C262,tblMoveTypes[Movement],0)),"?")="Yes",$J262=""),"Reason needed",IF($A262&lt;_xlfn.MINIFS(tblShipment[Arrival Date],tblShipment[Shipment No],$B262),"Date before arrival",IF(AND($E262&lt;&gt;"",COUNTIFS(tblShipment[Shipment No],$B262,tblShipment[Item Name],$E262)=0),"Item not in this shipment","OK")))))))))))))))))</f>
        <v>OK</v>
      </c>
    </row>
    <row r="263" customFormat="false" ht="15" hidden="false" customHeight="false" outlineLevel="0" collapsed="false">
      <c r="A263" s="32" t="n">
        <v>46245</v>
      </c>
      <c r="B263" s="31" t="s">
        <v>165</v>
      </c>
      <c r="C263" s="31" t="s">
        <v>79</v>
      </c>
      <c r="D263" s="34" t="str">
        <f aca="false">IF($C263="","",IFERROR(IF(IFERROR(INDEX(tblMoveTypes[In / Out],MATCH($C263,tblMoveTypes[Movement],0)),"?")="IN","IN   ",IF(IFERROR(INDEX(tblMoveTypes[In / Out],MATCH($C263,tblMoveTypes[Movement],0)),"?")="OUT","OUT   ","--   "))&amp;"fill: "&amp;IF(IFERROR(INDEX(tblMoveTypes[Item?],MATCH($C263,tblMoveTypes[Movement],0)),"?")="Yes","Item  ","")&amp;IF(AND(IFERROR(INDEX(tblMoveTypes[Qty?],MATCH($C263,tblMoveTypes[Movement],0)),"?")="Yes",IFERROR(INDEX(tblMoveTypes[In / Out],MATCH($C263,tblMoveTypes[Movement],0)),"?")="IN"),"In  ","")&amp;IF(AND(IFERROR(INDEX(tblMoveTypes[Qty?],MATCH($C263,tblMoveTypes[Movement],0)),"?")="Yes",IFERROR(INDEX(tblMoveTypes[In / Out],MATCH($C263,tblMoveTypes[Movement],0)),"?")="OUT"),"Out  ","")&amp;IF(IFERROR(INDEX(tblMoveTypes[Orders?],MATCH($C263,tblMoveTypes[Movement],0)),"?")="Yes","Orders  ","")&amp;IF(IFERROR(INDEX(tblMoveTypes[Courier?],MATCH($C263,tblMoveTypes[Movement],0)),"?")="Yes","Courier  ","")&amp;IF(IFERROR(INDEX(tblMoveTypes[Reason?],MATCH($C263,tblMoveTypes[Movement],0)),"?")="Yes","Reason",""),"unknown movement"))</f>
        <v>IN   fill: Item  In  </v>
      </c>
      <c r="E263" s="31" t="s">
        <v>127</v>
      </c>
      <c r="F263" s="33" t="n">
        <v>20</v>
      </c>
      <c r="G263" s="33"/>
      <c r="H263" s="33"/>
      <c r="I263" s="31"/>
      <c r="J263" s="31"/>
      <c r="K263" s="31"/>
      <c r="L263" s="31"/>
      <c r="M263" s="34" t="str">
        <f aca="false">IF($E263="","",IFERROR(INDEX(tblItems[Item Code],MATCH($E263,tblItems[Item Name],0)),"?"))</f>
        <v>EG-FG-GRP-03-02-01-01</v>
      </c>
      <c r="N263" s="34" t="str">
        <f aca="false">IF($B263="","",IFERROR(INDEX(tblShipment[Market],MATCH($B263,tblShipment[Shipment No],0)),"?"))</f>
        <v>Qatar</v>
      </c>
      <c r="O263" s="35" t="n">
        <f aca="false">N($F263)+N($G263)</f>
        <v>20</v>
      </c>
      <c r="P263" s="34" t="str">
        <f aca="false">IF($A263="","",IF($L263="Yes","VOID",IF(COUNTIFS(tblMoveTypes[Movement],$C263)=0,"Unknown movement",IF(COUNTIF(tblShipment[Shipment No],$B263)=0,"Unknown shipment",IF(AND(IFERROR(INDEX(tblMoveTypes[Item?],MATCH($C263,tblMoveTypes[Movement],0)),"?")="Yes",$E263=""),"Item needed",IF(AND(IFERROR(INDEX(tblMoveTypes[Item?],MATCH($C263,tblMoveTypes[Movement],0)),"?")="No",$E263&lt;&gt;""),"Leave Item blank",IF(AND(IFERROR(INDEX(tblMoveTypes[In / Out],MATCH($C263,tblMoveTypes[Movement],0)),"?")="IN",$G263&lt;&gt;""),"Use the In column, not Out",IF(AND(IFERROR(INDEX(tblMoveTypes[In / Out],MATCH($C263,tblMoveTypes[Movement],0)),"?")="OUT",$F263&lt;&gt;""),"Use the Out column, not In",IF(AND(IFERROR(INDEX(tblMoveTypes[Qty?],MATCH($C263,tblMoveTypes[Movement],0)),"?")="Yes",N($F263)+N($G263)&lt;=0),"Qty needed",IF(AND(IFERROR(INDEX(tblMoveTypes[Qty?],MATCH($C263,tblMoveTypes[Movement],0)),"?")="No",N($F263)+N($G263)&gt;0),"Leave In and Out blank",IF(AND(IFERROR(INDEX(tblMoveTypes[Courier?],MATCH($C263,tblMoveTypes[Movement],0)),"?")="Yes",$I263=""),"Courier needed",IF(AND(IFERROR(INDEX(tblMoveTypes[Courier?],MATCH($C263,tblMoveTypes[Movement],0)),"?")="No",$I263&lt;&gt;""),"Leave Courier blank",IF(AND(IFERROR(INDEX(tblMoveTypes[Orders?],MATCH($C263,tblMoveTypes[Movement],0)),"?")="Yes",$H263=""),"Orders needed",IF(AND(IFERROR(INDEX(tblMoveTypes[Orders?],MATCH($C263,tblMoveTypes[Movement],0)),"?")="No",$H263&lt;&gt;""),"Leave Orders blank",IF(AND(IFERROR(INDEX(tblMoveTypes[Reason?],MATCH($C263,tblMoveTypes[Movement],0)),"?")="Yes",$J263=""),"Reason needed",IF($A263&lt;_xlfn.MINIFS(tblShipment[Arrival Date],tblShipment[Shipment No],$B263),"Date before arrival",IF(AND($E263&lt;&gt;"",COUNTIFS(tblShipment[Shipment No],$B263,tblShipment[Item Name],$E263)=0),"Item not in this shipment","OK")))))))))))))))))</f>
        <v>OK</v>
      </c>
    </row>
    <row r="264" customFormat="false" ht="15" hidden="false" customHeight="false" outlineLevel="0" collapsed="false">
      <c r="A264" s="32" t="n">
        <v>46245</v>
      </c>
      <c r="B264" s="31" t="s">
        <v>165</v>
      </c>
      <c r="C264" s="31" t="s">
        <v>79</v>
      </c>
      <c r="D264" s="34" t="str">
        <f aca="false">IF($C264="","",IFERROR(IF(IFERROR(INDEX(tblMoveTypes[In / Out],MATCH($C264,tblMoveTypes[Movement],0)),"?")="IN","IN   ",IF(IFERROR(INDEX(tblMoveTypes[In / Out],MATCH($C264,tblMoveTypes[Movement],0)),"?")="OUT","OUT   ","--   "))&amp;"fill: "&amp;IF(IFERROR(INDEX(tblMoveTypes[Item?],MATCH($C264,tblMoveTypes[Movement],0)),"?")="Yes","Item  ","")&amp;IF(AND(IFERROR(INDEX(tblMoveTypes[Qty?],MATCH($C264,tblMoveTypes[Movement],0)),"?")="Yes",IFERROR(INDEX(tblMoveTypes[In / Out],MATCH($C264,tblMoveTypes[Movement],0)),"?")="IN"),"In  ","")&amp;IF(AND(IFERROR(INDEX(tblMoveTypes[Qty?],MATCH($C264,tblMoveTypes[Movement],0)),"?")="Yes",IFERROR(INDEX(tblMoveTypes[In / Out],MATCH($C264,tblMoveTypes[Movement],0)),"?")="OUT"),"Out  ","")&amp;IF(IFERROR(INDEX(tblMoveTypes[Orders?],MATCH($C264,tblMoveTypes[Movement],0)),"?")="Yes","Orders  ","")&amp;IF(IFERROR(INDEX(tblMoveTypes[Courier?],MATCH($C264,tblMoveTypes[Movement],0)),"?")="Yes","Courier  ","")&amp;IF(IFERROR(INDEX(tblMoveTypes[Reason?],MATCH($C264,tblMoveTypes[Movement],0)),"?")="Yes","Reason",""),"unknown movement"))</f>
        <v>IN   fill: Item  In  </v>
      </c>
      <c r="E264" s="31" t="s">
        <v>112</v>
      </c>
      <c r="F264" s="33" t="n">
        <v>35</v>
      </c>
      <c r="G264" s="33"/>
      <c r="H264" s="33"/>
      <c r="I264" s="31"/>
      <c r="J264" s="31"/>
      <c r="K264" s="31"/>
      <c r="L264" s="31"/>
      <c r="M264" s="34" t="str">
        <f aca="false">IF($E264="","",IFERROR(INDEX(tblItems[Item Code],MATCH($E264,tblItems[Item Name],0)),"?"))</f>
        <v>BOX-TRIO-01</v>
      </c>
      <c r="N264" s="34" t="str">
        <f aca="false">IF($B264="","",IFERROR(INDEX(tblShipment[Market],MATCH($B264,tblShipment[Shipment No],0)),"?"))</f>
        <v>Qatar</v>
      </c>
      <c r="O264" s="35" t="n">
        <f aca="false">N($F264)+N($G264)</f>
        <v>35</v>
      </c>
      <c r="P264" s="34" t="str">
        <f aca="false">IF($A264="","",IF($L264="Yes","VOID",IF(COUNTIFS(tblMoveTypes[Movement],$C264)=0,"Unknown movement",IF(COUNTIF(tblShipment[Shipment No],$B264)=0,"Unknown shipment",IF(AND(IFERROR(INDEX(tblMoveTypes[Item?],MATCH($C264,tblMoveTypes[Movement],0)),"?")="Yes",$E264=""),"Item needed",IF(AND(IFERROR(INDEX(tblMoveTypes[Item?],MATCH($C264,tblMoveTypes[Movement],0)),"?")="No",$E264&lt;&gt;""),"Leave Item blank",IF(AND(IFERROR(INDEX(tblMoveTypes[In / Out],MATCH($C264,tblMoveTypes[Movement],0)),"?")="IN",$G264&lt;&gt;""),"Use the In column, not Out",IF(AND(IFERROR(INDEX(tblMoveTypes[In / Out],MATCH($C264,tblMoveTypes[Movement],0)),"?")="OUT",$F264&lt;&gt;""),"Use the Out column, not In",IF(AND(IFERROR(INDEX(tblMoveTypes[Qty?],MATCH($C264,tblMoveTypes[Movement],0)),"?")="Yes",N($F264)+N($G264)&lt;=0),"Qty needed",IF(AND(IFERROR(INDEX(tblMoveTypes[Qty?],MATCH($C264,tblMoveTypes[Movement],0)),"?")="No",N($F264)+N($G264)&gt;0),"Leave In and Out blank",IF(AND(IFERROR(INDEX(tblMoveTypes[Courier?],MATCH($C264,tblMoveTypes[Movement],0)),"?")="Yes",$I264=""),"Courier needed",IF(AND(IFERROR(INDEX(tblMoveTypes[Courier?],MATCH($C264,tblMoveTypes[Movement],0)),"?")="No",$I264&lt;&gt;""),"Leave Courier blank",IF(AND(IFERROR(INDEX(tblMoveTypes[Orders?],MATCH($C264,tblMoveTypes[Movement],0)),"?")="Yes",$H264=""),"Orders needed",IF(AND(IFERROR(INDEX(tblMoveTypes[Orders?],MATCH($C264,tblMoveTypes[Movement],0)),"?")="No",$H264&lt;&gt;""),"Leave Orders blank",IF(AND(IFERROR(INDEX(tblMoveTypes[Reason?],MATCH($C264,tblMoveTypes[Movement],0)),"?")="Yes",$J264=""),"Reason needed",IF($A264&lt;_xlfn.MINIFS(tblShipment[Arrival Date],tblShipment[Shipment No],$B264),"Date before arrival",IF(AND($E264&lt;&gt;"",COUNTIFS(tblShipment[Shipment No],$B264,tblShipment[Item Name],$E264)=0),"Item not in this shipment","OK")))))))))))))))))</f>
        <v>OK</v>
      </c>
    </row>
    <row r="265" customFormat="false" ht="15" hidden="false" customHeight="false" outlineLevel="0" collapsed="false">
      <c r="A265" s="32" t="n">
        <v>46245</v>
      </c>
      <c r="B265" s="31" t="s">
        <v>165</v>
      </c>
      <c r="C265" s="31" t="s">
        <v>78</v>
      </c>
      <c r="D265" s="34" t="str">
        <f aca="false">IF($C265="","",IFERROR(IF(IFERROR(INDEX(tblMoveTypes[In / Out],MATCH($C265,tblMoveTypes[Movement],0)),"?")="IN","IN   ",IF(IFERROR(INDEX(tblMoveTypes[In / Out],MATCH($C265,tblMoveTypes[Movement],0)),"?")="OUT","OUT   ","--   "))&amp;"fill: "&amp;IF(IFERROR(INDEX(tblMoveTypes[Item?],MATCH($C265,tblMoveTypes[Movement],0)),"?")="Yes","Item  ","")&amp;IF(AND(IFERROR(INDEX(tblMoveTypes[Qty?],MATCH($C265,tblMoveTypes[Movement],0)),"?")="Yes",IFERROR(INDEX(tblMoveTypes[In / Out],MATCH($C265,tblMoveTypes[Movement],0)),"?")="IN"),"In  ","")&amp;IF(AND(IFERROR(INDEX(tblMoveTypes[Qty?],MATCH($C265,tblMoveTypes[Movement],0)),"?")="Yes",IFERROR(INDEX(tblMoveTypes[In / Out],MATCH($C265,tblMoveTypes[Movement],0)),"?")="OUT"),"Out  ","")&amp;IF(IFERROR(INDEX(tblMoveTypes[Orders?],MATCH($C265,tblMoveTypes[Movement],0)),"?")="Yes","Orders  ","")&amp;IF(IFERROR(INDEX(tblMoveTypes[Courier?],MATCH($C265,tblMoveTypes[Movement],0)),"?")="Yes","Courier  ","")&amp;IF(IFERROR(INDEX(tblMoveTypes[Reason?],MATCH($C265,tblMoveTypes[Movement],0)),"?")="Yes","Reason",""),"unknown movement"))</f>
        <v>OUT   fill: Item  Out  Reason</v>
      </c>
      <c r="E265" s="31" t="s">
        <v>112</v>
      </c>
      <c r="F265" s="33"/>
      <c r="G265" s="33" t="n">
        <v>1</v>
      </c>
      <c r="H265" s="33"/>
      <c r="I265" s="31"/>
      <c r="J265" s="31" t="s">
        <v>86</v>
      </c>
      <c r="K265" s="31"/>
      <c r="L265" s="31"/>
      <c r="M265" s="34" t="str">
        <f aca="false">IF($E265="","",IFERROR(INDEX(tblItems[Item Code],MATCH($E265,tblItems[Item Name],0)),"?"))</f>
        <v>BOX-TRIO-01</v>
      </c>
      <c r="N265" s="34" t="str">
        <f aca="false">IF($B265="","",IFERROR(INDEX(tblShipment[Market],MATCH($B265,tblShipment[Shipment No],0)),"?"))</f>
        <v>Qatar</v>
      </c>
      <c r="O265" s="35" t="n">
        <f aca="false">N($F265)+N($G265)</f>
        <v>1</v>
      </c>
      <c r="P265" s="34" t="str">
        <f aca="false">IF($A265="","",IF($L265="Yes","VOID",IF(COUNTIFS(tblMoveTypes[Movement],$C265)=0,"Unknown movement",IF(COUNTIF(tblShipment[Shipment No],$B265)=0,"Unknown shipment",IF(AND(IFERROR(INDEX(tblMoveTypes[Item?],MATCH($C265,tblMoveTypes[Movement],0)),"?")="Yes",$E265=""),"Item needed",IF(AND(IFERROR(INDEX(tblMoveTypes[Item?],MATCH($C265,tblMoveTypes[Movement],0)),"?")="No",$E265&lt;&gt;""),"Leave Item blank",IF(AND(IFERROR(INDEX(tblMoveTypes[In / Out],MATCH($C265,tblMoveTypes[Movement],0)),"?")="IN",$G265&lt;&gt;""),"Use the In column, not Out",IF(AND(IFERROR(INDEX(tblMoveTypes[In / Out],MATCH($C265,tblMoveTypes[Movement],0)),"?")="OUT",$F265&lt;&gt;""),"Use the Out column, not In",IF(AND(IFERROR(INDEX(tblMoveTypes[Qty?],MATCH($C265,tblMoveTypes[Movement],0)),"?")="Yes",N($F265)+N($G265)&lt;=0),"Qty needed",IF(AND(IFERROR(INDEX(tblMoveTypes[Qty?],MATCH($C265,tblMoveTypes[Movement],0)),"?")="No",N($F265)+N($G265)&gt;0),"Leave In and Out blank",IF(AND(IFERROR(INDEX(tblMoveTypes[Courier?],MATCH($C265,tblMoveTypes[Movement],0)),"?")="Yes",$I265=""),"Courier needed",IF(AND(IFERROR(INDEX(tblMoveTypes[Courier?],MATCH($C265,tblMoveTypes[Movement],0)),"?")="No",$I265&lt;&gt;""),"Leave Courier blank",IF(AND(IFERROR(INDEX(tblMoveTypes[Orders?],MATCH($C265,tblMoveTypes[Movement],0)),"?")="Yes",$H265=""),"Orders needed",IF(AND(IFERROR(INDEX(tblMoveTypes[Orders?],MATCH($C265,tblMoveTypes[Movement],0)),"?")="No",$H265&lt;&gt;""),"Leave Orders blank",IF(AND(IFERROR(INDEX(tblMoveTypes[Reason?],MATCH($C265,tblMoveTypes[Movement],0)),"?")="Yes",$J265=""),"Reason needed",IF($A265&lt;_xlfn.MINIFS(tblShipment[Arrival Date],tblShipment[Shipment No],$B265),"Date before arrival",IF(AND($E265&lt;&gt;"",COUNTIFS(tblShipment[Shipment No],$B265,tblShipment[Item Name],$E265)=0),"Item not in this shipment","OK")))))))))))))))))</f>
        <v>OK</v>
      </c>
    </row>
    <row r="266" customFormat="false" ht="15" hidden="false" customHeight="false" outlineLevel="0" collapsed="false">
      <c r="A266" s="32" t="n">
        <v>46245</v>
      </c>
      <c r="B266" s="31" t="s">
        <v>165</v>
      </c>
      <c r="C266" s="31" t="s">
        <v>79</v>
      </c>
      <c r="D266" s="34" t="str">
        <f aca="false">IF($C266="","",IFERROR(IF(IFERROR(INDEX(tblMoveTypes[In / Out],MATCH($C266,tblMoveTypes[Movement],0)),"?")="IN","IN   ",IF(IFERROR(INDEX(tblMoveTypes[In / Out],MATCH($C266,tblMoveTypes[Movement],0)),"?")="OUT","OUT   ","--   "))&amp;"fill: "&amp;IF(IFERROR(INDEX(tblMoveTypes[Item?],MATCH($C266,tblMoveTypes[Movement],0)),"?")="Yes","Item  ","")&amp;IF(AND(IFERROR(INDEX(tblMoveTypes[Qty?],MATCH($C266,tblMoveTypes[Movement],0)),"?")="Yes",IFERROR(INDEX(tblMoveTypes[In / Out],MATCH($C266,tblMoveTypes[Movement],0)),"?")="IN"),"In  ","")&amp;IF(AND(IFERROR(INDEX(tblMoveTypes[Qty?],MATCH($C266,tblMoveTypes[Movement],0)),"?")="Yes",IFERROR(INDEX(tblMoveTypes[In / Out],MATCH($C266,tblMoveTypes[Movement],0)),"?")="OUT"),"Out  ","")&amp;IF(IFERROR(INDEX(tblMoveTypes[Orders?],MATCH($C266,tblMoveTypes[Movement],0)),"?")="Yes","Orders  ","")&amp;IF(IFERROR(INDEX(tblMoveTypes[Courier?],MATCH($C266,tblMoveTypes[Movement],0)),"?")="Yes","Courier  ","")&amp;IF(IFERROR(INDEX(tblMoveTypes[Reason?],MATCH($C266,tblMoveTypes[Movement],0)),"?")="Yes","Reason",""),"unknown movement"))</f>
        <v>IN   fill: Item  In  </v>
      </c>
      <c r="E266" s="31" t="s">
        <v>117</v>
      </c>
      <c r="F266" s="33" t="n">
        <v>25</v>
      </c>
      <c r="G266" s="33"/>
      <c r="H266" s="33"/>
      <c r="I266" s="31"/>
      <c r="J266" s="31"/>
      <c r="K266" s="31"/>
      <c r="L266" s="31"/>
      <c r="M266" s="34" t="str">
        <f aca="false">IF($E266="","",IFERROR(INDEX(tblItems[Item Code],MATCH($E266,tblItems[Item Name],0)),"?"))</f>
        <v>EG-FG-MNG-06-02-01-01</v>
      </c>
      <c r="N266" s="34" t="str">
        <f aca="false">IF($B266="","",IFERROR(INDEX(tblShipment[Market],MATCH($B266,tblShipment[Shipment No],0)),"?"))</f>
        <v>Qatar</v>
      </c>
      <c r="O266" s="35" t="n">
        <f aca="false">N($F266)+N($G266)</f>
        <v>25</v>
      </c>
      <c r="P266" s="34" t="str">
        <f aca="false">IF($A266="","",IF($L266="Yes","VOID",IF(COUNTIFS(tblMoveTypes[Movement],$C266)=0,"Unknown movement",IF(COUNTIF(tblShipment[Shipment No],$B266)=0,"Unknown shipment",IF(AND(IFERROR(INDEX(tblMoveTypes[Item?],MATCH($C266,tblMoveTypes[Movement],0)),"?")="Yes",$E266=""),"Item needed",IF(AND(IFERROR(INDEX(tblMoveTypes[Item?],MATCH($C266,tblMoveTypes[Movement],0)),"?")="No",$E266&lt;&gt;""),"Leave Item blank",IF(AND(IFERROR(INDEX(tblMoveTypes[In / Out],MATCH($C266,tblMoveTypes[Movement],0)),"?")="IN",$G266&lt;&gt;""),"Use the In column, not Out",IF(AND(IFERROR(INDEX(tblMoveTypes[In / Out],MATCH($C266,tblMoveTypes[Movement],0)),"?")="OUT",$F266&lt;&gt;""),"Use the Out column, not In",IF(AND(IFERROR(INDEX(tblMoveTypes[Qty?],MATCH($C266,tblMoveTypes[Movement],0)),"?")="Yes",N($F266)+N($G266)&lt;=0),"Qty needed",IF(AND(IFERROR(INDEX(tblMoveTypes[Qty?],MATCH($C266,tblMoveTypes[Movement],0)),"?")="No",N($F266)+N($G266)&gt;0),"Leave In and Out blank",IF(AND(IFERROR(INDEX(tblMoveTypes[Courier?],MATCH($C266,tblMoveTypes[Movement],0)),"?")="Yes",$I266=""),"Courier needed",IF(AND(IFERROR(INDEX(tblMoveTypes[Courier?],MATCH($C266,tblMoveTypes[Movement],0)),"?")="No",$I266&lt;&gt;""),"Leave Courier blank",IF(AND(IFERROR(INDEX(tblMoveTypes[Orders?],MATCH($C266,tblMoveTypes[Movement],0)),"?")="Yes",$H266=""),"Orders needed",IF(AND(IFERROR(INDEX(tblMoveTypes[Orders?],MATCH($C266,tblMoveTypes[Movement],0)),"?")="No",$H266&lt;&gt;""),"Leave Orders blank",IF(AND(IFERROR(INDEX(tblMoveTypes[Reason?],MATCH($C266,tblMoveTypes[Movement],0)),"?")="Yes",$J266=""),"Reason needed",IF($A266&lt;_xlfn.MINIFS(tblShipment[Arrival Date],tblShipment[Shipment No],$B266),"Date before arrival",IF(AND($E266&lt;&gt;"",COUNTIFS(tblShipment[Shipment No],$B266,tblShipment[Item Name],$E266)=0),"Item not in this shipment","OK")))))))))))))))))</f>
        <v>OK</v>
      </c>
    </row>
    <row r="267" customFormat="false" ht="15" hidden="false" customHeight="false" outlineLevel="0" collapsed="false">
      <c r="A267" s="32" t="n">
        <v>46245</v>
      </c>
      <c r="B267" s="31" t="s">
        <v>165</v>
      </c>
      <c r="C267" s="31" t="s">
        <v>79</v>
      </c>
      <c r="D267" s="34" t="str">
        <f aca="false">IF($C267="","",IFERROR(IF(IFERROR(INDEX(tblMoveTypes[In / Out],MATCH($C267,tblMoveTypes[Movement],0)),"?")="IN","IN   ",IF(IFERROR(INDEX(tblMoveTypes[In / Out],MATCH($C267,tblMoveTypes[Movement],0)),"?")="OUT","OUT   ","--   "))&amp;"fill: "&amp;IF(IFERROR(INDEX(tblMoveTypes[Item?],MATCH($C267,tblMoveTypes[Movement],0)),"?")="Yes","Item  ","")&amp;IF(AND(IFERROR(INDEX(tblMoveTypes[Qty?],MATCH($C267,tblMoveTypes[Movement],0)),"?")="Yes",IFERROR(INDEX(tblMoveTypes[In / Out],MATCH($C267,tblMoveTypes[Movement],0)),"?")="IN"),"In  ","")&amp;IF(AND(IFERROR(INDEX(tblMoveTypes[Qty?],MATCH($C267,tblMoveTypes[Movement],0)),"?")="Yes",IFERROR(INDEX(tblMoveTypes[In / Out],MATCH($C267,tblMoveTypes[Movement],0)),"?")="OUT"),"Out  ","")&amp;IF(IFERROR(INDEX(tblMoveTypes[Orders?],MATCH($C267,tblMoveTypes[Movement],0)),"?")="Yes","Orders  ","")&amp;IF(IFERROR(INDEX(tblMoveTypes[Courier?],MATCH($C267,tblMoveTypes[Movement],0)),"?")="Yes","Courier  ","")&amp;IF(IFERROR(INDEX(tblMoveTypes[Reason?],MATCH($C267,tblMoveTypes[Movement],0)),"?")="Yes","Reason",""),"unknown movement"))</f>
        <v>IN   fill: Item  In  </v>
      </c>
      <c r="E267" s="31" t="s">
        <v>137</v>
      </c>
      <c r="F267" s="33" t="n">
        <v>20</v>
      </c>
      <c r="G267" s="33"/>
      <c r="H267" s="33"/>
      <c r="I267" s="31"/>
      <c r="J267" s="31"/>
      <c r="K267" s="31"/>
      <c r="L267" s="31"/>
      <c r="M267" s="34" t="str">
        <f aca="false">IF($E267="","",IFERROR(INDEX(tblItems[Item Code],MATCH($E267,tblItems[Item Name],0)),"?"))</f>
        <v>EG-FG-PER-01-02-01-01</v>
      </c>
      <c r="N267" s="34" t="str">
        <f aca="false">IF($B267="","",IFERROR(INDEX(tblShipment[Market],MATCH($B267,tblShipment[Shipment No],0)),"?"))</f>
        <v>Qatar</v>
      </c>
      <c r="O267" s="35" t="n">
        <f aca="false">N($F267)+N($G267)</f>
        <v>20</v>
      </c>
      <c r="P267" s="34" t="str">
        <f aca="false">IF($A267="","",IF($L267="Yes","VOID",IF(COUNTIFS(tblMoveTypes[Movement],$C267)=0,"Unknown movement",IF(COUNTIF(tblShipment[Shipment No],$B267)=0,"Unknown shipment",IF(AND(IFERROR(INDEX(tblMoveTypes[Item?],MATCH($C267,tblMoveTypes[Movement],0)),"?")="Yes",$E267=""),"Item needed",IF(AND(IFERROR(INDEX(tblMoveTypes[Item?],MATCH($C267,tblMoveTypes[Movement],0)),"?")="No",$E267&lt;&gt;""),"Leave Item blank",IF(AND(IFERROR(INDEX(tblMoveTypes[In / Out],MATCH($C267,tblMoveTypes[Movement],0)),"?")="IN",$G267&lt;&gt;""),"Use the In column, not Out",IF(AND(IFERROR(INDEX(tblMoveTypes[In / Out],MATCH($C267,tblMoveTypes[Movement],0)),"?")="OUT",$F267&lt;&gt;""),"Use the Out column, not In",IF(AND(IFERROR(INDEX(tblMoveTypes[Qty?],MATCH($C267,tblMoveTypes[Movement],0)),"?")="Yes",N($F267)+N($G267)&lt;=0),"Qty needed",IF(AND(IFERROR(INDEX(tblMoveTypes[Qty?],MATCH($C267,tblMoveTypes[Movement],0)),"?")="No",N($F267)+N($G267)&gt;0),"Leave In and Out blank",IF(AND(IFERROR(INDEX(tblMoveTypes[Courier?],MATCH($C267,tblMoveTypes[Movement],0)),"?")="Yes",$I267=""),"Courier needed",IF(AND(IFERROR(INDEX(tblMoveTypes[Courier?],MATCH($C267,tblMoveTypes[Movement],0)),"?")="No",$I267&lt;&gt;""),"Leave Courier blank",IF(AND(IFERROR(INDEX(tblMoveTypes[Orders?],MATCH($C267,tblMoveTypes[Movement],0)),"?")="Yes",$H267=""),"Orders needed",IF(AND(IFERROR(INDEX(tblMoveTypes[Orders?],MATCH($C267,tblMoveTypes[Movement],0)),"?")="No",$H267&lt;&gt;""),"Leave Orders blank",IF(AND(IFERROR(INDEX(tblMoveTypes[Reason?],MATCH($C267,tblMoveTypes[Movement],0)),"?")="Yes",$J267=""),"Reason needed",IF($A267&lt;_xlfn.MINIFS(tblShipment[Arrival Date],tblShipment[Shipment No],$B267),"Date before arrival",IF(AND($E267&lt;&gt;"",COUNTIFS(tblShipment[Shipment No],$B267,tblShipment[Item Name],$E267)=0),"Item not in this shipment","OK")))))))))))))))))</f>
        <v>OK</v>
      </c>
    </row>
    <row r="268" customFormat="false" ht="15" hidden="false" customHeight="false" outlineLevel="0" collapsed="false">
      <c r="A268" s="32" t="n">
        <v>46245</v>
      </c>
      <c r="B268" s="31" t="s">
        <v>165</v>
      </c>
      <c r="C268" s="31" t="s">
        <v>79</v>
      </c>
      <c r="D268" s="34" t="str">
        <f aca="false">IF($C268="","",IFERROR(IF(IFERROR(INDEX(tblMoveTypes[In / Out],MATCH($C268,tblMoveTypes[Movement],0)),"?")="IN","IN   ",IF(IFERROR(INDEX(tblMoveTypes[In / Out],MATCH($C268,tblMoveTypes[Movement],0)),"?")="OUT","OUT   ","--   "))&amp;"fill: "&amp;IF(IFERROR(INDEX(tblMoveTypes[Item?],MATCH($C268,tblMoveTypes[Movement],0)),"?")="Yes","Item  ","")&amp;IF(AND(IFERROR(INDEX(tblMoveTypes[Qty?],MATCH($C268,tblMoveTypes[Movement],0)),"?")="Yes",IFERROR(INDEX(tblMoveTypes[In / Out],MATCH($C268,tblMoveTypes[Movement],0)),"?")="IN"),"In  ","")&amp;IF(AND(IFERROR(INDEX(tblMoveTypes[Qty?],MATCH($C268,tblMoveTypes[Movement],0)),"?")="Yes",IFERROR(INDEX(tblMoveTypes[In / Out],MATCH($C268,tblMoveTypes[Movement],0)),"?")="OUT"),"Out  ","")&amp;IF(IFERROR(INDEX(tblMoveTypes[Orders?],MATCH($C268,tblMoveTypes[Movement],0)),"?")="Yes","Orders  ","")&amp;IF(IFERROR(INDEX(tblMoveTypes[Courier?],MATCH($C268,tblMoveTypes[Movement],0)),"?")="Yes","Courier  ","")&amp;IF(IFERROR(INDEX(tblMoveTypes[Reason?],MATCH($C268,tblMoveTypes[Movement],0)),"?")="Yes","Reason",""),"unknown movement"))</f>
        <v>IN   fill: Item  In  </v>
      </c>
      <c r="E268" s="31" t="s">
        <v>72</v>
      </c>
      <c r="F268" s="33" t="n">
        <v>90</v>
      </c>
      <c r="G268" s="33"/>
      <c r="H268" s="33"/>
      <c r="I268" s="31"/>
      <c r="J268" s="31"/>
      <c r="K268" s="31"/>
      <c r="L268" s="31"/>
      <c r="M268" s="34" t="str">
        <f aca="false">IF($E268="","",IFERROR(INDEX(tblItems[Item Code],MATCH($E268,tblItems[Item Name],0)),"?"))</f>
        <v>EG-FG-MNG-05-02-01-01</v>
      </c>
      <c r="N268" s="34" t="str">
        <f aca="false">IF($B268="","",IFERROR(INDEX(tblShipment[Market],MATCH($B268,tblShipment[Shipment No],0)),"?"))</f>
        <v>Qatar</v>
      </c>
      <c r="O268" s="35" t="n">
        <f aca="false">N($F268)+N($G268)</f>
        <v>90</v>
      </c>
      <c r="P268" s="34" t="str">
        <f aca="false">IF($A268="","",IF($L268="Yes","VOID",IF(COUNTIFS(tblMoveTypes[Movement],$C268)=0,"Unknown movement",IF(COUNTIF(tblShipment[Shipment No],$B268)=0,"Unknown shipment",IF(AND(IFERROR(INDEX(tblMoveTypes[Item?],MATCH($C268,tblMoveTypes[Movement],0)),"?")="Yes",$E268=""),"Item needed",IF(AND(IFERROR(INDEX(tblMoveTypes[Item?],MATCH($C268,tblMoveTypes[Movement],0)),"?")="No",$E268&lt;&gt;""),"Leave Item blank",IF(AND(IFERROR(INDEX(tblMoveTypes[In / Out],MATCH($C268,tblMoveTypes[Movement],0)),"?")="IN",$G268&lt;&gt;""),"Use the In column, not Out",IF(AND(IFERROR(INDEX(tblMoveTypes[In / Out],MATCH($C268,tblMoveTypes[Movement],0)),"?")="OUT",$F268&lt;&gt;""),"Use the Out column, not In",IF(AND(IFERROR(INDEX(tblMoveTypes[Qty?],MATCH($C268,tblMoveTypes[Movement],0)),"?")="Yes",N($F268)+N($G268)&lt;=0),"Qty needed",IF(AND(IFERROR(INDEX(tblMoveTypes[Qty?],MATCH($C268,tblMoveTypes[Movement],0)),"?")="No",N($F268)+N($G268)&gt;0),"Leave In and Out blank",IF(AND(IFERROR(INDEX(tblMoveTypes[Courier?],MATCH($C268,tblMoveTypes[Movement],0)),"?")="Yes",$I268=""),"Courier needed",IF(AND(IFERROR(INDEX(tblMoveTypes[Courier?],MATCH($C268,tblMoveTypes[Movement],0)),"?")="No",$I268&lt;&gt;""),"Leave Courier blank",IF(AND(IFERROR(INDEX(tblMoveTypes[Orders?],MATCH($C268,tblMoveTypes[Movement],0)),"?")="Yes",$H268=""),"Orders needed",IF(AND(IFERROR(INDEX(tblMoveTypes[Orders?],MATCH($C268,tblMoveTypes[Movement],0)),"?")="No",$H268&lt;&gt;""),"Leave Orders blank",IF(AND(IFERROR(INDEX(tblMoveTypes[Reason?],MATCH($C268,tblMoveTypes[Movement],0)),"?")="Yes",$J268=""),"Reason needed",IF($A268&lt;_xlfn.MINIFS(tblShipment[Arrival Date],tblShipment[Shipment No],$B268),"Date before arrival",IF(AND($E268&lt;&gt;"",COUNTIFS(tblShipment[Shipment No],$B268,tblShipment[Item Name],$E268)=0),"Item not in this shipment","OK")))))))))))))))))</f>
        <v>OK</v>
      </c>
    </row>
    <row r="269" customFormat="false" ht="15" hidden="false" customHeight="false" outlineLevel="0" collapsed="false">
      <c r="A269" s="32" t="n">
        <v>46245</v>
      </c>
      <c r="B269" s="31" t="s">
        <v>165</v>
      </c>
      <c r="C269" s="31" t="s">
        <v>78</v>
      </c>
      <c r="D269" s="34" t="str">
        <f aca="false">IF($C269="","",IFERROR(IF(IFERROR(INDEX(tblMoveTypes[In / Out],MATCH($C269,tblMoveTypes[Movement],0)),"?")="IN","IN   ",IF(IFERROR(INDEX(tblMoveTypes[In / Out],MATCH($C269,tblMoveTypes[Movement],0)),"?")="OUT","OUT   ","--   "))&amp;"fill: "&amp;IF(IFERROR(INDEX(tblMoveTypes[Item?],MATCH($C269,tblMoveTypes[Movement],0)),"?")="Yes","Item  ","")&amp;IF(AND(IFERROR(INDEX(tblMoveTypes[Qty?],MATCH($C269,tblMoveTypes[Movement],0)),"?")="Yes",IFERROR(INDEX(tblMoveTypes[In / Out],MATCH($C269,tblMoveTypes[Movement],0)),"?")="IN"),"In  ","")&amp;IF(AND(IFERROR(INDEX(tblMoveTypes[Qty?],MATCH($C269,tblMoveTypes[Movement],0)),"?")="Yes",IFERROR(INDEX(tblMoveTypes[In / Out],MATCH($C269,tblMoveTypes[Movement],0)),"?")="OUT"),"Out  ","")&amp;IF(IFERROR(INDEX(tblMoveTypes[Orders?],MATCH($C269,tblMoveTypes[Movement],0)),"?")="Yes","Orders  ","")&amp;IF(IFERROR(INDEX(tblMoveTypes[Courier?],MATCH($C269,tblMoveTypes[Movement],0)),"?")="Yes","Courier  ","")&amp;IF(IFERROR(INDEX(tblMoveTypes[Reason?],MATCH($C269,tblMoveTypes[Movement],0)),"?")="Yes","Reason",""),"unknown movement"))</f>
        <v>OUT   fill: Item  Out  Reason</v>
      </c>
      <c r="E269" s="31" t="s">
        <v>72</v>
      </c>
      <c r="F269" s="33"/>
      <c r="G269" s="33" t="n">
        <v>2</v>
      </c>
      <c r="H269" s="33"/>
      <c r="I269" s="31"/>
      <c r="J269" s="31" t="s">
        <v>86</v>
      </c>
      <c r="K269" s="31"/>
      <c r="L269" s="31"/>
      <c r="M269" s="34" t="str">
        <f aca="false">IF($E269="","",IFERROR(INDEX(tblItems[Item Code],MATCH($E269,tblItems[Item Name],0)),"?"))</f>
        <v>EG-FG-MNG-05-02-01-01</v>
      </c>
      <c r="N269" s="34" t="str">
        <f aca="false">IF($B269="","",IFERROR(INDEX(tblShipment[Market],MATCH($B269,tblShipment[Shipment No],0)),"?"))</f>
        <v>Qatar</v>
      </c>
      <c r="O269" s="35" t="n">
        <f aca="false">N($F269)+N($G269)</f>
        <v>2</v>
      </c>
      <c r="P269" s="34" t="str">
        <f aca="false">IF($A269="","",IF($L269="Yes","VOID",IF(COUNTIFS(tblMoveTypes[Movement],$C269)=0,"Unknown movement",IF(COUNTIF(tblShipment[Shipment No],$B269)=0,"Unknown shipment",IF(AND(IFERROR(INDEX(tblMoveTypes[Item?],MATCH($C269,tblMoveTypes[Movement],0)),"?")="Yes",$E269=""),"Item needed",IF(AND(IFERROR(INDEX(tblMoveTypes[Item?],MATCH($C269,tblMoveTypes[Movement],0)),"?")="No",$E269&lt;&gt;""),"Leave Item blank",IF(AND(IFERROR(INDEX(tblMoveTypes[In / Out],MATCH($C269,tblMoveTypes[Movement],0)),"?")="IN",$G269&lt;&gt;""),"Use the In column, not Out",IF(AND(IFERROR(INDEX(tblMoveTypes[In / Out],MATCH($C269,tblMoveTypes[Movement],0)),"?")="OUT",$F269&lt;&gt;""),"Use the Out column, not In",IF(AND(IFERROR(INDEX(tblMoveTypes[Qty?],MATCH($C269,tblMoveTypes[Movement],0)),"?")="Yes",N($F269)+N($G269)&lt;=0),"Qty needed",IF(AND(IFERROR(INDEX(tblMoveTypes[Qty?],MATCH($C269,tblMoveTypes[Movement],0)),"?")="No",N($F269)+N($G269)&gt;0),"Leave In and Out blank",IF(AND(IFERROR(INDEX(tblMoveTypes[Courier?],MATCH($C269,tblMoveTypes[Movement],0)),"?")="Yes",$I269=""),"Courier needed",IF(AND(IFERROR(INDEX(tblMoveTypes[Courier?],MATCH($C269,tblMoveTypes[Movement],0)),"?")="No",$I269&lt;&gt;""),"Leave Courier blank",IF(AND(IFERROR(INDEX(tblMoveTypes[Orders?],MATCH($C269,tblMoveTypes[Movement],0)),"?")="Yes",$H269=""),"Orders needed",IF(AND(IFERROR(INDEX(tblMoveTypes[Orders?],MATCH($C269,tblMoveTypes[Movement],0)),"?")="No",$H269&lt;&gt;""),"Leave Orders blank",IF(AND(IFERROR(INDEX(tblMoveTypes[Reason?],MATCH($C269,tblMoveTypes[Movement],0)),"?")="Yes",$J269=""),"Reason needed",IF($A269&lt;_xlfn.MINIFS(tblShipment[Arrival Date],tblShipment[Shipment No],$B269),"Date before arrival",IF(AND($E269&lt;&gt;"",COUNTIFS(tblShipment[Shipment No],$B269,tblShipment[Item Name],$E269)=0),"Item not in this shipment","OK")))))))))))))))))</f>
        <v>OK</v>
      </c>
    </row>
    <row r="270" customFormat="false" ht="15" hidden="false" customHeight="false" outlineLevel="0" collapsed="false">
      <c r="A270" s="32" t="n">
        <v>46245</v>
      </c>
      <c r="B270" s="31" t="s">
        <v>165</v>
      </c>
      <c r="C270" s="31" t="s">
        <v>79</v>
      </c>
      <c r="D270" s="34" t="str">
        <f aca="false">IF($C270="","",IFERROR(IF(IFERROR(INDEX(tblMoveTypes[In / Out],MATCH($C270,tblMoveTypes[Movement],0)),"?")="IN","IN   ",IF(IFERROR(INDEX(tblMoveTypes[In / Out],MATCH($C270,tblMoveTypes[Movement],0)),"?")="OUT","OUT   ","--   "))&amp;"fill: "&amp;IF(IFERROR(INDEX(tblMoveTypes[Item?],MATCH($C270,tblMoveTypes[Movement],0)),"?")="Yes","Item  ","")&amp;IF(AND(IFERROR(INDEX(tblMoveTypes[Qty?],MATCH($C270,tblMoveTypes[Movement],0)),"?")="Yes",IFERROR(INDEX(tblMoveTypes[In / Out],MATCH($C270,tblMoveTypes[Movement],0)),"?")="IN"),"In  ","")&amp;IF(AND(IFERROR(INDEX(tblMoveTypes[Qty?],MATCH($C270,tblMoveTypes[Movement],0)),"?")="Yes",IFERROR(INDEX(tblMoveTypes[In / Out],MATCH($C270,tblMoveTypes[Movement],0)),"?")="OUT"),"Out  ","")&amp;IF(IFERROR(INDEX(tblMoveTypes[Orders?],MATCH($C270,tblMoveTypes[Movement],0)),"?")="Yes","Orders  ","")&amp;IF(IFERROR(INDEX(tblMoveTypes[Courier?],MATCH($C270,tblMoveTypes[Movement],0)),"?")="Yes","Courier  ","")&amp;IF(IFERROR(INDEX(tblMoveTypes[Reason?],MATCH($C270,tblMoveTypes[Movement],0)),"?")="Yes","Reason",""),"unknown movement"))</f>
        <v>IN   fill: Item  In  </v>
      </c>
      <c r="E270" s="31" t="s">
        <v>122</v>
      </c>
      <c r="F270" s="33" t="n">
        <v>25</v>
      </c>
      <c r="G270" s="33"/>
      <c r="H270" s="33"/>
      <c r="I270" s="31"/>
      <c r="J270" s="31"/>
      <c r="K270" s="31"/>
      <c r="L270" s="31"/>
      <c r="M270" s="34" t="str">
        <f aca="false">IF($E270="","",IFERROR(INDEX(tblItems[Item Code],MATCH($E270,tblItems[Item Name],0)),"?"))</f>
        <v>EG-FG-GRP-01-02-01-01</v>
      </c>
      <c r="N270" s="34" t="str">
        <f aca="false">IF($B270="","",IFERROR(INDEX(tblShipment[Market],MATCH($B270,tblShipment[Shipment No],0)),"?"))</f>
        <v>Qatar</v>
      </c>
      <c r="O270" s="35" t="n">
        <f aca="false">N($F270)+N($G270)</f>
        <v>25</v>
      </c>
      <c r="P270" s="34" t="str">
        <f aca="false">IF($A270="","",IF($L270="Yes","VOID",IF(COUNTIFS(tblMoveTypes[Movement],$C270)=0,"Unknown movement",IF(COUNTIF(tblShipment[Shipment No],$B270)=0,"Unknown shipment",IF(AND(IFERROR(INDEX(tblMoveTypes[Item?],MATCH($C270,tblMoveTypes[Movement],0)),"?")="Yes",$E270=""),"Item needed",IF(AND(IFERROR(INDEX(tblMoveTypes[Item?],MATCH($C270,tblMoveTypes[Movement],0)),"?")="No",$E270&lt;&gt;""),"Leave Item blank",IF(AND(IFERROR(INDEX(tblMoveTypes[In / Out],MATCH($C270,tblMoveTypes[Movement],0)),"?")="IN",$G270&lt;&gt;""),"Use the In column, not Out",IF(AND(IFERROR(INDEX(tblMoveTypes[In / Out],MATCH($C270,tblMoveTypes[Movement],0)),"?")="OUT",$F270&lt;&gt;""),"Use the Out column, not In",IF(AND(IFERROR(INDEX(tblMoveTypes[Qty?],MATCH($C270,tblMoveTypes[Movement],0)),"?")="Yes",N($F270)+N($G270)&lt;=0),"Qty needed",IF(AND(IFERROR(INDEX(tblMoveTypes[Qty?],MATCH($C270,tblMoveTypes[Movement],0)),"?")="No",N($F270)+N($G270)&gt;0),"Leave In and Out blank",IF(AND(IFERROR(INDEX(tblMoveTypes[Courier?],MATCH($C270,tblMoveTypes[Movement],0)),"?")="Yes",$I270=""),"Courier needed",IF(AND(IFERROR(INDEX(tblMoveTypes[Courier?],MATCH($C270,tblMoveTypes[Movement],0)),"?")="No",$I270&lt;&gt;""),"Leave Courier blank",IF(AND(IFERROR(INDEX(tblMoveTypes[Orders?],MATCH($C270,tblMoveTypes[Movement],0)),"?")="Yes",$H270=""),"Orders needed",IF(AND(IFERROR(INDEX(tblMoveTypes[Orders?],MATCH($C270,tblMoveTypes[Movement],0)),"?")="No",$H270&lt;&gt;""),"Leave Orders blank",IF(AND(IFERROR(INDEX(tblMoveTypes[Reason?],MATCH($C270,tblMoveTypes[Movement],0)),"?")="Yes",$J270=""),"Reason needed",IF($A270&lt;_xlfn.MINIFS(tblShipment[Arrival Date],tblShipment[Shipment No],$B270),"Date before arrival",IF(AND($E270&lt;&gt;"",COUNTIFS(tblShipment[Shipment No],$B270,tblShipment[Item Name],$E270)=0),"Item not in this shipment","OK")))))))))))))))))</f>
        <v>OK</v>
      </c>
    </row>
    <row r="271" customFormat="false" ht="15" hidden="false" customHeight="false" outlineLevel="0" collapsed="false">
      <c r="A271" s="32" t="n">
        <v>46245</v>
      </c>
      <c r="B271" s="31" t="s">
        <v>165</v>
      </c>
      <c r="C271" s="31" t="s">
        <v>103</v>
      </c>
      <c r="D271" s="34" t="str">
        <f aca="false">IF($C271="","",IFERROR(IF(IFERROR(INDEX(tblMoveTypes[In / Out],MATCH($C271,tblMoveTypes[Movement],0)),"?")="IN","IN   ",IF(IFERROR(INDEX(tblMoveTypes[In / Out],MATCH($C271,tblMoveTypes[Movement],0)),"?")="OUT","OUT   ","--   "))&amp;"fill: "&amp;IF(IFERROR(INDEX(tblMoveTypes[Item?],MATCH($C271,tblMoveTypes[Movement],0)),"?")="Yes","Item  ","")&amp;IF(AND(IFERROR(INDEX(tblMoveTypes[Qty?],MATCH($C271,tblMoveTypes[Movement],0)),"?")="Yes",IFERROR(INDEX(tblMoveTypes[In / Out],MATCH($C271,tblMoveTypes[Movement],0)),"?")="IN"),"In  ","")&amp;IF(AND(IFERROR(INDEX(tblMoveTypes[Qty?],MATCH($C271,tblMoveTypes[Movement],0)),"?")="Yes",IFERROR(INDEX(tblMoveTypes[In / Out],MATCH($C271,tblMoveTypes[Movement],0)),"?")="OUT"),"Out  ","")&amp;IF(IFERROR(INDEX(tblMoveTypes[Orders?],MATCH($C271,tblMoveTypes[Movement],0)),"?")="Yes","Orders  ","")&amp;IF(IFERROR(INDEX(tblMoveTypes[Courier?],MATCH($C271,tblMoveTypes[Movement],0)),"?")="Yes","Courier  ","")&amp;IF(IFERROR(INDEX(tblMoveTypes[Reason?],MATCH($C271,tblMoveTypes[Movement],0)),"?")="Yes","Reason",""),"unknown movement"))</f>
        <v>--   fill: Orders  </v>
      </c>
      <c r="E271" s="31"/>
      <c r="F271" s="33"/>
      <c r="G271" s="33"/>
      <c r="H271" s="33" t="n">
        <v>173</v>
      </c>
      <c r="I271" s="31"/>
      <c r="J271" s="31"/>
      <c r="K271" s="31"/>
      <c r="L271" s="31"/>
      <c r="M271" s="34" t="str">
        <f aca="false">IF($E271="","",IFERROR(INDEX(tblItems[Item Code],MATCH($E271,tblItems[Item Name],0)),"?"))</f>
        <v/>
      </c>
      <c r="N271" s="34" t="str">
        <f aca="false">IF($B271="","",IFERROR(INDEX(tblShipment[Market],MATCH($B271,tblShipment[Shipment No],0)),"?"))</f>
        <v>Qatar</v>
      </c>
      <c r="O271" s="35" t="n">
        <f aca="false">N($F271)+N($G271)</f>
        <v>0</v>
      </c>
      <c r="P271" s="34" t="str">
        <f aca="false">IF($A271="","",IF($L271="Yes","VOID",IF(COUNTIFS(tblMoveTypes[Movement],$C271)=0,"Unknown movement",IF(COUNTIF(tblShipment[Shipment No],$B271)=0,"Unknown shipment",IF(AND(IFERROR(INDEX(tblMoveTypes[Item?],MATCH($C271,tblMoveTypes[Movement],0)),"?")="Yes",$E271=""),"Item needed",IF(AND(IFERROR(INDEX(tblMoveTypes[Item?],MATCH($C271,tblMoveTypes[Movement],0)),"?")="No",$E271&lt;&gt;""),"Leave Item blank",IF(AND(IFERROR(INDEX(tblMoveTypes[In / Out],MATCH($C271,tblMoveTypes[Movement],0)),"?")="IN",$G271&lt;&gt;""),"Use the In column, not Out",IF(AND(IFERROR(INDEX(tblMoveTypes[In / Out],MATCH($C271,tblMoveTypes[Movement],0)),"?")="OUT",$F271&lt;&gt;""),"Use the Out column, not In",IF(AND(IFERROR(INDEX(tblMoveTypes[Qty?],MATCH($C271,tblMoveTypes[Movement],0)),"?")="Yes",N($F271)+N($G271)&lt;=0),"Qty needed",IF(AND(IFERROR(INDEX(tblMoveTypes[Qty?],MATCH($C271,tblMoveTypes[Movement],0)),"?")="No",N($F271)+N($G271)&gt;0),"Leave In and Out blank",IF(AND(IFERROR(INDEX(tblMoveTypes[Courier?],MATCH($C271,tblMoveTypes[Movement],0)),"?")="Yes",$I271=""),"Courier needed",IF(AND(IFERROR(INDEX(tblMoveTypes[Courier?],MATCH($C271,tblMoveTypes[Movement],0)),"?")="No",$I271&lt;&gt;""),"Leave Courier blank",IF(AND(IFERROR(INDEX(tblMoveTypes[Orders?],MATCH($C271,tblMoveTypes[Movement],0)),"?")="Yes",$H271=""),"Orders needed",IF(AND(IFERROR(INDEX(tblMoveTypes[Orders?],MATCH($C271,tblMoveTypes[Movement],0)),"?")="No",$H271&lt;&gt;""),"Leave Orders blank",IF(AND(IFERROR(INDEX(tblMoveTypes[Reason?],MATCH($C271,tblMoveTypes[Movement],0)),"?")="Yes",$J271=""),"Reason needed",IF($A271&lt;_xlfn.MINIFS(tblShipment[Arrival Date],tblShipment[Shipment No],$B271),"Date before arrival",IF(AND($E271&lt;&gt;"",COUNTIFS(tblShipment[Shipment No],$B271,tblShipment[Item Name],$E271)=0),"Item not in this shipment","OK")))))))))))))))))</f>
        <v>OK</v>
      </c>
    </row>
    <row r="272" customFormat="false" ht="15" hidden="false" customHeight="false" outlineLevel="0" collapsed="false">
      <c r="A272" s="32" t="n">
        <v>46245</v>
      </c>
      <c r="B272" s="31" t="s">
        <v>165</v>
      </c>
      <c r="C272" s="31" t="s">
        <v>98</v>
      </c>
      <c r="D272" s="34" t="str">
        <f aca="false">IF($C272="","",IFERROR(IF(IFERROR(INDEX(tblMoveTypes[In / Out],MATCH($C272,tblMoveTypes[Movement],0)),"?")="IN","IN   ",IF(IFERROR(INDEX(tblMoveTypes[In / Out],MATCH($C272,tblMoveTypes[Movement],0)),"?")="OUT","OUT   ","--   "))&amp;"fill: "&amp;IF(IFERROR(INDEX(tblMoveTypes[Item?],MATCH($C272,tblMoveTypes[Movement],0)),"?")="Yes","Item  ","")&amp;IF(AND(IFERROR(INDEX(tblMoveTypes[Qty?],MATCH($C272,tblMoveTypes[Movement],0)),"?")="Yes",IFERROR(INDEX(tblMoveTypes[In / Out],MATCH($C272,tblMoveTypes[Movement],0)),"?")="IN"),"In  ","")&amp;IF(AND(IFERROR(INDEX(tblMoveTypes[Qty?],MATCH($C272,tblMoveTypes[Movement],0)),"?")="Yes",IFERROR(INDEX(tblMoveTypes[In / Out],MATCH($C272,tblMoveTypes[Movement],0)),"?")="OUT"),"Out  ","")&amp;IF(IFERROR(INDEX(tblMoveTypes[Orders?],MATCH($C272,tblMoveTypes[Movement],0)),"?")="Yes","Orders  ","")&amp;IF(IFERROR(INDEX(tblMoveTypes[Courier?],MATCH($C272,tblMoveTypes[Movement],0)),"?")="Yes","Courier  ","")&amp;IF(IFERROR(INDEX(tblMoveTypes[Reason?],MATCH($C272,tblMoveTypes[Movement],0)),"?")="Yes","Reason",""),"unknown movement"))</f>
        <v>OUT   fill: Item  Out  Courier  </v>
      </c>
      <c r="E272" s="31" t="s">
        <v>84</v>
      </c>
      <c r="F272" s="33"/>
      <c r="G272" s="33" t="n">
        <v>99</v>
      </c>
      <c r="H272" s="33"/>
      <c r="I272" s="31" t="s">
        <v>76</v>
      </c>
      <c r="J272" s="31"/>
      <c r="K272" s="31"/>
      <c r="L272" s="31"/>
      <c r="M272" s="34" t="str">
        <f aca="false">IF($E272="","",IFERROR(INDEX(tblItems[Item Code],MATCH($E272,tblItems[Item Name],0)),"?"))</f>
        <v>EG-FG-MNG-12-02-01-01</v>
      </c>
      <c r="N272" s="34" t="str">
        <f aca="false">IF($B272="","",IFERROR(INDEX(tblShipment[Market],MATCH($B272,tblShipment[Shipment No],0)),"?"))</f>
        <v>Qatar</v>
      </c>
      <c r="O272" s="35" t="n">
        <f aca="false">N($F272)+N($G272)</f>
        <v>99</v>
      </c>
      <c r="P272" s="34" t="str">
        <f aca="false">IF($A272="","",IF($L272="Yes","VOID",IF(COUNTIFS(tblMoveTypes[Movement],$C272)=0,"Unknown movement",IF(COUNTIF(tblShipment[Shipment No],$B272)=0,"Unknown shipment",IF(AND(IFERROR(INDEX(tblMoveTypes[Item?],MATCH($C272,tblMoveTypes[Movement],0)),"?")="Yes",$E272=""),"Item needed",IF(AND(IFERROR(INDEX(tblMoveTypes[Item?],MATCH($C272,tblMoveTypes[Movement],0)),"?")="No",$E272&lt;&gt;""),"Leave Item blank",IF(AND(IFERROR(INDEX(tblMoveTypes[In / Out],MATCH($C272,tblMoveTypes[Movement],0)),"?")="IN",$G272&lt;&gt;""),"Use the In column, not Out",IF(AND(IFERROR(INDEX(tblMoveTypes[In / Out],MATCH($C272,tblMoveTypes[Movement],0)),"?")="OUT",$F272&lt;&gt;""),"Use the Out column, not In",IF(AND(IFERROR(INDEX(tblMoveTypes[Qty?],MATCH($C272,tblMoveTypes[Movement],0)),"?")="Yes",N($F272)+N($G272)&lt;=0),"Qty needed",IF(AND(IFERROR(INDEX(tblMoveTypes[Qty?],MATCH($C272,tblMoveTypes[Movement],0)),"?")="No",N($F272)+N($G272)&gt;0),"Leave In and Out blank",IF(AND(IFERROR(INDEX(tblMoveTypes[Courier?],MATCH($C272,tblMoveTypes[Movement],0)),"?")="Yes",$I272=""),"Courier needed",IF(AND(IFERROR(INDEX(tblMoveTypes[Courier?],MATCH($C272,tblMoveTypes[Movement],0)),"?")="No",$I272&lt;&gt;""),"Leave Courier blank",IF(AND(IFERROR(INDEX(tblMoveTypes[Orders?],MATCH($C272,tblMoveTypes[Movement],0)),"?")="Yes",$H272=""),"Orders needed",IF(AND(IFERROR(INDEX(tblMoveTypes[Orders?],MATCH($C272,tblMoveTypes[Movement],0)),"?")="No",$H272&lt;&gt;""),"Leave Orders blank",IF(AND(IFERROR(INDEX(tblMoveTypes[Reason?],MATCH($C272,tblMoveTypes[Movement],0)),"?")="Yes",$J272=""),"Reason needed",IF($A272&lt;_xlfn.MINIFS(tblShipment[Arrival Date],tblShipment[Shipment No],$B272),"Date before arrival",IF(AND($E272&lt;&gt;"",COUNTIFS(tblShipment[Shipment No],$B272,tblShipment[Item Name],$E272)=0),"Item not in this shipment","OK")))))))))))))))))</f>
        <v>OK</v>
      </c>
    </row>
    <row r="273" customFormat="false" ht="15" hidden="false" customHeight="false" outlineLevel="0" collapsed="false">
      <c r="A273" s="32" t="n">
        <v>46245</v>
      </c>
      <c r="B273" s="31" t="s">
        <v>165</v>
      </c>
      <c r="C273" s="31" t="s">
        <v>98</v>
      </c>
      <c r="D273" s="34" t="str">
        <f aca="false">IF($C273="","",IFERROR(IF(IFERROR(INDEX(tblMoveTypes[In / Out],MATCH($C273,tblMoveTypes[Movement],0)),"?")="IN","IN   ",IF(IFERROR(INDEX(tblMoveTypes[In / Out],MATCH($C273,tblMoveTypes[Movement],0)),"?")="OUT","OUT   ","--   "))&amp;"fill: "&amp;IF(IFERROR(INDEX(tblMoveTypes[Item?],MATCH($C273,tblMoveTypes[Movement],0)),"?")="Yes","Item  ","")&amp;IF(AND(IFERROR(INDEX(tblMoveTypes[Qty?],MATCH($C273,tblMoveTypes[Movement],0)),"?")="Yes",IFERROR(INDEX(tblMoveTypes[In / Out],MATCH($C273,tblMoveTypes[Movement],0)),"?")="IN"),"In  ","")&amp;IF(AND(IFERROR(INDEX(tblMoveTypes[Qty?],MATCH($C273,tblMoveTypes[Movement],0)),"?")="Yes",IFERROR(INDEX(tblMoveTypes[In / Out],MATCH($C273,tblMoveTypes[Movement],0)),"?")="OUT"),"Out  ","")&amp;IF(IFERROR(INDEX(tblMoveTypes[Orders?],MATCH($C273,tblMoveTypes[Movement],0)),"?")="Yes","Orders  ","")&amp;IF(IFERROR(INDEX(tblMoveTypes[Courier?],MATCH($C273,tblMoveTypes[Movement],0)),"?")="Yes","Courier  ","")&amp;IF(IFERROR(INDEX(tblMoveTypes[Reason?],MATCH($C273,tblMoveTypes[Movement],0)),"?")="Yes","Reason",""),"unknown movement"))</f>
        <v>OUT   fill: Item  Out  Courier  </v>
      </c>
      <c r="E273" s="31" t="s">
        <v>100</v>
      </c>
      <c r="F273" s="33"/>
      <c r="G273" s="33" t="n">
        <v>24</v>
      </c>
      <c r="H273" s="33"/>
      <c r="I273" s="31" t="s">
        <v>76</v>
      </c>
      <c r="J273" s="31"/>
      <c r="K273" s="31"/>
      <c r="L273" s="31"/>
      <c r="M273" s="34" t="str">
        <f aca="false">IF($E273="","",IFERROR(INDEX(tblItems[Item Code],MATCH($E273,tblItems[Item Name],0)),"?"))</f>
        <v>EG-FG-MNG-18-02-01-01</v>
      </c>
      <c r="N273" s="34" t="str">
        <f aca="false">IF($B273="","",IFERROR(INDEX(tblShipment[Market],MATCH($B273,tblShipment[Shipment No],0)),"?"))</f>
        <v>Qatar</v>
      </c>
      <c r="O273" s="35" t="n">
        <f aca="false">N($F273)+N($G273)</f>
        <v>24</v>
      </c>
      <c r="P273" s="34" t="str">
        <f aca="false">IF($A273="","",IF($L273="Yes","VOID",IF(COUNTIFS(tblMoveTypes[Movement],$C273)=0,"Unknown movement",IF(COUNTIF(tblShipment[Shipment No],$B273)=0,"Unknown shipment",IF(AND(IFERROR(INDEX(tblMoveTypes[Item?],MATCH($C273,tblMoveTypes[Movement],0)),"?")="Yes",$E273=""),"Item needed",IF(AND(IFERROR(INDEX(tblMoveTypes[Item?],MATCH($C273,tblMoveTypes[Movement],0)),"?")="No",$E273&lt;&gt;""),"Leave Item blank",IF(AND(IFERROR(INDEX(tblMoveTypes[In / Out],MATCH($C273,tblMoveTypes[Movement],0)),"?")="IN",$G273&lt;&gt;""),"Use the In column, not Out",IF(AND(IFERROR(INDEX(tblMoveTypes[In / Out],MATCH($C273,tblMoveTypes[Movement],0)),"?")="OUT",$F273&lt;&gt;""),"Use the Out column, not In",IF(AND(IFERROR(INDEX(tblMoveTypes[Qty?],MATCH($C273,tblMoveTypes[Movement],0)),"?")="Yes",N($F273)+N($G273)&lt;=0),"Qty needed",IF(AND(IFERROR(INDEX(tblMoveTypes[Qty?],MATCH($C273,tblMoveTypes[Movement],0)),"?")="No",N($F273)+N($G273)&gt;0),"Leave In and Out blank",IF(AND(IFERROR(INDEX(tblMoveTypes[Courier?],MATCH($C273,tblMoveTypes[Movement],0)),"?")="Yes",$I273=""),"Courier needed",IF(AND(IFERROR(INDEX(tblMoveTypes[Courier?],MATCH($C273,tblMoveTypes[Movement],0)),"?")="No",$I273&lt;&gt;""),"Leave Courier blank",IF(AND(IFERROR(INDEX(tblMoveTypes[Orders?],MATCH($C273,tblMoveTypes[Movement],0)),"?")="Yes",$H273=""),"Orders needed",IF(AND(IFERROR(INDEX(tblMoveTypes[Orders?],MATCH($C273,tblMoveTypes[Movement],0)),"?")="No",$H273&lt;&gt;""),"Leave Orders blank",IF(AND(IFERROR(INDEX(tblMoveTypes[Reason?],MATCH($C273,tblMoveTypes[Movement],0)),"?")="Yes",$J273=""),"Reason needed",IF($A273&lt;_xlfn.MINIFS(tblShipment[Arrival Date],tblShipment[Shipment No],$B273),"Date before arrival",IF(AND($E273&lt;&gt;"",COUNTIFS(tblShipment[Shipment No],$B273,tblShipment[Item Name],$E273)=0),"Item not in this shipment","OK")))))))))))))))))</f>
        <v>OK</v>
      </c>
    </row>
    <row r="274" customFormat="false" ht="15" hidden="false" customHeight="false" outlineLevel="0" collapsed="false">
      <c r="A274" s="32" t="n">
        <v>46245</v>
      </c>
      <c r="B274" s="31" t="s">
        <v>165</v>
      </c>
      <c r="C274" s="31" t="s">
        <v>98</v>
      </c>
      <c r="D274" s="34" t="str">
        <f aca="false">IF($C274="","",IFERROR(IF(IFERROR(INDEX(tblMoveTypes[In / Out],MATCH($C274,tblMoveTypes[Movement],0)),"?")="IN","IN   ",IF(IFERROR(INDEX(tblMoveTypes[In / Out],MATCH($C274,tblMoveTypes[Movement],0)),"?")="OUT","OUT   ","--   "))&amp;"fill: "&amp;IF(IFERROR(INDEX(tblMoveTypes[Item?],MATCH($C274,tblMoveTypes[Movement],0)),"?")="Yes","Item  ","")&amp;IF(AND(IFERROR(INDEX(tblMoveTypes[Qty?],MATCH($C274,tblMoveTypes[Movement],0)),"?")="Yes",IFERROR(INDEX(tblMoveTypes[In / Out],MATCH($C274,tblMoveTypes[Movement],0)),"?")="IN"),"In  ","")&amp;IF(AND(IFERROR(INDEX(tblMoveTypes[Qty?],MATCH($C274,tblMoveTypes[Movement],0)),"?")="Yes",IFERROR(INDEX(tblMoveTypes[In / Out],MATCH($C274,tblMoveTypes[Movement],0)),"?")="OUT"),"Out  ","")&amp;IF(IFERROR(INDEX(tblMoveTypes[Orders?],MATCH($C274,tblMoveTypes[Movement],0)),"?")="Yes","Orders  ","")&amp;IF(IFERROR(INDEX(tblMoveTypes[Courier?],MATCH($C274,tblMoveTypes[Movement],0)),"?")="Yes","Courier  ","")&amp;IF(IFERROR(INDEX(tblMoveTypes[Reason?],MATCH($C274,tblMoveTypes[Movement],0)),"?")="Yes","Reason",""),"unknown movement"))</f>
        <v>OUT   fill: Item  Out  Courier  </v>
      </c>
      <c r="E274" s="31" t="s">
        <v>95</v>
      </c>
      <c r="F274" s="33"/>
      <c r="G274" s="33" t="n">
        <v>45</v>
      </c>
      <c r="H274" s="33"/>
      <c r="I274" s="31" t="s">
        <v>76</v>
      </c>
      <c r="J274" s="31"/>
      <c r="K274" s="31"/>
      <c r="L274" s="31"/>
      <c r="M274" s="34" t="str">
        <f aca="false">IF($E274="","",IFERROR(INDEX(tblItems[Item Code],MATCH($E274,tblItems[Item Name],0)),"?"))</f>
        <v>EG-FG-GUV-01-02-01-01</v>
      </c>
      <c r="N274" s="34" t="str">
        <f aca="false">IF($B274="","",IFERROR(INDEX(tblShipment[Market],MATCH($B274,tblShipment[Shipment No],0)),"?"))</f>
        <v>Qatar</v>
      </c>
      <c r="O274" s="35" t="n">
        <f aca="false">N($F274)+N($G274)</f>
        <v>45</v>
      </c>
      <c r="P274" s="34" t="str">
        <f aca="false">IF($A274="","",IF($L274="Yes","VOID",IF(COUNTIFS(tblMoveTypes[Movement],$C274)=0,"Unknown movement",IF(COUNTIF(tblShipment[Shipment No],$B274)=0,"Unknown shipment",IF(AND(IFERROR(INDEX(tblMoveTypes[Item?],MATCH($C274,tblMoveTypes[Movement],0)),"?")="Yes",$E274=""),"Item needed",IF(AND(IFERROR(INDEX(tblMoveTypes[Item?],MATCH($C274,tblMoveTypes[Movement],0)),"?")="No",$E274&lt;&gt;""),"Leave Item blank",IF(AND(IFERROR(INDEX(tblMoveTypes[In / Out],MATCH($C274,tblMoveTypes[Movement],0)),"?")="IN",$G274&lt;&gt;""),"Use the In column, not Out",IF(AND(IFERROR(INDEX(tblMoveTypes[In / Out],MATCH($C274,tblMoveTypes[Movement],0)),"?")="OUT",$F274&lt;&gt;""),"Use the Out column, not In",IF(AND(IFERROR(INDEX(tblMoveTypes[Qty?],MATCH($C274,tblMoveTypes[Movement],0)),"?")="Yes",N($F274)+N($G274)&lt;=0),"Qty needed",IF(AND(IFERROR(INDEX(tblMoveTypes[Qty?],MATCH($C274,tblMoveTypes[Movement],0)),"?")="No",N($F274)+N($G274)&gt;0),"Leave In and Out blank",IF(AND(IFERROR(INDEX(tblMoveTypes[Courier?],MATCH($C274,tblMoveTypes[Movement],0)),"?")="Yes",$I274=""),"Courier needed",IF(AND(IFERROR(INDEX(tblMoveTypes[Courier?],MATCH($C274,tblMoveTypes[Movement],0)),"?")="No",$I274&lt;&gt;""),"Leave Courier blank",IF(AND(IFERROR(INDEX(tblMoveTypes[Orders?],MATCH($C274,tblMoveTypes[Movement],0)),"?")="Yes",$H274=""),"Orders needed",IF(AND(IFERROR(INDEX(tblMoveTypes[Orders?],MATCH($C274,tblMoveTypes[Movement],0)),"?")="No",$H274&lt;&gt;""),"Leave Orders blank",IF(AND(IFERROR(INDEX(tblMoveTypes[Reason?],MATCH($C274,tblMoveTypes[Movement],0)),"?")="Yes",$J274=""),"Reason needed",IF($A274&lt;_xlfn.MINIFS(tblShipment[Arrival Date],tblShipment[Shipment No],$B274),"Date before arrival",IF(AND($E274&lt;&gt;"",COUNTIFS(tblShipment[Shipment No],$B274,tblShipment[Item Name],$E274)=0),"Item not in this shipment","OK")))))))))))))))))</f>
        <v>OK</v>
      </c>
    </row>
    <row r="275" customFormat="false" ht="15" hidden="false" customHeight="false" outlineLevel="0" collapsed="false">
      <c r="A275" s="32" t="n">
        <v>46245</v>
      </c>
      <c r="B275" s="31" t="s">
        <v>165</v>
      </c>
      <c r="C275" s="31" t="s">
        <v>98</v>
      </c>
      <c r="D275" s="34" t="str">
        <f aca="false">IF($C275="","",IFERROR(IF(IFERROR(INDEX(tblMoveTypes[In / Out],MATCH($C275,tblMoveTypes[Movement],0)),"?")="IN","IN   ",IF(IFERROR(INDEX(tblMoveTypes[In / Out],MATCH($C275,tblMoveTypes[Movement],0)),"?")="OUT","OUT   ","--   "))&amp;"fill: "&amp;IF(IFERROR(INDEX(tblMoveTypes[Item?],MATCH($C275,tblMoveTypes[Movement],0)),"?")="Yes","Item  ","")&amp;IF(AND(IFERROR(INDEX(tblMoveTypes[Qty?],MATCH($C275,tblMoveTypes[Movement],0)),"?")="Yes",IFERROR(INDEX(tblMoveTypes[In / Out],MATCH($C275,tblMoveTypes[Movement],0)),"?")="IN"),"In  ","")&amp;IF(AND(IFERROR(INDEX(tblMoveTypes[Qty?],MATCH($C275,tblMoveTypes[Movement],0)),"?")="Yes",IFERROR(INDEX(tblMoveTypes[In / Out],MATCH($C275,tblMoveTypes[Movement],0)),"?")="OUT"),"Out  ","")&amp;IF(IFERROR(INDEX(tblMoveTypes[Orders?],MATCH($C275,tblMoveTypes[Movement],0)),"?")="Yes","Orders  ","")&amp;IF(IFERROR(INDEX(tblMoveTypes[Courier?],MATCH($C275,tblMoveTypes[Movement],0)),"?")="Yes","Courier  ","")&amp;IF(IFERROR(INDEX(tblMoveTypes[Reason?],MATCH($C275,tblMoveTypes[Movement],0)),"?")="Yes","Reason",""),"unknown movement"))</f>
        <v>OUT   fill: Item  Out  Courier  </v>
      </c>
      <c r="E275" s="31" t="s">
        <v>106</v>
      </c>
      <c r="F275" s="33"/>
      <c r="G275" s="33" t="n">
        <v>29</v>
      </c>
      <c r="H275" s="33"/>
      <c r="I275" s="31" t="s">
        <v>76</v>
      </c>
      <c r="J275" s="31"/>
      <c r="K275" s="31"/>
      <c r="L275" s="31"/>
      <c r="M275" s="34" t="str">
        <f aca="false">IF($E275="","",IFERROR(INDEX(tblItems[Item Code],MATCH($E275,tblItems[Item Name],0)),"?"))</f>
        <v>EG-FG-DAT-01-02-01-01</v>
      </c>
      <c r="N275" s="34" t="str">
        <f aca="false">IF($B275="","",IFERROR(INDEX(tblShipment[Market],MATCH($B275,tblShipment[Shipment No],0)),"?"))</f>
        <v>Qatar</v>
      </c>
      <c r="O275" s="35" t="n">
        <f aca="false">N($F275)+N($G275)</f>
        <v>29</v>
      </c>
      <c r="P275" s="34" t="str">
        <f aca="false">IF($A275="","",IF($L275="Yes","VOID",IF(COUNTIFS(tblMoveTypes[Movement],$C275)=0,"Unknown movement",IF(COUNTIF(tblShipment[Shipment No],$B275)=0,"Unknown shipment",IF(AND(IFERROR(INDEX(tblMoveTypes[Item?],MATCH($C275,tblMoveTypes[Movement],0)),"?")="Yes",$E275=""),"Item needed",IF(AND(IFERROR(INDEX(tblMoveTypes[Item?],MATCH($C275,tblMoveTypes[Movement],0)),"?")="No",$E275&lt;&gt;""),"Leave Item blank",IF(AND(IFERROR(INDEX(tblMoveTypes[In / Out],MATCH($C275,tblMoveTypes[Movement],0)),"?")="IN",$G275&lt;&gt;""),"Use the In column, not Out",IF(AND(IFERROR(INDEX(tblMoveTypes[In / Out],MATCH($C275,tblMoveTypes[Movement],0)),"?")="OUT",$F275&lt;&gt;""),"Use the Out column, not In",IF(AND(IFERROR(INDEX(tblMoveTypes[Qty?],MATCH($C275,tblMoveTypes[Movement],0)),"?")="Yes",N($F275)+N($G275)&lt;=0),"Qty needed",IF(AND(IFERROR(INDEX(tblMoveTypes[Qty?],MATCH($C275,tblMoveTypes[Movement],0)),"?")="No",N($F275)+N($G275)&gt;0),"Leave In and Out blank",IF(AND(IFERROR(INDEX(tblMoveTypes[Courier?],MATCH($C275,tblMoveTypes[Movement],0)),"?")="Yes",$I275=""),"Courier needed",IF(AND(IFERROR(INDEX(tblMoveTypes[Courier?],MATCH($C275,tblMoveTypes[Movement],0)),"?")="No",$I275&lt;&gt;""),"Leave Courier blank",IF(AND(IFERROR(INDEX(tblMoveTypes[Orders?],MATCH($C275,tblMoveTypes[Movement],0)),"?")="Yes",$H275=""),"Orders needed",IF(AND(IFERROR(INDEX(tblMoveTypes[Orders?],MATCH($C275,tblMoveTypes[Movement],0)),"?")="No",$H275&lt;&gt;""),"Leave Orders blank",IF(AND(IFERROR(INDEX(tblMoveTypes[Reason?],MATCH($C275,tblMoveTypes[Movement],0)),"?")="Yes",$J275=""),"Reason needed",IF($A275&lt;_xlfn.MINIFS(tblShipment[Arrival Date],tblShipment[Shipment No],$B275),"Date before arrival",IF(AND($E275&lt;&gt;"",COUNTIFS(tblShipment[Shipment No],$B275,tblShipment[Item Name],$E275)=0),"Item not in this shipment","OK")))))))))))))))))</f>
        <v>OK</v>
      </c>
    </row>
    <row r="276" customFormat="false" ht="15" hidden="false" customHeight="false" outlineLevel="0" collapsed="false">
      <c r="A276" s="32" t="n">
        <v>46245</v>
      </c>
      <c r="B276" s="31" t="s">
        <v>165</v>
      </c>
      <c r="C276" s="31" t="s">
        <v>98</v>
      </c>
      <c r="D276" s="34" t="str">
        <f aca="false">IF($C276="","",IFERROR(IF(IFERROR(INDEX(tblMoveTypes[In / Out],MATCH($C276,tblMoveTypes[Movement],0)),"?")="IN","IN   ",IF(IFERROR(INDEX(tblMoveTypes[In / Out],MATCH($C276,tblMoveTypes[Movement],0)),"?")="OUT","OUT   ","--   "))&amp;"fill: "&amp;IF(IFERROR(INDEX(tblMoveTypes[Item?],MATCH($C276,tblMoveTypes[Movement],0)),"?")="Yes","Item  ","")&amp;IF(AND(IFERROR(INDEX(tblMoveTypes[Qty?],MATCH($C276,tblMoveTypes[Movement],0)),"?")="Yes",IFERROR(INDEX(tblMoveTypes[In / Out],MATCH($C276,tblMoveTypes[Movement],0)),"?")="IN"),"In  ","")&amp;IF(AND(IFERROR(INDEX(tblMoveTypes[Qty?],MATCH($C276,tblMoveTypes[Movement],0)),"?")="Yes",IFERROR(INDEX(tblMoveTypes[In / Out],MATCH($C276,tblMoveTypes[Movement],0)),"?")="OUT"),"Out  ","")&amp;IF(IFERROR(INDEX(tblMoveTypes[Orders?],MATCH($C276,tblMoveTypes[Movement],0)),"?")="Yes","Orders  ","")&amp;IF(IFERROR(INDEX(tblMoveTypes[Courier?],MATCH($C276,tblMoveTypes[Movement],0)),"?")="Yes","Courier  ","")&amp;IF(IFERROR(INDEX(tblMoveTypes[Reason?],MATCH($C276,tblMoveTypes[Movement],0)),"?")="Yes","Reason",""),"unknown movement"))</f>
        <v>OUT   fill: Item  Out  Courier  </v>
      </c>
      <c r="E276" s="31" t="s">
        <v>127</v>
      </c>
      <c r="F276" s="33"/>
      <c r="G276" s="33" t="n">
        <v>20</v>
      </c>
      <c r="H276" s="33"/>
      <c r="I276" s="31" t="s">
        <v>76</v>
      </c>
      <c r="J276" s="31"/>
      <c r="K276" s="31"/>
      <c r="L276" s="31"/>
      <c r="M276" s="34" t="str">
        <f aca="false">IF($E276="","",IFERROR(INDEX(tblItems[Item Code],MATCH($E276,tblItems[Item Name],0)),"?"))</f>
        <v>EG-FG-GRP-03-02-01-01</v>
      </c>
      <c r="N276" s="34" t="str">
        <f aca="false">IF($B276="","",IFERROR(INDEX(tblShipment[Market],MATCH($B276,tblShipment[Shipment No],0)),"?"))</f>
        <v>Qatar</v>
      </c>
      <c r="O276" s="35" t="n">
        <f aca="false">N($F276)+N($G276)</f>
        <v>20</v>
      </c>
      <c r="P276" s="34" t="str">
        <f aca="false">IF($A276="","",IF($L276="Yes","VOID",IF(COUNTIFS(tblMoveTypes[Movement],$C276)=0,"Unknown movement",IF(COUNTIF(tblShipment[Shipment No],$B276)=0,"Unknown shipment",IF(AND(IFERROR(INDEX(tblMoveTypes[Item?],MATCH($C276,tblMoveTypes[Movement],0)),"?")="Yes",$E276=""),"Item needed",IF(AND(IFERROR(INDEX(tblMoveTypes[Item?],MATCH($C276,tblMoveTypes[Movement],0)),"?")="No",$E276&lt;&gt;""),"Leave Item blank",IF(AND(IFERROR(INDEX(tblMoveTypes[In / Out],MATCH($C276,tblMoveTypes[Movement],0)),"?")="IN",$G276&lt;&gt;""),"Use the In column, not Out",IF(AND(IFERROR(INDEX(tblMoveTypes[In / Out],MATCH($C276,tblMoveTypes[Movement],0)),"?")="OUT",$F276&lt;&gt;""),"Use the Out column, not In",IF(AND(IFERROR(INDEX(tblMoveTypes[Qty?],MATCH($C276,tblMoveTypes[Movement],0)),"?")="Yes",N($F276)+N($G276)&lt;=0),"Qty needed",IF(AND(IFERROR(INDEX(tblMoveTypes[Qty?],MATCH($C276,tblMoveTypes[Movement],0)),"?")="No",N($F276)+N($G276)&gt;0),"Leave In and Out blank",IF(AND(IFERROR(INDEX(tblMoveTypes[Courier?],MATCH($C276,tblMoveTypes[Movement],0)),"?")="Yes",$I276=""),"Courier needed",IF(AND(IFERROR(INDEX(tblMoveTypes[Courier?],MATCH($C276,tblMoveTypes[Movement],0)),"?")="No",$I276&lt;&gt;""),"Leave Courier blank",IF(AND(IFERROR(INDEX(tblMoveTypes[Orders?],MATCH($C276,tblMoveTypes[Movement],0)),"?")="Yes",$H276=""),"Orders needed",IF(AND(IFERROR(INDEX(tblMoveTypes[Orders?],MATCH($C276,tblMoveTypes[Movement],0)),"?")="No",$H276&lt;&gt;""),"Leave Orders blank",IF(AND(IFERROR(INDEX(tblMoveTypes[Reason?],MATCH($C276,tblMoveTypes[Movement],0)),"?")="Yes",$J276=""),"Reason needed",IF($A276&lt;_xlfn.MINIFS(tblShipment[Arrival Date],tblShipment[Shipment No],$B276),"Date before arrival",IF(AND($E276&lt;&gt;"",COUNTIFS(tblShipment[Shipment No],$B276,tblShipment[Item Name],$E276)=0),"Item not in this shipment","OK")))))))))))))))))</f>
        <v>OK</v>
      </c>
    </row>
    <row r="277" customFormat="false" ht="15" hidden="false" customHeight="false" outlineLevel="0" collapsed="false">
      <c r="A277" s="32" t="n">
        <v>46245</v>
      </c>
      <c r="B277" s="31" t="s">
        <v>165</v>
      </c>
      <c r="C277" s="31" t="s">
        <v>98</v>
      </c>
      <c r="D277" s="34" t="str">
        <f aca="false">IF($C277="","",IFERROR(IF(IFERROR(INDEX(tblMoveTypes[In / Out],MATCH($C277,tblMoveTypes[Movement],0)),"?")="IN","IN   ",IF(IFERROR(INDEX(tblMoveTypes[In / Out],MATCH($C277,tblMoveTypes[Movement],0)),"?")="OUT","OUT   ","--   "))&amp;"fill: "&amp;IF(IFERROR(INDEX(tblMoveTypes[Item?],MATCH($C277,tblMoveTypes[Movement],0)),"?")="Yes","Item  ","")&amp;IF(AND(IFERROR(INDEX(tblMoveTypes[Qty?],MATCH($C277,tblMoveTypes[Movement],0)),"?")="Yes",IFERROR(INDEX(tblMoveTypes[In / Out],MATCH($C277,tblMoveTypes[Movement],0)),"?")="IN"),"In  ","")&amp;IF(AND(IFERROR(INDEX(tblMoveTypes[Qty?],MATCH($C277,tblMoveTypes[Movement],0)),"?")="Yes",IFERROR(INDEX(tblMoveTypes[In / Out],MATCH($C277,tblMoveTypes[Movement],0)),"?")="OUT"),"Out  ","")&amp;IF(IFERROR(INDEX(tblMoveTypes[Orders?],MATCH($C277,tblMoveTypes[Movement],0)),"?")="Yes","Orders  ","")&amp;IF(IFERROR(INDEX(tblMoveTypes[Courier?],MATCH($C277,tblMoveTypes[Movement],0)),"?")="Yes","Courier  ","")&amp;IF(IFERROR(INDEX(tblMoveTypes[Reason?],MATCH($C277,tblMoveTypes[Movement],0)),"?")="Yes","Reason",""),"unknown movement"))</f>
        <v>OUT   fill: Item  Out  Courier  </v>
      </c>
      <c r="E277" s="31" t="s">
        <v>112</v>
      </c>
      <c r="F277" s="33"/>
      <c r="G277" s="33" t="n">
        <v>34</v>
      </c>
      <c r="H277" s="33"/>
      <c r="I277" s="31" t="s">
        <v>76</v>
      </c>
      <c r="J277" s="31"/>
      <c r="K277" s="31"/>
      <c r="L277" s="31"/>
      <c r="M277" s="34" t="str">
        <f aca="false">IF($E277="","",IFERROR(INDEX(tblItems[Item Code],MATCH($E277,tblItems[Item Name],0)),"?"))</f>
        <v>BOX-TRIO-01</v>
      </c>
      <c r="N277" s="34" t="str">
        <f aca="false">IF($B277="","",IFERROR(INDEX(tblShipment[Market],MATCH($B277,tblShipment[Shipment No],0)),"?"))</f>
        <v>Qatar</v>
      </c>
      <c r="O277" s="35" t="n">
        <f aca="false">N($F277)+N($G277)</f>
        <v>34</v>
      </c>
      <c r="P277" s="34" t="str">
        <f aca="false">IF($A277="","",IF($L277="Yes","VOID",IF(COUNTIFS(tblMoveTypes[Movement],$C277)=0,"Unknown movement",IF(COUNTIF(tblShipment[Shipment No],$B277)=0,"Unknown shipment",IF(AND(IFERROR(INDEX(tblMoveTypes[Item?],MATCH($C277,tblMoveTypes[Movement],0)),"?")="Yes",$E277=""),"Item needed",IF(AND(IFERROR(INDEX(tblMoveTypes[Item?],MATCH($C277,tblMoveTypes[Movement],0)),"?")="No",$E277&lt;&gt;""),"Leave Item blank",IF(AND(IFERROR(INDEX(tblMoveTypes[In / Out],MATCH($C277,tblMoveTypes[Movement],0)),"?")="IN",$G277&lt;&gt;""),"Use the In column, not Out",IF(AND(IFERROR(INDEX(tblMoveTypes[In / Out],MATCH($C277,tblMoveTypes[Movement],0)),"?")="OUT",$F277&lt;&gt;""),"Use the Out column, not In",IF(AND(IFERROR(INDEX(tblMoveTypes[Qty?],MATCH($C277,tblMoveTypes[Movement],0)),"?")="Yes",N($F277)+N($G277)&lt;=0),"Qty needed",IF(AND(IFERROR(INDEX(tblMoveTypes[Qty?],MATCH($C277,tblMoveTypes[Movement],0)),"?")="No",N($F277)+N($G277)&gt;0),"Leave In and Out blank",IF(AND(IFERROR(INDEX(tblMoveTypes[Courier?],MATCH($C277,tblMoveTypes[Movement],0)),"?")="Yes",$I277=""),"Courier needed",IF(AND(IFERROR(INDEX(tblMoveTypes[Courier?],MATCH($C277,tblMoveTypes[Movement],0)),"?")="No",$I277&lt;&gt;""),"Leave Courier blank",IF(AND(IFERROR(INDEX(tblMoveTypes[Orders?],MATCH($C277,tblMoveTypes[Movement],0)),"?")="Yes",$H277=""),"Orders needed",IF(AND(IFERROR(INDEX(tblMoveTypes[Orders?],MATCH($C277,tblMoveTypes[Movement],0)),"?")="No",$H277&lt;&gt;""),"Leave Orders blank",IF(AND(IFERROR(INDEX(tblMoveTypes[Reason?],MATCH($C277,tblMoveTypes[Movement],0)),"?")="Yes",$J277=""),"Reason needed",IF($A277&lt;_xlfn.MINIFS(tblShipment[Arrival Date],tblShipment[Shipment No],$B277),"Date before arrival",IF(AND($E277&lt;&gt;"",COUNTIFS(tblShipment[Shipment No],$B277,tblShipment[Item Name],$E277)=0),"Item not in this shipment","OK")))))))))))))))))</f>
        <v>OK</v>
      </c>
    </row>
    <row r="278" customFormat="false" ht="15" hidden="false" customHeight="false" outlineLevel="0" collapsed="false">
      <c r="A278" s="32" t="n">
        <v>46245</v>
      </c>
      <c r="B278" s="31" t="s">
        <v>165</v>
      </c>
      <c r="C278" s="31" t="s">
        <v>98</v>
      </c>
      <c r="D278" s="34" t="str">
        <f aca="false">IF($C278="","",IFERROR(IF(IFERROR(INDEX(tblMoveTypes[In / Out],MATCH($C278,tblMoveTypes[Movement],0)),"?")="IN","IN   ",IF(IFERROR(INDEX(tblMoveTypes[In / Out],MATCH($C278,tblMoveTypes[Movement],0)),"?")="OUT","OUT   ","--   "))&amp;"fill: "&amp;IF(IFERROR(INDEX(tblMoveTypes[Item?],MATCH($C278,tblMoveTypes[Movement],0)),"?")="Yes","Item  ","")&amp;IF(AND(IFERROR(INDEX(tblMoveTypes[Qty?],MATCH($C278,tblMoveTypes[Movement],0)),"?")="Yes",IFERROR(INDEX(tblMoveTypes[In / Out],MATCH($C278,tblMoveTypes[Movement],0)),"?")="IN"),"In  ","")&amp;IF(AND(IFERROR(INDEX(tblMoveTypes[Qty?],MATCH($C278,tblMoveTypes[Movement],0)),"?")="Yes",IFERROR(INDEX(tblMoveTypes[In / Out],MATCH($C278,tblMoveTypes[Movement],0)),"?")="OUT"),"Out  ","")&amp;IF(IFERROR(INDEX(tblMoveTypes[Orders?],MATCH($C278,tblMoveTypes[Movement],0)),"?")="Yes","Orders  ","")&amp;IF(IFERROR(INDEX(tblMoveTypes[Courier?],MATCH($C278,tblMoveTypes[Movement],0)),"?")="Yes","Courier  ","")&amp;IF(IFERROR(INDEX(tblMoveTypes[Reason?],MATCH($C278,tblMoveTypes[Movement],0)),"?")="Yes","Reason",""),"unknown movement"))</f>
        <v>OUT   fill: Item  Out  Courier  </v>
      </c>
      <c r="E278" s="31" t="s">
        <v>117</v>
      </c>
      <c r="F278" s="33"/>
      <c r="G278" s="33" t="n">
        <v>25</v>
      </c>
      <c r="H278" s="33"/>
      <c r="I278" s="31" t="s">
        <v>76</v>
      </c>
      <c r="J278" s="31"/>
      <c r="K278" s="31"/>
      <c r="L278" s="31"/>
      <c r="M278" s="34" t="str">
        <f aca="false">IF($E278="","",IFERROR(INDEX(tblItems[Item Code],MATCH($E278,tblItems[Item Name],0)),"?"))</f>
        <v>EG-FG-MNG-06-02-01-01</v>
      </c>
      <c r="N278" s="34" t="str">
        <f aca="false">IF($B278="","",IFERROR(INDEX(tblShipment[Market],MATCH($B278,tblShipment[Shipment No],0)),"?"))</f>
        <v>Qatar</v>
      </c>
      <c r="O278" s="35" t="n">
        <f aca="false">N($F278)+N($G278)</f>
        <v>25</v>
      </c>
      <c r="P278" s="34" t="str">
        <f aca="false">IF($A278="","",IF($L278="Yes","VOID",IF(COUNTIFS(tblMoveTypes[Movement],$C278)=0,"Unknown movement",IF(COUNTIF(tblShipment[Shipment No],$B278)=0,"Unknown shipment",IF(AND(IFERROR(INDEX(tblMoveTypes[Item?],MATCH($C278,tblMoveTypes[Movement],0)),"?")="Yes",$E278=""),"Item needed",IF(AND(IFERROR(INDEX(tblMoveTypes[Item?],MATCH($C278,tblMoveTypes[Movement],0)),"?")="No",$E278&lt;&gt;""),"Leave Item blank",IF(AND(IFERROR(INDEX(tblMoveTypes[In / Out],MATCH($C278,tblMoveTypes[Movement],0)),"?")="IN",$G278&lt;&gt;""),"Use the In column, not Out",IF(AND(IFERROR(INDEX(tblMoveTypes[In / Out],MATCH($C278,tblMoveTypes[Movement],0)),"?")="OUT",$F278&lt;&gt;""),"Use the Out column, not In",IF(AND(IFERROR(INDEX(tblMoveTypes[Qty?],MATCH($C278,tblMoveTypes[Movement],0)),"?")="Yes",N($F278)+N($G278)&lt;=0),"Qty needed",IF(AND(IFERROR(INDEX(tblMoveTypes[Qty?],MATCH($C278,tblMoveTypes[Movement],0)),"?")="No",N($F278)+N($G278)&gt;0),"Leave In and Out blank",IF(AND(IFERROR(INDEX(tblMoveTypes[Courier?],MATCH($C278,tblMoveTypes[Movement],0)),"?")="Yes",$I278=""),"Courier needed",IF(AND(IFERROR(INDEX(tblMoveTypes[Courier?],MATCH($C278,tblMoveTypes[Movement],0)),"?")="No",$I278&lt;&gt;""),"Leave Courier blank",IF(AND(IFERROR(INDEX(tblMoveTypes[Orders?],MATCH($C278,tblMoveTypes[Movement],0)),"?")="Yes",$H278=""),"Orders needed",IF(AND(IFERROR(INDEX(tblMoveTypes[Orders?],MATCH($C278,tblMoveTypes[Movement],0)),"?")="No",$H278&lt;&gt;""),"Leave Orders blank",IF(AND(IFERROR(INDEX(tblMoveTypes[Reason?],MATCH($C278,tblMoveTypes[Movement],0)),"?")="Yes",$J278=""),"Reason needed",IF($A278&lt;_xlfn.MINIFS(tblShipment[Arrival Date],tblShipment[Shipment No],$B278),"Date before arrival",IF(AND($E278&lt;&gt;"",COUNTIFS(tblShipment[Shipment No],$B278,tblShipment[Item Name],$E278)=0),"Item not in this shipment","OK")))))))))))))))))</f>
        <v>OK</v>
      </c>
    </row>
    <row r="279" customFormat="false" ht="15" hidden="false" customHeight="false" outlineLevel="0" collapsed="false">
      <c r="A279" s="32" t="n">
        <v>46245</v>
      </c>
      <c r="B279" s="31" t="s">
        <v>165</v>
      </c>
      <c r="C279" s="31" t="s">
        <v>98</v>
      </c>
      <c r="D279" s="34" t="str">
        <f aca="false">IF($C279="","",IFERROR(IF(IFERROR(INDEX(tblMoveTypes[In / Out],MATCH($C279,tblMoveTypes[Movement],0)),"?")="IN","IN   ",IF(IFERROR(INDEX(tblMoveTypes[In / Out],MATCH($C279,tblMoveTypes[Movement],0)),"?")="OUT","OUT   ","--   "))&amp;"fill: "&amp;IF(IFERROR(INDEX(tblMoveTypes[Item?],MATCH($C279,tblMoveTypes[Movement],0)),"?")="Yes","Item  ","")&amp;IF(AND(IFERROR(INDEX(tblMoveTypes[Qty?],MATCH($C279,tblMoveTypes[Movement],0)),"?")="Yes",IFERROR(INDEX(tblMoveTypes[In / Out],MATCH($C279,tblMoveTypes[Movement],0)),"?")="IN"),"In  ","")&amp;IF(AND(IFERROR(INDEX(tblMoveTypes[Qty?],MATCH($C279,tblMoveTypes[Movement],0)),"?")="Yes",IFERROR(INDEX(tblMoveTypes[In / Out],MATCH($C279,tblMoveTypes[Movement],0)),"?")="OUT"),"Out  ","")&amp;IF(IFERROR(INDEX(tblMoveTypes[Orders?],MATCH($C279,tblMoveTypes[Movement],0)),"?")="Yes","Orders  ","")&amp;IF(IFERROR(INDEX(tblMoveTypes[Courier?],MATCH($C279,tblMoveTypes[Movement],0)),"?")="Yes","Courier  ","")&amp;IF(IFERROR(INDEX(tblMoveTypes[Reason?],MATCH($C279,tblMoveTypes[Movement],0)),"?")="Yes","Reason",""),"unknown movement"))</f>
        <v>OUT   fill: Item  Out  Courier  </v>
      </c>
      <c r="E279" s="31" t="s">
        <v>137</v>
      </c>
      <c r="F279" s="33"/>
      <c r="G279" s="33" t="n">
        <v>20</v>
      </c>
      <c r="H279" s="33"/>
      <c r="I279" s="31" t="s">
        <v>76</v>
      </c>
      <c r="J279" s="31"/>
      <c r="K279" s="31"/>
      <c r="L279" s="31"/>
      <c r="M279" s="34" t="str">
        <f aca="false">IF($E279="","",IFERROR(INDEX(tblItems[Item Code],MATCH($E279,tblItems[Item Name],0)),"?"))</f>
        <v>EG-FG-PER-01-02-01-01</v>
      </c>
      <c r="N279" s="34" t="str">
        <f aca="false">IF($B279="","",IFERROR(INDEX(tblShipment[Market],MATCH($B279,tblShipment[Shipment No],0)),"?"))</f>
        <v>Qatar</v>
      </c>
      <c r="O279" s="35" t="n">
        <f aca="false">N($F279)+N($G279)</f>
        <v>20</v>
      </c>
      <c r="P279" s="34" t="str">
        <f aca="false">IF($A279="","",IF($L279="Yes","VOID",IF(COUNTIFS(tblMoveTypes[Movement],$C279)=0,"Unknown movement",IF(COUNTIF(tblShipment[Shipment No],$B279)=0,"Unknown shipment",IF(AND(IFERROR(INDEX(tblMoveTypes[Item?],MATCH($C279,tblMoveTypes[Movement],0)),"?")="Yes",$E279=""),"Item needed",IF(AND(IFERROR(INDEX(tblMoveTypes[Item?],MATCH($C279,tblMoveTypes[Movement],0)),"?")="No",$E279&lt;&gt;""),"Leave Item blank",IF(AND(IFERROR(INDEX(tblMoveTypes[In / Out],MATCH($C279,tblMoveTypes[Movement],0)),"?")="IN",$G279&lt;&gt;""),"Use the In column, not Out",IF(AND(IFERROR(INDEX(tblMoveTypes[In / Out],MATCH($C279,tblMoveTypes[Movement],0)),"?")="OUT",$F279&lt;&gt;""),"Use the Out column, not In",IF(AND(IFERROR(INDEX(tblMoveTypes[Qty?],MATCH($C279,tblMoveTypes[Movement],0)),"?")="Yes",N($F279)+N($G279)&lt;=0),"Qty needed",IF(AND(IFERROR(INDEX(tblMoveTypes[Qty?],MATCH($C279,tblMoveTypes[Movement],0)),"?")="No",N($F279)+N($G279)&gt;0),"Leave In and Out blank",IF(AND(IFERROR(INDEX(tblMoveTypes[Courier?],MATCH($C279,tblMoveTypes[Movement],0)),"?")="Yes",$I279=""),"Courier needed",IF(AND(IFERROR(INDEX(tblMoveTypes[Courier?],MATCH($C279,tblMoveTypes[Movement],0)),"?")="No",$I279&lt;&gt;""),"Leave Courier blank",IF(AND(IFERROR(INDEX(tblMoveTypes[Orders?],MATCH($C279,tblMoveTypes[Movement],0)),"?")="Yes",$H279=""),"Orders needed",IF(AND(IFERROR(INDEX(tblMoveTypes[Orders?],MATCH($C279,tblMoveTypes[Movement],0)),"?")="No",$H279&lt;&gt;""),"Leave Orders blank",IF(AND(IFERROR(INDEX(tblMoveTypes[Reason?],MATCH($C279,tblMoveTypes[Movement],0)),"?")="Yes",$J279=""),"Reason needed",IF($A279&lt;_xlfn.MINIFS(tblShipment[Arrival Date],tblShipment[Shipment No],$B279),"Date before arrival",IF(AND($E279&lt;&gt;"",COUNTIFS(tblShipment[Shipment No],$B279,tblShipment[Item Name],$E279)=0),"Item not in this shipment","OK")))))))))))))))))</f>
        <v>OK</v>
      </c>
    </row>
    <row r="280" customFormat="false" ht="15" hidden="false" customHeight="false" outlineLevel="0" collapsed="false">
      <c r="A280" s="32" t="n">
        <v>46245</v>
      </c>
      <c r="B280" s="31" t="s">
        <v>165</v>
      </c>
      <c r="C280" s="31" t="s">
        <v>98</v>
      </c>
      <c r="D280" s="34" t="str">
        <f aca="false">IF($C280="","",IFERROR(IF(IFERROR(INDEX(tblMoveTypes[In / Out],MATCH($C280,tblMoveTypes[Movement],0)),"?")="IN","IN   ",IF(IFERROR(INDEX(tblMoveTypes[In / Out],MATCH($C280,tblMoveTypes[Movement],0)),"?")="OUT","OUT   ","--   "))&amp;"fill: "&amp;IF(IFERROR(INDEX(tblMoveTypes[Item?],MATCH($C280,tblMoveTypes[Movement],0)),"?")="Yes","Item  ","")&amp;IF(AND(IFERROR(INDEX(tblMoveTypes[Qty?],MATCH($C280,tblMoveTypes[Movement],0)),"?")="Yes",IFERROR(INDEX(tblMoveTypes[In / Out],MATCH($C280,tblMoveTypes[Movement],0)),"?")="IN"),"In  ","")&amp;IF(AND(IFERROR(INDEX(tblMoveTypes[Qty?],MATCH($C280,tblMoveTypes[Movement],0)),"?")="Yes",IFERROR(INDEX(tblMoveTypes[In / Out],MATCH($C280,tblMoveTypes[Movement],0)),"?")="OUT"),"Out  ","")&amp;IF(IFERROR(INDEX(tblMoveTypes[Orders?],MATCH($C280,tblMoveTypes[Movement],0)),"?")="Yes","Orders  ","")&amp;IF(IFERROR(INDEX(tblMoveTypes[Courier?],MATCH($C280,tblMoveTypes[Movement],0)),"?")="Yes","Courier  ","")&amp;IF(IFERROR(INDEX(tblMoveTypes[Reason?],MATCH($C280,tblMoveTypes[Movement],0)),"?")="Yes","Reason",""),"unknown movement"))</f>
        <v>OUT   fill: Item  Out  Courier  </v>
      </c>
      <c r="E280" s="31" t="s">
        <v>72</v>
      </c>
      <c r="F280" s="33"/>
      <c r="G280" s="33" t="n">
        <v>88</v>
      </c>
      <c r="H280" s="33"/>
      <c r="I280" s="31" t="s">
        <v>76</v>
      </c>
      <c r="J280" s="31"/>
      <c r="K280" s="31"/>
      <c r="L280" s="31"/>
      <c r="M280" s="34" t="str">
        <f aca="false">IF($E280="","",IFERROR(INDEX(tblItems[Item Code],MATCH($E280,tblItems[Item Name],0)),"?"))</f>
        <v>EG-FG-MNG-05-02-01-01</v>
      </c>
      <c r="N280" s="34" t="str">
        <f aca="false">IF($B280="","",IFERROR(INDEX(tblShipment[Market],MATCH($B280,tblShipment[Shipment No],0)),"?"))</f>
        <v>Qatar</v>
      </c>
      <c r="O280" s="35" t="n">
        <f aca="false">N($F280)+N($G280)</f>
        <v>88</v>
      </c>
      <c r="P280" s="34" t="str">
        <f aca="false">IF($A280="","",IF($L280="Yes","VOID",IF(COUNTIFS(tblMoveTypes[Movement],$C280)=0,"Unknown movement",IF(COUNTIF(tblShipment[Shipment No],$B280)=0,"Unknown shipment",IF(AND(IFERROR(INDEX(tblMoveTypes[Item?],MATCH($C280,tblMoveTypes[Movement],0)),"?")="Yes",$E280=""),"Item needed",IF(AND(IFERROR(INDEX(tblMoveTypes[Item?],MATCH($C280,tblMoveTypes[Movement],0)),"?")="No",$E280&lt;&gt;""),"Leave Item blank",IF(AND(IFERROR(INDEX(tblMoveTypes[In / Out],MATCH($C280,tblMoveTypes[Movement],0)),"?")="IN",$G280&lt;&gt;""),"Use the In column, not Out",IF(AND(IFERROR(INDEX(tblMoveTypes[In / Out],MATCH($C280,tblMoveTypes[Movement],0)),"?")="OUT",$F280&lt;&gt;""),"Use the Out column, not In",IF(AND(IFERROR(INDEX(tblMoveTypes[Qty?],MATCH($C280,tblMoveTypes[Movement],0)),"?")="Yes",N($F280)+N($G280)&lt;=0),"Qty needed",IF(AND(IFERROR(INDEX(tblMoveTypes[Qty?],MATCH($C280,tblMoveTypes[Movement],0)),"?")="No",N($F280)+N($G280)&gt;0),"Leave In and Out blank",IF(AND(IFERROR(INDEX(tblMoveTypes[Courier?],MATCH($C280,tblMoveTypes[Movement],0)),"?")="Yes",$I280=""),"Courier needed",IF(AND(IFERROR(INDEX(tblMoveTypes[Courier?],MATCH($C280,tblMoveTypes[Movement],0)),"?")="No",$I280&lt;&gt;""),"Leave Courier blank",IF(AND(IFERROR(INDEX(tblMoveTypes[Orders?],MATCH($C280,tblMoveTypes[Movement],0)),"?")="Yes",$H280=""),"Orders needed",IF(AND(IFERROR(INDEX(tblMoveTypes[Orders?],MATCH($C280,tblMoveTypes[Movement],0)),"?")="No",$H280&lt;&gt;""),"Leave Orders blank",IF(AND(IFERROR(INDEX(tblMoveTypes[Reason?],MATCH($C280,tblMoveTypes[Movement],0)),"?")="Yes",$J280=""),"Reason needed",IF($A280&lt;_xlfn.MINIFS(tblShipment[Arrival Date],tblShipment[Shipment No],$B280),"Date before arrival",IF(AND($E280&lt;&gt;"",COUNTIFS(tblShipment[Shipment No],$B280,tblShipment[Item Name],$E280)=0),"Item not in this shipment","OK")))))))))))))))))</f>
        <v>OK</v>
      </c>
    </row>
    <row r="281" customFormat="false" ht="15" hidden="false" customHeight="false" outlineLevel="0" collapsed="false">
      <c r="A281" s="32" t="n">
        <v>46245</v>
      </c>
      <c r="B281" s="31" t="s">
        <v>165</v>
      </c>
      <c r="C281" s="31" t="s">
        <v>98</v>
      </c>
      <c r="D281" s="34" t="str">
        <f aca="false">IF($C281="","",IFERROR(IF(IFERROR(INDEX(tblMoveTypes[In / Out],MATCH($C281,tblMoveTypes[Movement],0)),"?")="IN","IN   ",IF(IFERROR(INDEX(tblMoveTypes[In / Out],MATCH($C281,tblMoveTypes[Movement],0)),"?")="OUT","OUT   ","--   "))&amp;"fill: "&amp;IF(IFERROR(INDEX(tblMoveTypes[Item?],MATCH($C281,tblMoveTypes[Movement],0)),"?")="Yes","Item  ","")&amp;IF(AND(IFERROR(INDEX(tblMoveTypes[Qty?],MATCH($C281,tblMoveTypes[Movement],0)),"?")="Yes",IFERROR(INDEX(tblMoveTypes[In / Out],MATCH($C281,tblMoveTypes[Movement],0)),"?")="IN"),"In  ","")&amp;IF(AND(IFERROR(INDEX(tblMoveTypes[Qty?],MATCH($C281,tblMoveTypes[Movement],0)),"?")="Yes",IFERROR(INDEX(tblMoveTypes[In / Out],MATCH($C281,tblMoveTypes[Movement],0)),"?")="OUT"),"Out  ","")&amp;IF(IFERROR(INDEX(tblMoveTypes[Orders?],MATCH($C281,tblMoveTypes[Movement],0)),"?")="Yes","Orders  ","")&amp;IF(IFERROR(INDEX(tblMoveTypes[Courier?],MATCH($C281,tblMoveTypes[Movement],0)),"?")="Yes","Courier  ","")&amp;IF(IFERROR(INDEX(tblMoveTypes[Reason?],MATCH($C281,tblMoveTypes[Movement],0)),"?")="Yes","Reason",""),"unknown movement"))</f>
        <v>OUT   fill: Item  Out  Courier  </v>
      </c>
      <c r="E281" s="31" t="s">
        <v>122</v>
      </c>
      <c r="F281" s="33"/>
      <c r="G281" s="33" t="n">
        <v>25</v>
      </c>
      <c r="H281" s="33"/>
      <c r="I281" s="31" t="s">
        <v>76</v>
      </c>
      <c r="J281" s="31"/>
      <c r="K281" s="31"/>
      <c r="L281" s="31"/>
      <c r="M281" s="34" t="str">
        <f aca="false">IF($E281="","",IFERROR(INDEX(tblItems[Item Code],MATCH($E281,tblItems[Item Name],0)),"?"))</f>
        <v>EG-FG-GRP-01-02-01-01</v>
      </c>
      <c r="N281" s="34" t="str">
        <f aca="false">IF($B281="","",IFERROR(INDEX(tblShipment[Market],MATCH($B281,tblShipment[Shipment No],0)),"?"))</f>
        <v>Qatar</v>
      </c>
      <c r="O281" s="35" t="n">
        <f aca="false">N($F281)+N($G281)</f>
        <v>25</v>
      </c>
      <c r="P281" s="34" t="str">
        <f aca="false">IF($A281="","",IF($L281="Yes","VOID",IF(COUNTIFS(tblMoveTypes[Movement],$C281)=0,"Unknown movement",IF(COUNTIF(tblShipment[Shipment No],$B281)=0,"Unknown shipment",IF(AND(IFERROR(INDEX(tblMoveTypes[Item?],MATCH($C281,tblMoveTypes[Movement],0)),"?")="Yes",$E281=""),"Item needed",IF(AND(IFERROR(INDEX(tblMoveTypes[Item?],MATCH($C281,tblMoveTypes[Movement],0)),"?")="No",$E281&lt;&gt;""),"Leave Item blank",IF(AND(IFERROR(INDEX(tblMoveTypes[In / Out],MATCH($C281,tblMoveTypes[Movement],0)),"?")="IN",$G281&lt;&gt;""),"Use the In column, not Out",IF(AND(IFERROR(INDEX(tblMoveTypes[In / Out],MATCH($C281,tblMoveTypes[Movement],0)),"?")="OUT",$F281&lt;&gt;""),"Use the Out column, not In",IF(AND(IFERROR(INDEX(tblMoveTypes[Qty?],MATCH($C281,tblMoveTypes[Movement],0)),"?")="Yes",N($F281)+N($G281)&lt;=0),"Qty needed",IF(AND(IFERROR(INDEX(tblMoveTypes[Qty?],MATCH($C281,tblMoveTypes[Movement],0)),"?")="No",N($F281)+N($G281)&gt;0),"Leave In and Out blank",IF(AND(IFERROR(INDEX(tblMoveTypes[Courier?],MATCH($C281,tblMoveTypes[Movement],0)),"?")="Yes",$I281=""),"Courier needed",IF(AND(IFERROR(INDEX(tblMoveTypes[Courier?],MATCH($C281,tblMoveTypes[Movement],0)),"?")="No",$I281&lt;&gt;""),"Leave Courier blank",IF(AND(IFERROR(INDEX(tblMoveTypes[Orders?],MATCH($C281,tblMoveTypes[Movement],0)),"?")="Yes",$H281=""),"Orders needed",IF(AND(IFERROR(INDEX(tblMoveTypes[Orders?],MATCH($C281,tblMoveTypes[Movement],0)),"?")="No",$H281&lt;&gt;""),"Leave Orders blank",IF(AND(IFERROR(INDEX(tblMoveTypes[Reason?],MATCH($C281,tblMoveTypes[Movement],0)),"?")="Yes",$J281=""),"Reason needed",IF($A281&lt;_xlfn.MINIFS(tblShipment[Arrival Date],tblShipment[Shipment No],$B281),"Date before arrival",IF(AND($E281&lt;&gt;"",COUNTIFS(tblShipment[Shipment No],$B281,tblShipment[Item Name],$E281)=0),"Item not in this shipment","OK")))))))))))))))))</f>
        <v>OK</v>
      </c>
    </row>
    <row r="282" customFormat="false" ht="15" hidden="false" customHeight="false" outlineLevel="0" collapsed="false">
      <c r="A282" s="32" t="n">
        <v>46245</v>
      </c>
      <c r="B282" s="31" t="s">
        <v>165</v>
      </c>
      <c r="C282" s="31" t="s">
        <v>110</v>
      </c>
      <c r="D282" s="34" t="str">
        <f aca="false">IF($C282="","",IFERROR(IF(IFERROR(INDEX(tblMoveTypes[In / Out],MATCH($C282,tblMoveTypes[Movement],0)),"?")="IN","IN   ",IF(IFERROR(INDEX(tblMoveTypes[In / Out],MATCH($C282,tblMoveTypes[Movement],0)),"?")="OUT","OUT   ","--   "))&amp;"fill: "&amp;IF(IFERROR(INDEX(tblMoveTypes[Item?],MATCH($C282,tblMoveTypes[Movement],0)),"?")="Yes","Item  ","")&amp;IF(AND(IFERROR(INDEX(tblMoveTypes[Qty?],MATCH($C282,tblMoveTypes[Movement],0)),"?")="Yes",IFERROR(INDEX(tblMoveTypes[In / Out],MATCH($C282,tblMoveTypes[Movement],0)),"?")="IN"),"In  ","")&amp;IF(AND(IFERROR(INDEX(tblMoveTypes[Qty?],MATCH($C282,tblMoveTypes[Movement],0)),"?")="Yes",IFERROR(INDEX(tblMoveTypes[In / Out],MATCH($C282,tblMoveTypes[Movement],0)),"?")="OUT"),"Out  ","")&amp;IF(IFERROR(INDEX(tblMoveTypes[Orders?],MATCH($C282,tblMoveTypes[Movement],0)),"?")="Yes","Orders  ","")&amp;IF(IFERROR(INDEX(tblMoveTypes[Courier?],MATCH($C282,tblMoveTypes[Movement],0)),"?")="Yes","Courier  ","")&amp;IF(IFERROR(INDEX(tblMoveTypes[Reason?],MATCH($C282,tblMoveTypes[Movement],0)),"?")="Yes","Reason",""),"unknown movement"))</f>
        <v>--   fill: Orders  Courier  </v>
      </c>
      <c r="E282" s="31"/>
      <c r="F282" s="33"/>
      <c r="G282" s="33"/>
      <c r="H282" s="33" t="n">
        <v>164</v>
      </c>
      <c r="I282" s="31" t="s">
        <v>76</v>
      </c>
      <c r="J282" s="31"/>
      <c r="K282" s="31"/>
      <c r="L282" s="31"/>
      <c r="M282" s="34" t="str">
        <f aca="false">IF($E282="","",IFERROR(INDEX(tblItems[Item Code],MATCH($E282,tblItems[Item Name],0)),"?"))</f>
        <v/>
      </c>
      <c r="N282" s="34" t="str">
        <f aca="false">IF($B282="","",IFERROR(INDEX(tblShipment[Market],MATCH($B282,tblShipment[Shipment No],0)),"?"))</f>
        <v>Qatar</v>
      </c>
      <c r="O282" s="35" t="n">
        <f aca="false">N($F282)+N($G282)</f>
        <v>0</v>
      </c>
      <c r="P282" s="34" t="str">
        <f aca="false">IF($A282="","",IF($L282="Yes","VOID",IF(COUNTIFS(tblMoveTypes[Movement],$C282)=0,"Unknown movement",IF(COUNTIF(tblShipment[Shipment No],$B282)=0,"Unknown shipment",IF(AND(IFERROR(INDEX(tblMoveTypes[Item?],MATCH($C282,tblMoveTypes[Movement],0)),"?")="Yes",$E282=""),"Item needed",IF(AND(IFERROR(INDEX(tblMoveTypes[Item?],MATCH($C282,tblMoveTypes[Movement],0)),"?")="No",$E282&lt;&gt;""),"Leave Item blank",IF(AND(IFERROR(INDEX(tblMoveTypes[In / Out],MATCH($C282,tblMoveTypes[Movement],0)),"?")="IN",$G282&lt;&gt;""),"Use the In column, not Out",IF(AND(IFERROR(INDEX(tblMoveTypes[In / Out],MATCH($C282,tblMoveTypes[Movement],0)),"?")="OUT",$F282&lt;&gt;""),"Use the Out column, not In",IF(AND(IFERROR(INDEX(tblMoveTypes[Qty?],MATCH($C282,tblMoveTypes[Movement],0)),"?")="Yes",N($F282)+N($G282)&lt;=0),"Qty needed",IF(AND(IFERROR(INDEX(tblMoveTypes[Qty?],MATCH($C282,tblMoveTypes[Movement],0)),"?")="No",N($F282)+N($G282)&gt;0),"Leave In and Out blank",IF(AND(IFERROR(INDEX(tblMoveTypes[Courier?],MATCH($C282,tblMoveTypes[Movement],0)),"?")="Yes",$I282=""),"Courier needed",IF(AND(IFERROR(INDEX(tblMoveTypes[Courier?],MATCH($C282,tblMoveTypes[Movement],0)),"?")="No",$I282&lt;&gt;""),"Leave Courier blank",IF(AND(IFERROR(INDEX(tblMoveTypes[Orders?],MATCH($C282,tblMoveTypes[Movement],0)),"?")="Yes",$H282=""),"Orders needed",IF(AND(IFERROR(INDEX(tblMoveTypes[Orders?],MATCH($C282,tblMoveTypes[Movement],0)),"?")="No",$H282&lt;&gt;""),"Leave Orders blank",IF(AND(IFERROR(INDEX(tblMoveTypes[Reason?],MATCH($C282,tblMoveTypes[Movement],0)),"?")="Yes",$J282=""),"Reason needed",IF($A282&lt;_xlfn.MINIFS(tblShipment[Arrival Date],tblShipment[Shipment No],$B282),"Date before arrival",IF(AND($E282&lt;&gt;"",COUNTIFS(tblShipment[Shipment No],$B282,tblShipment[Item Name],$E282)=0),"Item not in this shipment","OK")))))))))))))))))</f>
        <v>OK</v>
      </c>
    </row>
    <row r="283" customFormat="false" ht="15" hidden="false" customHeight="false" outlineLevel="0" collapsed="false">
      <c r="A283" s="32" t="n">
        <v>46245</v>
      </c>
      <c r="B283" s="31" t="s">
        <v>165</v>
      </c>
      <c r="C283" s="31" t="s">
        <v>115</v>
      </c>
      <c r="D283" s="34" t="str">
        <f aca="false">IF($C283="","",IFERROR(IF(IFERROR(INDEX(tblMoveTypes[In / Out],MATCH($C283,tblMoveTypes[Movement],0)),"?")="IN","IN   ",IF(IFERROR(INDEX(tblMoveTypes[In / Out],MATCH($C283,tblMoveTypes[Movement],0)),"?")="OUT","OUT   ","--   "))&amp;"fill: "&amp;IF(IFERROR(INDEX(tblMoveTypes[Item?],MATCH($C283,tblMoveTypes[Movement],0)),"?")="Yes","Item  ","")&amp;IF(AND(IFERROR(INDEX(tblMoveTypes[Qty?],MATCH($C283,tblMoveTypes[Movement],0)),"?")="Yes",IFERROR(INDEX(tblMoveTypes[In / Out],MATCH($C283,tblMoveTypes[Movement],0)),"?")="IN"),"In  ","")&amp;IF(AND(IFERROR(INDEX(tblMoveTypes[Qty?],MATCH($C283,tblMoveTypes[Movement],0)),"?")="Yes",IFERROR(INDEX(tblMoveTypes[In / Out],MATCH($C283,tblMoveTypes[Movement],0)),"?")="OUT"),"Out  ","")&amp;IF(IFERROR(INDEX(tblMoveTypes[Orders?],MATCH($C283,tblMoveTypes[Movement],0)),"?")="Yes","Orders  ","")&amp;IF(IFERROR(INDEX(tblMoveTypes[Courier?],MATCH($C283,tblMoveTypes[Movement],0)),"?")="Yes","Courier  ","")&amp;IF(IFERROR(INDEX(tblMoveTypes[Reason?],MATCH($C283,tblMoveTypes[Movement],0)),"?")="Yes","Reason",""),"unknown movement"))</f>
        <v>OUT   fill: Out  Orders  Courier  </v>
      </c>
      <c r="E283" s="31"/>
      <c r="F283" s="33"/>
      <c r="G283" s="33" t="n">
        <v>264</v>
      </c>
      <c r="H283" s="33" t="n">
        <v>106</v>
      </c>
      <c r="I283" s="31" t="s">
        <v>76</v>
      </c>
      <c r="J283" s="31"/>
      <c r="K283" s="31"/>
      <c r="L283" s="31"/>
      <c r="M283" s="34" t="str">
        <f aca="false">IF($E283="","",IFERROR(INDEX(tblItems[Item Code],MATCH($E283,tblItems[Item Name],0)),"?"))</f>
        <v/>
      </c>
      <c r="N283" s="34" t="str">
        <f aca="false">IF($B283="","",IFERROR(INDEX(tblShipment[Market],MATCH($B283,tblShipment[Shipment No],0)),"?"))</f>
        <v>Qatar</v>
      </c>
      <c r="O283" s="35" t="n">
        <f aca="false">N($F283)+N($G283)</f>
        <v>264</v>
      </c>
      <c r="P283" s="34" t="str">
        <f aca="false">IF($A283="","",IF($L283="Yes","VOID",IF(COUNTIFS(tblMoveTypes[Movement],$C283)=0,"Unknown movement",IF(COUNTIF(tblShipment[Shipment No],$B283)=0,"Unknown shipment",IF(AND(IFERROR(INDEX(tblMoveTypes[Item?],MATCH($C283,tblMoveTypes[Movement],0)),"?")="Yes",$E283=""),"Item needed",IF(AND(IFERROR(INDEX(tblMoveTypes[Item?],MATCH($C283,tblMoveTypes[Movement],0)),"?")="No",$E283&lt;&gt;""),"Leave Item blank",IF(AND(IFERROR(INDEX(tblMoveTypes[In / Out],MATCH($C283,tblMoveTypes[Movement],0)),"?")="IN",$G283&lt;&gt;""),"Use the In column, not Out",IF(AND(IFERROR(INDEX(tblMoveTypes[In / Out],MATCH($C283,tblMoveTypes[Movement],0)),"?")="OUT",$F283&lt;&gt;""),"Use the Out column, not In",IF(AND(IFERROR(INDEX(tblMoveTypes[Qty?],MATCH($C283,tblMoveTypes[Movement],0)),"?")="Yes",N($F283)+N($G283)&lt;=0),"Qty needed",IF(AND(IFERROR(INDEX(tblMoveTypes[Qty?],MATCH($C283,tblMoveTypes[Movement],0)),"?")="No",N($F283)+N($G283)&gt;0),"Leave In and Out blank",IF(AND(IFERROR(INDEX(tblMoveTypes[Courier?],MATCH($C283,tblMoveTypes[Movement],0)),"?")="Yes",$I283=""),"Courier needed",IF(AND(IFERROR(INDEX(tblMoveTypes[Courier?],MATCH($C283,tblMoveTypes[Movement],0)),"?")="No",$I283&lt;&gt;""),"Leave Courier blank",IF(AND(IFERROR(INDEX(tblMoveTypes[Orders?],MATCH($C283,tblMoveTypes[Movement],0)),"?")="Yes",$H283=""),"Orders needed",IF(AND(IFERROR(INDEX(tblMoveTypes[Orders?],MATCH($C283,tblMoveTypes[Movement],0)),"?")="No",$H283&lt;&gt;""),"Leave Orders blank",IF(AND(IFERROR(INDEX(tblMoveTypes[Reason?],MATCH($C283,tblMoveTypes[Movement],0)),"?")="Yes",$J283=""),"Reason needed",IF($A283&lt;_xlfn.MINIFS(tblShipment[Arrival Date],tblShipment[Shipment No],$B283),"Date before arrival",IF(AND($E283&lt;&gt;"",COUNTIFS(tblShipment[Shipment No],$B283,tblShipment[Item Name],$E283)=0),"Item not in this shipment","OK")))))))))))))))))</f>
        <v>OK</v>
      </c>
    </row>
    <row r="284" customFormat="false" ht="15" hidden="false" customHeight="false" outlineLevel="0" collapsed="false">
      <c r="A284" s="32" t="n">
        <v>46246</v>
      </c>
      <c r="B284" s="31" t="s">
        <v>164</v>
      </c>
      <c r="C284" s="31" t="s">
        <v>98</v>
      </c>
      <c r="D284" s="34" t="str">
        <f aca="false">IF($C284="","",IFERROR(IF(IFERROR(INDEX(tblMoveTypes[In / Out],MATCH($C284,tblMoveTypes[Movement],0)),"?")="IN","IN   ",IF(IFERROR(INDEX(tblMoveTypes[In / Out],MATCH($C284,tblMoveTypes[Movement],0)),"?")="OUT","OUT   ","--   "))&amp;"fill: "&amp;IF(IFERROR(INDEX(tblMoveTypes[Item?],MATCH($C284,tblMoveTypes[Movement],0)),"?")="Yes","Item  ","")&amp;IF(AND(IFERROR(INDEX(tblMoveTypes[Qty?],MATCH($C284,tblMoveTypes[Movement],0)),"?")="Yes",IFERROR(INDEX(tblMoveTypes[In / Out],MATCH($C284,tblMoveTypes[Movement],0)),"?")="IN"),"In  ","")&amp;IF(AND(IFERROR(INDEX(tblMoveTypes[Qty?],MATCH($C284,tblMoveTypes[Movement],0)),"?")="Yes",IFERROR(INDEX(tblMoveTypes[In / Out],MATCH($C284,tblMoveTypes[Movement],0)),"?")="OUT"),"Out  ","")&amp;IF(IFERROR(INDEX(tblMoveTypes[Orders?],MATCH($C284,tblMoveTypes[Movement],0)),"?")="Yes","Orders  ","")&amp;IF(IFERROR(INDEX(tblMoveTypes[Courier?],MATCH($C284,tblMoveTypes[Movement],0)),"?")="Yes","Courier  ","")&amp;IF(IFERROR(INDEX(tblMoveTypes[Reason?],MATCH($C284,tblMoveTypes[Movement],0)),"?")="Yes","Reason",""),"unknown movement"))</f>
        <v>OUT   fill: Item  Out  Courier  </v>
      </c>
      <c r="E284" s="31" t="s">
        <v>127</v>
      </c>
      <c r="F284" s="33"/>
      <c r="G284" s="33" t="n">
        <v>8</v>
      </c>
      <c r="H284" s="33"/>
      <c r="I284" s="31" t="s">
        <v>76</v>
      </c>
      <c r="J284" s="31"/>
      <c r="K284" s="31"/>
      <c r="L284" s="31"/>
      <c r="M284" s="34" t="str">
        <f aca="false">IF($E284="","",IFERROR(INDEX(tblItems[Item Code],MATCH($E284,tblItems[Item Name],0)),"?"))</f>
        <v>EG-FG-GRP-03-02-01-01</v>
      </c>
      <c r="N284" s="34" t="str">
        <f aca="false">IF($B284="","",IFERROR(INDEX(tblShipment[Market],MATCH($B284,tblShipment[Shipment No],0)),"?"))</f>
        <v>Qatar</v>
      </c>
      <c r="O284" s="35" t="n">
        <f aca="false">N($F284)+N($G284)</f>
        <v>8</v>
      </c>
      <c r="P284" s="34" t="str">
        <f aca="false">IF($A284="","",IF($L284="Yes","VOID",IF(COUNTIFS(tblMoveTypes[Movement],$C284)=0,"Unknown movement",IF(COUNTIF(tblShipment[Shipment No],$B284)=0,"Unknown shipment",IF(AND(IFERROR(INDEX(tblMoveTypes[Item?],MATCH($C284,tblMoveTypes[Movement],0)),"?")="Yes",$E284=""),"Item needed",IF(AND(IFERROR(INDEX(tblMoveTypes[Item?],MATCH($C284,tblMoveTypes[Movement],0)),"?")="No",$E284&lt;&gt;""),"Leave Item blank",IF(AND(IFERROR(INDEX(tblMoveTypes[In / Out],MATCH($C284,tblMoveTypes[Movement],0)),"?")="IN",$G284&lt;&gt;""),"Use the In column, not Out",IF(AND(IFERROR(INDEX(tblMoveTypes[In / Out],MATCH($C284,tblMoveTypes[Movement],0)),"?")="OUT",$F284&lt;&gt;""),"Use the Out column, not In",IF(AND(IFERROR(INDEX(tblMoveTypes[Qty?],MATCH($C284,tblMoveTypes[Movement],0)),"?")="Yes",N($F284)+N($G284)&lt;=0),"Qty needed",IF(AND(IFERROR(INDEX(tblMoveTypes[Qty?],MATCH($C284,tblMoveTypes[Movement],0)),"?")="No",N($F284)+N($G284)&gt;0),"Leave In and Out blank",IF(AND(IFERROR(INDEX(tblMoveTypes[Courier?],MATCH($C284,tblMoveTypes[Movement],0)),"?")="Yes",$I284=""),"Courier needed",IF(AND(IFERROR(INDEX(tblMoveTypes[Courier?],MATCH($C284,tblMoveTypes[Movement],0)),"?")="No",$I284&lt;&gt;""),"Leave Courier blank",IF(AND(IFERROR(INDEX(tblMoveTypes[Orders?],MATCH($C284,tblMoveTypes[Movement],0)),"?")="Yes",$H284=""),"Orders needed",IF(AND(IFERROR(INDEX(tblMoveTypes[Orders?],MATCH($C284,tblMoveTypes[Movement],0)),"?")="No",$H284&lt;&gt;""),"Leave Orders blank",IF(AND(IFERROR(INDEX(tblMoveTypes[Reason?],MATCH($C284,tblMoveTypes[Movement],0)),"?")="Yes",$J284=""),"Reason needed",IF($A284&lt;_xlfn.MINIFS(tblShipment[Arrival Date],tblShipment[Shipment No],$B284),"Date before arrival",IF(AND($E284&lt;&gt;"",COUNTIFS(tblShipment[Shipment No],$B284,tblShipment[Item Name],$E284)=0),"Item not in this shipment","OK")))))))))))))))))</f>
        <v>OK</v>
      </c>
    </row>
    <row r="285" customFormat="false" ht="15" hidden="false" customHeight="false" outlineLevel="0" collapsed="false">
      <c r="A285" s="32" t="n">
        <v>46246</v>
      </c>
      <c r="B285" s="31" t="s">
        <v>164</v>
      </c>
      <c r="C285" s="31" t="s">
        <v>110</v>
      </c>
      <c r="D285" s="34" t="str">
        <f aca="false">IF($C285="","",IFERROR(IF(IFERROR(INDEX(tblMoveTypes[In / Out],MATCH($C285,tblMoveTypes[Movement],0)),"?")="IN","IN   ",IF(IFERROR(INDEX(tblMoveTypes[In / Out],MATCH($C285,tblMoveTypes[Movement],0)),"?")="OUT","OUT   ","--   "))&amp;"fill: "&amp;IF(IFERROR(INDEX(tblMoveTypes[Item?],MATCH($C285,tblMoveTypes[Movement],0)),"?")="Yes","Item  ","")&amp;IF(AND(IFERROR(INDEX(tblMoveTypes[Qty?],MATCH($C285,tblMoveTypes[Movement],0)),"?")="Yes",IFERROR(INDEX(tblMoveTypes[In / Out],MATCH($C285,tblMoveTypes[Movement],0)),"?")="IN"),"In  ","")&amp;IF(AND(IFERROR(INDEX(tblMoveTypes[Qty?],MATCH($C285,tblMoveTypes[Movement],0)),"?")="Yes",IFERROR(INDEX(tblMoveTypes[In / Out],MATCH($C285,tblMoveTypes[Movement],0)),"?")="OUT"),"Out  ","")&amp;IF(IFERROR(INDEX(tblMoveTypes[Orders?],MATCH($C285,tblMoveTypes[Movement],0)),"?")="Yes","Orders  ","")&amp;IF(IFERROR(INDEX(tblMoveTypes[Courier?],MATCH($C285,tblMoveTypes[Movement],0)),"?")="Yes","Courier  ","")&amp;IF(IFERROR(INDEX(tblMoveTypes[Reason?],MATCH($C285,tblMoveTypes[Movement],0)),"?")="Yes","Reason",""),"unknown movement"))</f>
        <v>--   fill: Orders  Courier  </v>
      </c>
      <c r="E285" s="31"/>
      <c r="F285" s="33"/>
      <c r="G285" s="33"/>
      <c r="H285" s="33" t="n">
        <v>3</v>
      </c>
      <c r="I285" s="31" t="s">
        <v>76</v>
      </c>
      <c r="J285" s="31"/>
      <c r="K285" s="31"/>
      <c r="L285" s="31"/>
      <c r="M285" s="34" t="str">
        <f aca="false">IF($E285="","",IFERROR(INDEX(tblItems[Item Code],MATCH($E285,tblItems[Item Name],0)),"?"))</f>
        <v/>
      </c>
      <c r="N285" s="34" t="str">
        <f aca="false">IF($B285="","",IFERROR(INDEX(tblShipment[Market],MATCH($B285,tblShipment[Shipment No],0)),"?"))</f>
        <v>Qatar</v>
      </c>
      <c r="O285" s="35" t="n">
        <f aca="false">N($F285)+N($G285)</f>
        <v>0</v>
      </c>
      <c r="P285" s="34" t="str">
        <f aca="false">IF($A285="","",IF($L285="Yes","VOID",IF(COUNTIFS(tblMoveTypes[Movement],$C285)=0,"Unknown movement",IF(COUNTIF(tblShipment[Shipment No],$B285)=0,"Unknown shipment",IF(AND(IFERROR(INDEX(tblMoveTypes[Item?],MATCH($C285,tblMoveTypes[Movement],0)),"?")="Yes",$E285=""),"Item needed",IF(AND(IFERROR(INDEX(tblMoveTypes[Item?],MATCH($C285,tblMoveTypes[Movement],0)),"?")="No",$E285&lt;&gt;""),"Leave Item blank",IF(AND(IFERROR(INDEX(tblMoveTypes[In / Out],MATCH($C285,tblMoveTypes[Movement],0)),"?")="IN",$G285&lt;&gt;""),"Use the In column, not Out",IF(AND(IFERROR(INDEX(tblMoveTypes[In / Out],MATCH($C285,tblMoveTypes[Movement],0)),"?")="OUT",$F285&lt;&gt;""),"Use the Out column, not In",IF(AND(IFERROR(INDEX(tblMoveTypes[Qty?],MATCH($C285,tblMoveTypes[Movement],0)),"?")="Yes",N($F285)+N($G285)&lt;=0),"Qty needed",IF(AND(IFERROR(INDEX(tblMoveTypes[Qty?],MATCH($C285,tblMoveTypes[Movement],0)),"?")="No",N($F285)+N($G285)&gt;0),"Leave In and Out blank",IF(AND(IFERROR(INDEX(tblMoveTypes[Courier?],MATCH($C285,tblMoveTypes[Movement],0)),"?")="Yes",$I285=""),"Courier needed",IF(AND(IFERROR(INDEX(tblMoveTypes[Courier?],MATCH($C285,tblMoveTypes[Movement],0)),"?")="No",$I285&lt;&gt;""),"Leave Courier blank",IF(AND(IFERROR(INDEX(tblMoveTypes[Orders?],MATCH($C285,tblMoveTypes[Movement],0)),"?")="Yes",$H285=""),"Orders needed",IF(AND(IFERROR(INDEX(tblMoveTypes[Orders?],MATCH($C285,tblMoveTypes[Movement],0)),"?")="No",$H285&lt;&gt;""),"Leave Orders blank",IF(AND(IFERROR(INDEX(tblMoveTypes[Reason?],MATCH($C285,tblMoveTypes[Movement],0)),"?")="Yes",$J285=""),"Reason needed",IF($A285&lt;_xlfn.MINIFS(tblShipment[Arrival Date],tblShipment[Shipment No],$B285),"Date before arrival",IF(AND($E285&lt;&gt;"",COUNTIFS(tblShipment[Shipment No],$B285,tblShipment[Item Name],$E285)=0),"Item not in this shipment","OK")))))))))))))))))</f>
        <v>OK</v>
      </c>
    </row>
    <row r="286" customFormat="false" ht="15" hidden="false" customHeight="false" outlineLevel="0" collapsed="false">
      <c r="A286" s="32" t="n">
        <v>46246</v>
      </c>
      <c r="B286" s="31" t="s">
        <v>164</v>
      </c>
      <c r="C286" s="31" t="s">
        <v>115</v>
      </c>
      <c r="D286" s="34" t="str">
        <f aca="false">IF($C286="","",IFERROR(IF(IFERROR(INDEX(tblMoveTypes[In / Out],MATCH($C286,tblMoveTypes[Movement],0)),"?")="IN","IN   ",IF(IFERROR(INDEX(tblMoveTypes[In / Out],MATCH($C286,tblMoveTypes[Movement],0)),"?")="OUT","OUT   ","--   "))&amp;"fill: "&amp;IF(IFERROR(INDEX(tblMoveTypes[Item?],MATCH($C286,tblMoveTypes[Movement],0)),"?")="Yes","Item  ","")&amp;IF(AND(IFERROR(INDEX(tblMoveTypes[Qty?],MATCH($C286,tblMoveTypes[Movement],0)),"?")="Yes",IFERROR(INDEX(tblMoveTypes[In / Out],MATCH($C286,tblMoveTypes[Movement],0)),"?")="IN"),"In  ","")&amp;IF(AND(IFERROR(INDEX(tblMoveTypes[Qty?],MATCH($C286,tblMoveTypes[Movement],0)),"?")="Yes",IFERROR(INDEX(tblMoveTypes[In / Out],MATCH($C286,tblMoveTypes[Movement],0)),"?")="OUT"),"Out  ","")&amp;IF(IFERROR(INDEX(tblMoveTypes[Orders?],MATCH($C286,tblMoveTypes[Movement],0)),"?")="Yes","Orders  ","")&amp;IF(IFERROR(INDEX(tblMoveTypes[Courier?],MATCH($C286,tblMoveTypes[Movement],0)),"?")="Yes","Courier  ","")&amp;IF(IFERROR(INDEX(tblMoveTypes[Reason?],MATCH($C286,tblMoveTypes[Movement],0)),"?")="Yes","Reason",""),"unknown movement"))</f>
        <v>OUT   fill: Out  Orders  Courier  </v>
      </c>
      <c r="E286" s="31"/>
      <c r="F286" s="33"/>
      <c r="G286" s="33" t="n">
        <v>8</v>
      </c>
      <c r="H286" s="33" t="n">
        <v>3</v>
      </c>
      <c r="I286" s="31" t="s">
        <v>76</v>
      </c>
      <c r="J286" s="31"/>
      <c r="K286" s="31"/>
      <c r="L286" s="31"/>
      <c r="M286" s="34" t="str">
        <f aca="false">IF($E286="","",IFERROR(INDEX(tblItems[Item Code],MATCH($E286,tblItems[Item Name],0)),"?"))</f>
        <v/>
      </c>
      <c r="N286" s="34" t="str">
        <f aca="false">IF($B286="","",IFERROR(INDEX(tblShipment[Market],MATCH($B286,tblShipment[Shipment No],0)),"?"))</f>
        <v>Qatar</v>
      </c>
      <c r="O286" s="35" t="n">
        <f aca="false">N($F286)+N($G286)</f>
        <v>8</v>
      </c>
      <c r="P286" s="34" t="str">
        <f aca="false">IF($A286="","",IF($L286="Yes","VOID",IF(COUNTIFS(tblMoveTypes[Movement],$C286)=0,"Unknown movement",IF(COUNTIF(tblShipment[Shipment No],$B286)=0,"Unknown shipment",IF(AND(IFERROR(INDEX(tblMoveTypes[Item?],MATCH($C286,tblMoveTypes[Movement],0)),"?")="Yes",$E286=""),"Item needed",IF(AND(IFERROR(INDEX(tblMoveTypes[Item?],MATCH($C286,tblMoveTypes[Movement],0)),"?")="No",$E286&lt;&gt;""),"Leave Item blank",IF(AND(IFERROR(INDEX(tblMoveTypes[In / Out],MATCH($C286,tblMoveTypes[Movement],0)),"?")="IN",$G286&lt;&gt;""),"Use the In column, not Out",IF(AND(IFERROR(INDEX(tblMoveTypes[In / Out],MATCH($C286,tblMoveTypes[Movement],0)),"?")="OUT",$F286&lt;&gt;""),"Use the Out column, not In",IF(AND(IFERROR(INDEX(tblMoveTypes[Qty?],MATCH($C286,tblMoveTypes[Movement],0)),"?")="Yes",N($F286)+N($G286)&lt;=0),"Qty needed",IF(AND(IFERROR(INDEX(tblMoveTypes[Qty?],MATCH($C286,tblMoveTypes[Movement],0)),"?")="No",N($F286)+N($G286)&gt;0),"Leave In and Out blank",IF(AND(IFERROR(INDEX(tblMoveTypes[Courier?],MATCH($C286,tblMoveTypes[Movement],0)),"?")="Yes",$I286=""),"Courier needed",IF(AND(IFERROR(INDEX(tblMoveTypes[Courier?],MATCH($C286,tblMoveTypes[Movement],0)),"?")="No",$I286&lt;&gt;""),"Leave Courier blank",IF(AND(IFERROR(INDEX(tblMoveTypes[Orders?],MATCH($C286,tblMoveTypes[Movement],0)),"?")="Yes",$H286=""),"Orders needed",IF(AND(IFERROR(INDEX(tblMoveTypes[Orders?],MATCH($C286,tblMoveTypes[Movement],0)),"?")="No",$H286&lt;&gt;""),"Leave Orders blank",IF(AND(IFERROR(INDEX(tblMoveTypes[Reason?],MATCH($C286,tblMoveTypes[Movement],0)),"?")="Yes",$J286=""),"Reason needed",IF($A286&lt;_xlfn.MINIFS(tblShipment[Arrival Date],tblShipment[Shipment No],$B286),"Date before arrival",IF(AND($E286&lt;&gt;"",COUNTIFS(tblShipment[Shipment No],$B286,tblShipment[Item Name],$E286)=0),"Item not in this shipment","OK")))))))))))))))))</f>
        <v>OK</v>
      </c>
    </row>
    <row r="287" customFormat="false" ht="15" hidden="false" customHeight="false" outlineLevel="0" collapsed="false">
      <c r="A287" s="32" t="n">
        <v>46246</v>
      </c>
      <c r="B287" s="31" t="s">
        <v>165</v>
      </c>
      <c r="C287" s="31" t="s">
        <v>115</v>
      </c>
      <c r="D287" s="34" t="str">
        <f aca="false">IF($C287="","",IFERROR(IF(IFERROR(INDEX(tblMoveTypes[In / Out],MATCH($C287,tblMoveTypes[Movement],0)),"?")="IN","IN   ",IF(IFERROR(INDEX(tblMoveTypes[In / Out],MATCH($C287,tblMoveTypes[Movement],0)),"?")="OUT","OUT   ","--   "))&amp;"fill: "&amp;IF(IFERROR(INDEX(tblMoveTypes[Item?],MATCH($C287,tblMoveTypes[Movement],0)),"?")="Yes","Item  ","")&amp;IF(AND(IFERROR(INDEX(tblMoveTypes[Qty?],MATCH($C287,tblMoveTypes[Movement],0)),"?")="Yes",IFERROR(INDEX(tblMoveTypes[In / Out],MATCH($C287,tblMoveTypes[Movement],0)),"?")="IN"),"In  ","")&amp;IF(AND(IFERROR(INDEX(tblMoveTypes[Qty?],MATCH($C287,tblMoveTypes[Movement],0)),"?")="Yes",IFERROR(INDEX(tblMoveTypes[In / Out],MATCH($C287,tblMoveTypes[Movement],0)),"?")="OUT"),"Out  ","")&amp;IF(IFERROR(INDEX(tblMoveTypes[Orders?],MATCH($C287,tblMoveTypes[Movement],0)),"?")="Yes","Orders  ","")&amp;IF(IFERROR(INDEX(tblMoveTypes[Courier?],MATCH($C287,tblMoveTypes[Movement],0)),"?")="Yes","Courier  ","")&amp;IF(IFERROR(INDEX(tblMoveTypes[Reason?],MATCH($C287,tblMoveTypes[Movement],0)),"?")="Yes","Reason",""),"unknown movement"))</f>
        <v>OUT   fill: Out  Orders  Courier  </v>
      </c>
      <c r="E287" s="31"/>
      <c r="F287" s="33"/>
      <c r="G287" s="33" t="n">
        <v>88</v>
      </c>
      <c r="H287" s="33" t="n">
        <v>35</v>
      </c>
      <c r="I287" s="31" t="s">
        <v>76</v>
      </c>
      <c r="J287" s="31"/>
      <c r="K287" s="31"/>
      <c r="L287" s="31"/>
      <c r="M287" s="34" t="str">
        <f aca="false">IF($E287="","",IFERROR(INDEX(tblItems[Item Code],MATCH($E287,tblItems[Item Name],0)),"?"))</f>
        <v/>
      </c>
      <c r="N287" s="34" t="str">
        <f aca="false">IF($B287="","",IFERROR(INDEX(tblShipment[Market],MATCH($B287,tblShipment[Shipment No],0)),"?"))</f>
        <v>Qatar</v>
      </c>
      <c r="O287" s="35" t="n">
        <f aca="false">N($F287)+N($G287)</f>
        <v>88</v>
      </c>
      <c r="P287" s="34" t="str">
        <f aca="false">IF($A287="","",IF($L287="Yes","VOID",IF(COUNTIFS(tblMoveTypes[Movement],$C287)=0,"Unknown movement",IF(COUNTIF(tblShipment[Shipment No],$B287)=0,"Unknown shipment",IF(AND(IFERROR(INDEX(tblMoveTypes[Item?],MATCH($C287,tblMoveTypes[Movement],0)),"?")="Yes",$E287=""),"Item needed",IF(AND(IFERROR(INDEX(tblMoveTypes[Item?],MATCH($C287,tblMoveTypes[Movement],0)),"?")="No",$E287&lt;&gt;""),"Leave Item blank",IF(AND(IFERROR(INDEX(tblMoveTypes[In / Out],MATCH($C287,tblMoveTypes[Movement],0)),"?")="IN",$G287&lt;&gt;""),"Use the In column, not Out",IF(AND(IFERROR(INDEX(tblMoveTypes[In / Out],MATCH($C287,tblMoveTypes[Movement],0)),"?")="OUT",$F287&lt;&gt;""),"Use the Out column, not In",IF(AND(IFERROR(INDEX(tblMoveTypes[Qty?],MATCH($C287,tblMoveTypes[Movement],0)),"?")="Yes",N($F287)+N($G287)&lt;=0),"Qty needed",IF(AND(IFERROR(INDEX(tblMoveTypes[Qty?],MATCH($C287,tblMoveTypes[Movement],0)),"?")="No",N($F287)+N($G287)&gt;0),"Leave In and Out blank",IF(AND(IFERROR(INDEX(tblMoveTypes[Courier?],MATCH($C287,tblMoveTypes[Movement],0)),"?")="Yes",$I287=""),"Courier needed",IF(AND(IFERROR(INDEX(tblMoveTypes[Courier?],MATCH($C287,tblMoveTypes[Movement],0)),"?")="No",$I287&lt;&gt;""),"Leave Courier blank",IF(AND(IFERROR(INDEX(tblMoveTypes[Orders?],MATCH($C287,tblMoveTypes[Movement],0)),"?")="Yes",$H287=""),"Orders needed",IF(AND(IFERROR(INDEX(tblMoveTypes[Orders?],MATCH($C287,tblMoveTypes[Movement],0)),"?")="No",$H287&lt;&gt;""),"Leave Orders blank",IF(AND(IFERROR(INDEX(tblMoveTypes[Reason?],MATCH($C287,tblMoveTypes[Movement],0)),"?")="Yes",$J287=""),"Reason needed",IF($A287&lt;_xlfn.MINIFS(tblShipment[Arrival Date],tblShipment[Shipment No],$B287),"Date before arrival",IF(AND($E287&lt;&gt;"",COUNTIFS(tblShipment[Shipment No],$B287,tblShipment[Item Name],$E287)=0),"Item not in this shipment","OK")))))))))))))))))</f>
        <v>OK</v>
      </c>
    </row>
    <row r="288" customFormat="false" ht="15" hidden="false" customHeight="false" outlineLevel="0" collapsed="false">
      <c r="A288" s="32" t="n">
        <v>46247</v>
      </c>
      <c r="B288" s="31" t="s">
        <v>166</v>
      </c>
      <c r="C288" s="31" t="s">
        <v>79</v>
      </c>
      <c r="D288" s="34" t="str">
        <f aca="false">IF($C288="","",IFERROR(IF(IFERROR(INDEX(tblMoveTypes[In / Out],MATCH($C288,tblMoveTypes[Movement],0)),"?")="IN","IN   ",IF(IFERROR(INDEX(tblMoveTypes[In / Out],MATCH($C288,tblMoveTypes[Movement],0)),"?")="OUT","OUT   ","--   "))&amp;"fill: "&amp;IF(IFERROR(INDEX(tblMoveTypes[Item?],MATCH($C288,tblMoveTypes[Movement],0)),"?")="Yes","Item  ","")&amp;IF(AND(IFERROR(INDEX(tblMoveTypes[Qty?],MATCH($C288,tblMoveTypes[Movement],0)),"?")="Yes",IFERROR(INDEX(tblMoveTypes[In / Out],MATCH($C288,tblMoveTypes[Movement],0)),"?")="IN"),"In  ","")&amp;IF(AND(IFERROR(INDEX(tblMoveTypes[Qty?],MATCH($C288,tblMoveTypes[Movement],0)),"?")="Yes",IFERROR(INDEX(tblMoveTypes[In / Out],MATCH($C288,tblMoveTypes[Movement],0)),"?")="OUT"),"Out  ","")&amp;IF(IFERROR(INDEX(tblMoveTypes[Orders?],MATCH($C288,tblMoveTypes[Movement],0)),"?")="Yes","Orders  ","")&amp;IF(IFERROR(INDEX(tblMoveTypes[Courier?],MATCH($C288,tblMoveTypes[Movement],0)),"?")="Yes","Courier  ","")&amp;IF(IFERROR(INDEX(tblMoveTypes[Reason?],MATCH($C288,tblMoveTypes[Movement],0)),"?")="Yes","Reason",""),"unknown movement"))</f>
        <v>IN   fill: Item  In  </v>
      </c>
      <c r="E288" s="31" t="s">
        <v>72</v>
      </c>
      <c r="F288" s="33" t="n">
        <v>100</v>
      </c>
      <c r="G288" s="33"/>
      <c r="H288" s="33"/>
      <c r="I288" s="31"/>
      <c r="J288" s="31"/>
      <c r="K288" s="31"/>
      <c r="L288" s="31"/>
      <c r="M288" s="34" t="str">
        <f aca="false">IF($E288="","",IFERROR(INDEX(tblItems[Item Code],MATCH($E288,tblItems[Item Name],0)),"?"))</f>
        <v>EG-FG-MNG-05-02-01-01</v>
      </c>
      <c r="N288" s="34" t="str">
        <f aca="false">IF($B288="","",IFERROR(INDEX(tblShipment[Market],MATCH($B288,tblShipment[Shipment No],0)),"?"))</f>
        <v>Qatar</v>
      </c>
      <c r="O288" s="35" t="n">
        <f aca="false">N($F288)+N($G288)</f>
        <v>100</v>
      </c>
      <c r="P288" s="34" t="str">
        <f aca="false">IF($A288="","",IF($L288="Yes","VOID",IF(COUNTIFS(tblMoveTypes[Movement],$C288)=0,"Unknown movement",IF(COUNTIF(tblShipment[Shipment No],$B288)=0,"Unknown shipment",IF(AND(IFERROR(INDEX(tblMoveTypes[Item?],MATCH($C288,tblMoveTypes[Movement],0)),"?")="Yes",$E288=""),"Item needed",IF(AND(IFERROR(INDEX(tblMoveTypes[Item?],MATCH($C288,tblMoveTypes[Movement],0)),"?")="No",$E288&lt;&gt;""),"Leave Item blank",IF(AND(IFERROR(INDEX(tblMoveTypes[In / Out],MATCH($C288,tblMoveTypes[Movement],0)),"?")="IN",$G288&lt;&gt;""),"Use the In column, not Out",IF(AND(IFERROR(INDEX(tblMoveTypes[In / Out],MATCH($C288,tblMoveTypes[Movement],0)),"?")="OUT",$F288&lt;&gt;""),"Use the Out column, not In",IF(AND(IFERROR(INDEX(tblMoveTypes[Qty?],MATCH($C288,tblMoveTypes[Movement],0)),"?")="Yes",N($F288)+N($G288)&lt;=0),"Qty needed",IF(AND(IFERROR(INDEX(tblMoveTypes[Qty?],MATCH($C288,tblMoveTypes[Movement],0)),"?")="No",N($F288)+N($G288)&gt;0),"Leave In and Out blank",IF(AND(IFERROR(INDEX(tblMoveTypes[Courier?],MATCH($C288,tblMoveTypes[Movement],0)),"?")="Yes",$I288=""),"Courier needed",IF(AND(IFERROR(INDEX(tblMoveTypes[Courier?],MATCH($C288,tblMoveTypes[Movement],0)),"?")="No",$I288&lt;&gt;""),"Leave Courier blank",IF(AND(IFERROR(INDEX(tblMoveTypes[Orders?],MATCH($C288,tblMoveTypes[Movement],0)),"?")="Yes",$H288=""),"Orders needed",IF(AND(IFERROR(INDEX(tblMoveTypes[Orders?],MATCH($C288,tblMoveTypes[Movement],0)),"?")="No",$H288&lt;&gt;""),"Leave Orders blank",IF(AND(IFERROR(INDEX(tblMoveTypes[Reason?],MATCH($C288,tblMoveTypes[Movement],0)),"?")="Yes",$J288=""),"Reason needed",IF($A288&lt;_xlfn.MINIFS(tblShipment[Arrival Date],tblShipment[Shipment No],$B288),"Date before arrival",IF(AND($E288&lt;&gt;"",COUNTIFS(tblShipment[Shipment No],$B288,tblShipment[Item Name],$E288)=0),"Item not in this shipment","OK")))))))))))))))))</f>
        <v>OK</v>
      </c>
    </row>
    <row r="289" customFormat="false" ht="15" hidden="false" customHeight="false" outlineLevel="0" collapsed="false">
      <c r="A289" s="32" t="n">
        <v>46247</v>
      </c>
      <c r="B289" s="31" t="s">
        <v>166</v>
      </c>
      <c r="C289" s="31" t="s">
        <v>78</v>
      </c>
      <c r="D289" s="34" t="str">
        <f aca="false">IF($C289="","",IFERROR(IF(IFERROR(INDEX(tblMoveTypes[In / Out],MATCH($C289,tblMoveTypes[Movement],0)),"?")="IN","IN   ",IF(IFERROR(INDEX(tblMoveTypes[In / Out],MATCH($C289,tblMoveTypes[Movement],0)),"?")="OUT","OUT   ","--   "))&amp;"fill: "&amp;IF(IFERROR(INDEX(tblMoveTypes[Item?],MATCH($C289,tblMoveTypes[Movement],0)),"?")="Yes","Item  ","")&amp;IF(AND(IFERROR(INDEX(tblMoveTypes[Qty?],MATCH($C289,tblMoveTypes[Movement],0)),"?")="Yes",IFERROR(INDEX(tblMoveTypes[In / Out],MATCH($C289,tblMoveTypes[Movement],0)),"?")="IN"),"In  ","")&amp;IF(AND(IFERROR(INDEX(tblMoveTypes[Qty?],MATCH($C289,tblMoveTypes[Movement],0)),"?")="Yes",IFERROR(INDEX(tblMoveTypes[In / Out],MATCH($C289,tblMoveTypes[Movement],0)),"?")="OUT"),"Out  ","")&amp;IF(IFERROR(INDEX(tblMoveTypes[Orders?],MATCH($C289,tblMoveTypes[Movement],0)),"?")="Yes","Orders  ","")&amp;IF(IFERROR(INDEX(tblMoveTypes[Courier?],MATCH($C289,tblMoveTypes[Movement],0)),"?")="Yes","Courier  ","")&amp;IF(IFERROR(INDEX(tblMoveTypes[Reason?],MATCH($C289,tblMoveTypes[Movement],0)),"?")="Yes","Reason",""),"unknown movement"))</f>
        <v>OUT   fill: Item  Out  Reason</v>
      </c>
      <c r="E289" s="31" t="s">
        <v>72</v>
      </c>
      <c r="F289" s="33"/>
      <c r="G289" s="33" t="n">
        <v>2</v>
      </c>
      <c r="H289" s="33"/>
      <c r="I289" s="31"/>
      <c r="J289" s="31" t="s">
        <v>86</v>
      </c>
      <c r="K289" s="31"/>
      <c r="L289" s="31"/>
      <c r="M289" s="34" t="str">
        <f aca="false">IF($E289="","",IFERROR(INDEX(tblItems[Item Code],MATCH($E289,tblItems[Item Name],0)),"?"))</f>
        <v>EG-FG-MNG-05-02-01-01</v>
      </c>
      <c r="N289" s="34" t="str">
        <f aca="false">IF($B289="","",IFERROR(INDEX(tblShipment[Market],MATCH($B289,tblShipment[Shipment No],0)),"?"))</f>
        <v>Qatar</v>
      </c>
      <c r="O289" s="35" t="n">
        <f aca="false">N($F289)+N($G289)</f>
        <v>2</v>
      </c>
      <c r="P289" s="34" t="str">
        <f aca="false">IF($A289="","",IF($L289="Yes","VOID",IF(COUNTIFS(tblMoveTypes[Movement],$C289)=0,"Unknown movement",IF(COUNTIF(tblShipment[Shipment No],$B289)=0,"Unknown shipment",IF(AND(IFERROR(INDEX(tblMoveTypes[Item?],MATCH($C289,tblMoveTypes[Movement],0)),"?")="Yes",$E289=""),"Item needed",IF(AND(IFERROR(INDEX(tblMoveTypes[Item?],MATCH($C289,tblMoveTypes[Movement],0)),"?")="No",$E289&lt;&gt;""),"Leave Item blank",IF(AND(IFERROR(INDEX(tblMoveTypes[In / Out],MATCH($C289,tblMoveTypes[Movement],0)),"?")="IN",$G289&lt;&gt;""),"Use the In column, not Out",IF(AND(IFERROR(INDEX(tblMoveTypes[In / Out],MATCH($C289,tblMoveTypes[Movement],0)),"?")="OUT",$F289&lt;&gt;""),"Use the Out column, not In",IF(AND(IFERROR(INDEX(tblMoveTypes[Qty?],MATCH($C289,tblMoveTypes[Movement],0)),"?")="Yes",N($F289)+N($G289)&lt;=0),"Qty needed",IF(AND(IFERROR(INDEX(tblMoveTypes[Qty?],MATCH($C289,tblMoveTypes[Movement],0)),"?")="No",N($F289)+N($G289)&gt;0),"Leave In and Out blank",IF(AND(IFERROR(INDEX(tblMoveTypes[Courier?],MATCH($C289,tblMoveTypes[Movement],0)),"?")="Yes",$I289=""),"Courier needed",IF(AND(IFERROR(INDEX(tblMoveTypes[Courier?],MATCH($C289,tblMoveTypes[Movement],0)),"?")="No",$I289&lt;&gt;""),"Leave Courier blank",IF(AND(IFERROR(INDEX(tblMoveTypes[Orders?],MATCH($C289,tblMoveTypes[Movement],0)),"?")="Yes",$H289=""),"Orders needed",IF(AND(IFERROR(INDEX(tblMoveTypes[Orders?],MATCH($C289,tblMoveTypes[Movement],0)),"?")="No",$H289&lt;&gt;""),"Leave Orders blank",IF(AND(IFERROR(INDEX(tblMoveTypes[Reason?],MATCH($C289,tblMoveTypes[Movement],0)),"?")="Yes",$J289=""),"Reason needed",IF($A289&lt;_xlfn.MINIFS(tblShipment[Arrival Date],tblShipment[Shipment No],$B289),"Date before arrival",IF(AND($E289&lt;&gt;"",COUNTIFS(tblShipment[Shipment No],$B289,tblShipment[Item Name],$E289)=0),"Item not in this shipment","OK")))))))))))))))))</f>
        <v>OK</v>
      </c>
    </row>
    <row r="290" customFormat="false" ht="15" hidden="false" customHeight="false" outlineLevel="0" collapsed="false">
      <c r="A290" s="32" t="n">
        <v>46247</v>
      </c>
      <c r="B290" s="31" t="s">
        <v>166</v>
      </c>
      <c r="C290" s="31" t="s">
        <v>79</v>
      </c>
      <c r="D290" s="34" t="str">
        <f aca="false">IF($C290="","",IFERROR(IF(IFERROR(INDEX(tblMoveTypes[In / Out],MATCH($C290,tblMoveTypes[Movement],0)),"?")="IN","IN   ",IF(IFERROR(INDEX(tblMoveTypes[In / Out],MATCH($C290,tblMoveTypes[Movement],0)),"?")="OUT","OUT   ","--   "))&amp;"fill: "&amp;IF(IFERROR(INDEX(tblMoveTypes[Item?],MATCH($C290,tblMoveTypes[Movement],0)),"?")="Yes","Item  ","")&amp;IF(AND(IFERROR(INDEX(tblMoveTypes[Qty?],MATCH($C290,tblMoveTypes[Movement],0)),"?")="Yes",IFERROR(INDEX(tblMoveTypes[In / Out],MATCH($C290,tblMoveTypes[Movement],0)),"?")="IN"),"In  ","")&amp;IF(AND(IFERROR(INDEX(tblMoveTypes[Qty?],MATCH($C290,tblMoveTypes[Movement],0)),"?")="Yes",IFERROR(INDEX(tblMoveTypes[In / Out],MATCH($C290,tblMoveTypes[Movement],0)),"?")="OUT"),"Out  ","")&amp;IF(IFERROR(INDEX(tblMoveTypes[Orders?],MATCH($C290,tblMoveTypes[Movement],0)),"?")="Yes","Orders  ","")&amp;IF(IFERROR(INDEX(tblMoveTypes[Courier?],MATCH($C290,tblMoveTypes[Movement],0)),"?")="Yes","Courier  ","")&amp;IF(IFERROR(INDEX(tblMoveTypes[Reason?],MATCH($C290,tblMoveTypes[Movement],0)),"?")="Yes","Reason",""),"unknown movement"))</f>
        <v>IN   fill: Item  In  </v>
      </c>
      <c r="E290" s="31" t="s">
        <v>117</v>
      </c>
      <c r="F290" s="33" t="n">
        <v>20</v>
      </c>
      <c r="G290" s="33"/>
      <c r="H290" s="33"/>
      <c r="I290" s="31"/>
      <c r="J290" s="31"/>
      <c r="K290" s="31"/>
      <c r="L290" s="31"/>
      <c r="M290" s="34" t="str">
        <f aca="false">IF($E290="","",IFERROR(INDEX(tblItems[Item Code],MATCH($E290,tblItems[Item Name],0)),"?"))</f>
        <v>EG-FG-MNG-06-02-01-01</v>
      </c>
      <c r="N290" s="34" t="str">
        <f aca="false">IF($B290="","",IFERROR(INDEX(tblShipment[Market],MATCH($B290,tblShipment[Shipment No],0)),"?"))</f>
        <v>Qatar</v>
      </c>
      <c r="O290" s="35" t="n">
        <f aca="false">N($F290)+N($G290)</f>
        <v>20</v>
      </c>
      <c r="P290" s="34" t="str">
        <f aca="false">IF($A290="","",IF($L290="Yes","VOID",IF(COUNTIFS(tblMoveTypes[Movement],$C290)=0,"Unknown movement",IF(COUNTIF(tblShipment[Shipment No],$B290)=0,"Unknown shipment",IF(AND(IFERROR(INDEX(tblMoveTypes[Item?],MATCH($C290,tblMoveTypes[Movement],0)),"?")="Yes",$E290=""),"Item needed",IF(AND(IFERROR(INDEX(tblMoveTypes[Item?],MATCH($C290,tblMoveTypes[Movement],0)),"?")="No",$E290&lt;&gt;""),"Leave Item blank",IF(AND(IFERROR(INDEX(tblMoveTypes[In / Out],MATCH($C290,tblMoveTypes[Movement],0)),"?")="IN",$G290&lt;&gt;""),"Use the In column, not Out",IF(AND(IFERROR(INDEX(tblMoveTypes[In / Out],MATCH($C290,tblMoveTypes[Movement],0)),"?")="OUT",$F290&lt;&gt;""),"Use the Out column, not In",IF(AND(IFERROR(INDEX(tblMoveTypes[Qty?],MATCH($C290,tblMoveTypes[Movement],0)),"?")="Yes",N($F290)+N($G290)&lt;=0),"Qty needed",IF(AND(IFERROR(INDEX(tblMoveTypes[Qty?],MATCH($C290,tblMoveTypes[Movement],0)),"?")="No",N($F290)+N($G290)&gt;0),"Leave In and Out blank",IF(AND(IFERROR(INDEX(tblMoveTypes[Courier?],MATCH($C290,tblMoveTypes[Movement],0)),"?")="Yes",$I290=""),"Courier needed",IF(AND(IFERROR(INDEX(tblMoveTypes[Courier?],MATCH($C290,tblMoveTypes[Movement],0)),"?")="No",$I290&lt;&gt;""),"Leave Courier blank",IF(AND(IFERROR(INDEX(tblMoveTypes[Orders?],MATCH($C290,tblMoveTypes[Movement],0)),"?")="Yes",$H290=""),"Orders needed",IF(AND(IFERROR(INDEX(tblMoveTypes[Orders?],MATCH($C290,tblMoveTypes[Movement],0)),"?")="No",$H290&lt;&gt;""),"Leave Orders blank",IF(AND(IFERROR(INDEX(tblMoveTypes[Reason?],MATCH($C290,tblMoveTypes[Movement],0)),"?")="Yes",$J290=""),"Reason needed",IF($A290&lt;_xlfn.MINIFS(tblShipment[Arrival Date],tblShipment[Shipment No],$B290),"Date before arrival",IF(AND($E290&lt;&gt;"",COUNTIFS(tblShipment[Shipment No],$B290,tblShipment[Item Name],$E290)=0),"Item not in this shipment","OK")))))))))))))))))</f>
        <v>OK</v>
      </c>
    </row>
    <row r="291" customFormat="false" ht="15" hidden="false" customHeight="false" outlineLevel="0" collapsed="false">
      <c r="A291" s="32" t="n">
        <v>46247</v>
      </c>
      <c r="B291" s="31" t="s">
        <v>166</v>
      </c>
      <c r="C291" s="31" t="s">
        <v>87</v>
      </c>
      <c r="D291" s="34" t="str">
        <f aca="false">IF($C291="","",IFERROR(IF(IFERROR(INDEX(tblMoveTypes[In / Out],MATCH($C291,tblMoveTypes[Movement],0)),"?")="IN","IN   ",IF(IFERROR(INDEX(tblMoveTypes[In / Out],MATCH($C291,tblMoveTypes[Movement],0)),"?")="OUT","OUT   ","--   "))&amp;"fill: "&amp;IF(IFERROR(INDEX(tblMoveTypes[Item?],MATCH($C291,tblMoveTypes[Movement],0)),"?")="Yes","Item  ","")&amp;IF(AND(IFERROR(INDEX(tblMoveTypes[Qty?],MATCH($C291,tblMoveTypes[Movement],0)),"?")="Yes",IFERROR(INDEX(tblMoveTypes[In / Out],MATCH($C291,tblMoveTypes[Movement],0)),"?")="IN"),"In  ","")&amp;IF(AND(IFERROR(INDEX(tblMoveTypes[Qty?],MATCH($C291,tblMoveTypes[Movement],0)),"?")="Yes",IFERROR(INDEX(tblMoveTypes[In / Out],MATCH($C291,tblMoveTypes[Movement],0)),"?")="OUT"),"Out  ","")&amp;IF(IFERROR(INDEX(tblMoveTypes[Orders?],MATCH($C291,tblMoveTypes[Movement],0)),"?")="Yes","Orders  ","")&amp;IF(IFERROR(INDEX(tblMoveTypes[Courier?],MATCH($C291,tblMoveTypes[Movement],0)),"?")="Yes","Courier  ","")&amp;IF(IFERROR(INDEX(tblMoveTypes[Reason?],MATCH($C291,tblMoveTypes[Movement],0)),"?")="Yes","Reason",""),"unknown movement"))</f>
        <v>OUT   fill: Item  Out  </v>
      </c>
      <c r="E291" s="31" t="s">
        <v>84</v>
      </c>
      <c r="F291" s="33"/>
      <c r="G291" s="33" t="n">
        <v>3</v>
      </c>
      <c r="H291" s="33"/>
      <c r="I291" s="31"/>
      <c r="J291" s="31"/>
      <c r="K291" s="31" t="s">
        <v>179</v>
      </c>
      <c r="L291" s="31"/>
      <c r="M291" s="34" t="str">
        <f aca="false">IF($E291="","",IFERROR(INDEX(tblItems[Item Code],MATCH($E291,tblItems[Item Name],0)),"?"))</f>
        <v>EG-FG-MNG-12-02-01-01</v>
      </c>
      <c r="N291" s="34" t="str">
        <f aca="false">IF($B291="","",IFERROR(INDEX(tblShipment[Market],MATCH($B291,tblShipment[Shipment No],0)),"?"))</f>
        <v>Qatar</v>
      </c>
      <c r="O291" s="35" t="n">
        <f aca="false">N($F291)+N($G291)</f>
        <v>3</v>
      </c>
      <c r="P291" s="34" t="str">
        <f aca="false">IF($A291="","",IF($L291="Yes","VOID",IF(COUNTIFS(tblMoveTypes[Movement],$C291)=0,"Unknown movement",IF(COUNTIF(tblShipment[Shipment No],$B291)=0,"Unknown shipment",IF(AND(IFERROR(INDEX(tblMoveTypes[Item?],MATCH($C291,tblMoveTypes[Movement],0)),"?")="Yes",$E291=""),"Item needed",IF(AND(IFERROR(INDEX(tblMoveTypes[Item?],MATCH($C291,tblMoveTypes[Movement],0)),"?")="No",$E291&lt;&gt;""),"Leave Item blank",IF(AND(IFERROR(INDEX(tblMoveTypes[In / Out],MATCH($C291,tblMoveTypes[Movement],0)),"?")="IN",$G291&lt;&gt;""),"Use the In column, not Out",IF(AND(IFERROR(INDEX(tblMoveTypes[In / Out],MATCH($C291,tblMoveTypes[Movement],0)),"?")="OUT",$F291&lt;&gt;""),"Use the Out column, not In",IF(AND(IFERROR(INDEX(tblMoveTypes[Qty?],MATCH($C291,tblMoveTypes[Movement],0)),"?")="Yes",N($F291)+N($G291)&lt;=0),"Qty needed",IF(AND(IFERROR(INDEX(tblMoveTypes[Qty?],MATCH($C291,tblMoveTypes[Movement],0)),"?")="No",N($F291)+N($G291)&gt;0),"Leave In and Out blank",IF(AND(IFERROR(INDEX(tblMoveTypes[Courier?],MATCH($C291,tblMoveTypes[Movement],0)),"?")="Yes",$I291=""),"Courier needed",IF(AND(IFERROR(INDEX(tblMoveTypes[Courier?],MATCH($C291,tblMoveTypes[Movement],0)),"?")="No",$I291&lt;&gt;""),"Leave Courier blank",IF(AND(IFERROR(INDEX(tblMoveTypes[Orders?],MATCH($C291,tblMoveTypes[Movement],0)),"?")="Yes",$H291=""),"Orders needed",IF(AND(IFERROR(INDEX(tblMoveTypes[Orders?],MATCH($C291,tblMoveTypes[Movement],0)),"?")="No",$H291&lt;&gt;""),"Leave Orders blank",IF(AND(IFERROR(INDEX(tblMoveTypes[Reason?],MATCH($C291,tblMoveTypes[Movement],0)),"?")="Yes",$J291=""),"Reason needed",IF($A291&lt;_xlfn.MINIFS(tblShipment[Arrival Date],tblShipment[Shipment No],$B291),"Date before arrival",IF(AND($E291&lt;&gt;"",COUNTIFS(tblShipment[Shipment No],$B291,tblShipment[Item Name],$E291)=0),"Item not in this shipment","OK")))))))))))))))))</f>
        <v>OK</v>
      </c>
    </row>
    <row r="292" customFormat="false" ht="15" hidden="false" customHeight="false" outlineLevel="0" collapsed="false">
      <c r="A292" s="32" t="n">
        <v>46247</v>
      </c>
      <c r="B292" s="31" t="s">
        <v>166</v>
      </c>
      <c r="C292" s="31" t="s">
        <v>79</v>
      </c>
      <c r="D292" s="34" t="str">
        <f aca="false">IF($C292="","",IFERROR(IF(IFERROR(INDEX(tblMoveTypes[In / Out],MATCH($C292,tblMoveTypes[Movement],0)),"?")="IN","IN   ",IF(IFERROR(INDEX(tblMoveTypes[In / Out],MATCH($C292,tblMoveTypes[Movement],0)),"?")="OUT","OUT   ","--   "))&amp;"fill: "&amp;IF(IFERROR(INDEX(tblMoveTypes[Item?],MATCH($C292,tblMoveTypes[Movement],0)),"?")="Yes","Item  ","")&amp;IF(AND(IFERROR(INDEX(tblMoveTypes[Qty?],MATCH($C292,tblMoveTypes[Movement],0)),"?")="Yes",IFERROR(INDEX(tblMoveTypes[In / Out],MATCH($C292,tblMoveTypes[Movement],0)),"?")="IN"),"In  ","")&amp;IF(AND(IFERROR(INDEX(tblMoveTypes[Qty?],MATCH($C292,tblMoveTypes[Movement],0)),"?")="Yes",IFERROR(INDEX(tblMoveTypes[In / Out],MATCH($C292,tblMoveTypes[Movement],0)),"?")="OUT"),"Out  ","")&amp;IF(IFERROR(INDEX(tblMoveTypes[Orders?],MATCH($C292,tblMoveTypes[Movement],0)),"?")="Yes","Orders  ","")&amp;IF(IFERROR(INDEX(tblMoveTypes[Courier?],MATCH($C292,tblMoveTypes[Movement],0)),"?")="Yes","Courier  ","")&amp;IF(IFERROR(INDEX(tblMoveTypes[Reason?],MATCH($C292,tblMoveTypes[Movement],0)),"?")="Yes","Reason",""),"unknown movement"))</f>
        <v>IN   fill: Item  In  </v>
      </c>
      <c r="E292" s="31" t="s">
        <v>84</v>
      </c>
      <c r="F292" s="33" t="n">
        <v>112</v>
      </c>
      <c r="G292" s="33"/>
      <c r="H292" s="33"/>
      <c r="I292" s="31"/>
      <c r="J292" s="31"/>
      <c r="K292" s="31"/>
      <c r="L292" s="31"/>
      <c r="M292" s="34" t="str">
        <f aca="false">IF($E292="","",IFERROR(INDEX(tblItems[Item Code],MATCH($E292,tblItems[Item Name],0)),"?"))</f>
        <v>EG-FG-MNG-12-02-01-01</v>
      </c>
      <c r="N292" s="34" t="str">
        <f aca="false">IF($B292="","",IFERROR(INDEX(tblShipment[Market],MATCH($B292,tblShipment[Shipment No],0)),"?"))</f>
        <v>Qatar</v>
      </c>
      <c r="O292" s="35" t="n">
        <f aca="false">N($F292)+N($G292)</f>
        <v>112</v>
      </c>
      <c r="P292" s="34" t="str">
        <f aca="false">IF($A292="","",IF($L292="Yes","VOID",IF(COUNTIFS(tblMoveTypes[Movement],$C292)=0,"Unknown movement",IF(COUNTIF(tblShipment[Shipment No],$B292)=0,"Unknown shipment",IF(AND(IFERROR(INDEX(tblMoveTypes[Item?],MATCH($C292,tblMoveTypes[Movement],0)),"?")="Yes",$E292=""),"Item needed",IF(AND(IFERROR(INDEX(tblMoveTypes[Item?],MATCH($C292,tblMoveTypes[Movement],0)),"?")="No",$E292&lt;&gt;""),"Leave Item blank",IF(AND(IFERROR(INDEX(tblMoveTypes[In / Out],MATCH($C292,tblMoveTypes[Movement],0)),"?")="IN",$G292&lt;&gt;""),"Use the In column, not Out",IF(AND(IFERROR(INDEX(tblMoveTypes[In / Out],MATCH($C292,tblMoveTypes[Movement],0)),"?")="OUT",$F292&lt;&gt;""),"Use the Out column, not In",IF(AND(IFERROR(INDEX(tblMoveTypes[Qty?],MATCH($C292,tblMoveTypes[Movement],0)),"?")="Yes",N($F292)+N($G292)&lt;=0),"Qty needed",IF(AND(IFERROR(INDEX(tblMoveTypes[Qty?],MATCH($C292,tblMoveTypes[Movement],0)),"?")="No",N($F292)+N($G292)&gt;0),"Leave In and Out blank",IF(AND(IFERROR(INDEX(tblMoveTypes[Courier?],MATCH($C292,tblMoveTypes[Movement],0)),"?")="Yes",$I292=""),"Courier needed",IF(AND(IFERROR(INDEX(tblMoveTypes[Courier?],MATCH($C292,tblMoveTypes[Movement],0)),"?")="No",$I292&lt;&gt;""),"Leave Courier blank",IF(AND(IFERROR(INDEX(tblMoveTypes[Orders?],MATCH($C292,tblMoveTypes[Movement],0)),"?")="Yes",$H292=""),"Orders needed",IF(AND(IFERROR(INDEX(tblMoveTypes[Orders?],MATCH($C292,tblMoveTypes[Movement],0)),"?")="No",$H292&lt;&gt;""),"Leave Orders blank",IF(AND(IFERROR(INDEX(tblMoveTypes[Reason?],MATCH($C292,tblMoveTypes[Movement],0)),"?")="Yes",$J292=""),"Reason needed",IF($A292&lt;_xlfn.MINIFS(tblShipment[Arrival Date],tblShipment[Shipment No],$B292),"Date before arrival",IF(AND($E292&lt;&gt;"",COUNTIFS(tblShipment[Shipment No],$B292,tblShipment[Item Name],$E292)=0),"Item not in this shipment","OK")))))))))))))))))</f>
        <v>OK</v>
      </c>
    </row>
    <row r="293" customFormat="false" ht="15" hidden="false" customHeight="false" outlineLevel="0" collapsed="false">
      <c r="A293" s="32" t="n">
        <v>46247</v>
      </c>
      <c r="B293" s="31" t="s">
        <v>166</v>
      </c>
      <c r="C293" s="31" t="s">
        <v>78</v>
      </c>
      <c r="D293" s="34" t="str">
        <f aca="false">IF($C293="","",IFERROR(IF(IFERROR(INDEX(tblMoveTypes[In / Out],MATCH($C293,tblMoveTypes[Movement],0)),"?")="IN","IN   ",IF(IFERROR(INDEX(tblMoveTypes[In / Out],MATCH($C293,tblMoveTypes[Movement],0)),"?")="OUT","OUT   ","--   "))&amp;"fill: "&amp;IF(IFERROR(INDEX(tblMoveTypes[Item?],MATCH($C293,tblMoveTypes[Movement],0)),"?")="Yes","Item  ","")&amp;IF(AND(IFERROR(INDEX(tblMoveTypes[Qty?],MATCH($C293,tblMoveTypes[Movement],0)),"?")="Yes",IFERROR(INDEX(tblMoveTypes[In / Out],MATCH($C293,tblMoveTypes[Movement],0)),"?")="IN"),"In  ","")&amp;IF(AND(IFERROR(INDEX(tblMoveTypes[Qty?],MATCH($C293,tblMoveTypes[Movement],0)),"?")="Yes",IFERROR(INDEX(tblMoveTypes[In / Out],MATCH($C293,tblMoveTypes[Movement],0)),"?")="OUT"),"Out  ","")&amp;IF(IFERROR(INDEX(tblMoveTypes[Orders?],MATCH($C293,tblMoveTypes[Movement],0)),"?")="Yes","Orders  ","")&amp;IF(IFERROR(INDEX(tblMoveTypes[Courier?],MATCH($C293,tblMoveTypes[Movement],0)),"?")="Yes","Courier  ","")&amp;IF(IFERROR(INDEX(tblMoveTypes[Reason?],MATCH($C293,tblMoveTypes[Movement],0)),"?")="Yes","Reason",""),"unknown movement"))</f>
        <v>OUT   fill: Item  Out  Reason</v>
      </c>
      <c r="E293" s="31" t="s">
        <v>84</v>
      </c>
      <c r="F293" s="33"/>
      <c r="G293" s="33" t="n">
        <v>2</v>
      </c>
      <c r="H293" s="33"/>
      <c r="I293" s="31"/>
      <c r="J293" s="31" t="s">
        <v>77</v>
      </c>
      <c r="K293" s="31"/>
      <c r="L293" s="31"/>
      <c r="M293" s="34" t="str">
        <f aca="false">IF($E293="","",IFERROR(INDEX(tblItems[Item Code],MATCH($E293,tblItems[Item Name],0)),"?"))</f>
        <v>EG-FG-MNG-12-02-01-01</v>
      </c>
      <c r="N293" s="34" t="str">
        <f aca="false">IF($B293="","",IFERROR(INDEX(tblShipment[Market],MATCH($B293,tblShipment[Shipment No],0)),"?"))</f>
        <v>Qatar</v>
      </c>
      <c r="O293" s="35" t="n">
        <f aca="false">N($F293)+N($G293)</f>
        <v>2</v>
      </c>
      <c r="P293" s="34" t="str">
        <f aca="false">IF($A293="","",IF($L293="Yes","VOID",IF(COUNTIFS(tblMoveTypes[Movement],$C293)=0,"Unknown movement",IF(COUNTIF(tblShipment[Shipment No],$B293)=0,"Unknown shipment",IF(AND(IFERROR(INDEX(tblMoveTypes[Item?],MATCH($C293,tblMoveTypes[Movement],0)),"?")="Yes",$E293=""),"Item needed",IF(AND(IFERROR(INDEX(tblMoveTypes[Item?],MATCH($C293,tblMoveTypes[Movement],0)),"?")="No",$E293&lt;&gt;""),"Leave Item blank",IF(AND(IFERROR(INDEX(tblMoveTypes[In / Out],MATCH($C293,tblMoveTypes[Movement],0)),"?")="IN",$G293&lt;&gt;""),"Use the In column, not Out",IF(AND(IFERROR(INDEX(tblMoveTypes[In / Out],MATCH($C293,tblMoveTypes[Movement],0)),"?")="OUT",$F293&lt;&gt;""),"Use the Out column, not In",IF(AND(IFERROR(INDEX(tblMoveTypes[Qty?],MATCH($C293,tblMoveTypes[Movement],0)),"?")="Yes",N($F293)+N($G293)&lt;=0),"Qty needed",IF(AND(IFERROR(INDEX(tblMoveTypes[Qty?],MATCH($C293,tblMoveTypes[Movement],0)),"?")="No",N($F293)+N($G293)&gt;0),"Leave In and Out blank",IF(AND(IFERROR(INDEX(tblMoveTypes[Courier?],MATCH($C293,tblMoveTypes[Movement],0)),"?")="Yes",$I293=""),"Courier needed",IF(AND(IFERROR(INDEX(tblMoveTypes[Courier?],MATCH($C293,tblMoveTypes[Movement],0)),"?")="No",$I293&lt;&gt;""),"Leave Courier blank",IF(AND(IFERROR(INDEX(tblMoveTypes[Orders?],MATCH($C293,tblMoveTypes[Movement],0)),"?")="Yes",$H293=""),"Orders needed",IF(AND(IFERROR(INDEX(tblMoveTypes[Orders?],MATCH($C293,tblMoveTypes[Movement],0)),"?")="No",$H293&lt;&gt;""),"Leave Orders blank",IF(AND(IFERROR(INDEX(tblMoveTypes[Reason?],MATCH($C293,tblMoveTypes[Movement],0)),"?")="Yes",$J293=""),"Reason needed",IF($A293&lt;_xlfn.MINIFS(tblShipment[Arrival Date],tblShipment[Shipment No],$B293),"Date before arrival",IF(AND($E293&lt;&gt;"",COUNTIFS(tblShipment[Shipment No],$B293,tblShipment[Item Name],$E293)=0),"Item not in this shipment","OK")))))))))))))))))</f>
        <v>OK</v>
      </c>
    </row>
    <row r="294" customFormat="false" ht="15" hidden="false" customHeight="false" outlineLevel="0" collapsed="false">
      <c r="A294" s="32" t="n">
        <v>46247</v>
      </c>
      <c r="B294" s="31" t="s">
        <v>166</v>
      </c>
      <c r="C294" s="31" t="s">
        <v>87</v>
      </c>
      <c r="D294" s="34" t="str">
        <f aca="false">IF($C294="","",IFERROR(IF(IFERROR(INDEX(tblMoveTypes[In / Out],MATCH($C294,tblMoveTypes[Movement],0)),"?")="IN","IN   ",IF(IFERROR(INDEX(tblMoveTypes[In / Out],MATCH($C294,tblMoveTypes[Movement],0)),"?")="OUT","OUT   ","--   "))&amp;"fill: "&amp;IF(IFERROR(INDEX(tblMoveTypes[Item?],MATCH($C294,tblMoveTypes[Movement],0)),"?")="Yes","Item  ","")&amp;IF(AND(IFERROR(INDEX(tblMoveTypes[Qty?],MATCH($C294,tblMoveTypes[Movement],0)),"?")="Yes",IFERROR(INDEX(tblMoveTypes[In / Out],MATCH($C294,tblMoveTypes[Movement],0)),"?")="IN"),"In  ","")&amp;IF(AND(IFERROR(INDEX(tblMoveTypes[Qty?],MATCH($C294,tblMoveTypes[Movement],0)),"?")="Yes",IFERROR(INDEX(tblMoveTypes[In / Out],MATCH($C294,tblMoveTypes[Movement],0)),"?")="OUT"),"Out  ","")&amp;IF(IFERROR(INDEX(tblMoveTypes[Orders?],MATCH($C294,tblMoveTypes[Movement],0)),"?")="Yes","Orders  ","")&amp;IF(IFERROR(INDEX(tblMoveTypes[Courier?],MATCH($C294,tblMoveTypes[Movement],0)),"?")="Yes","Courier  ","")&amp;IF(IFERROR(INDEX(tblMoveTypes[Reason?],MATCH($C294,tblMoveTypes[Movement],0)),"?")="Yes","Reason",""),"unknown movement"))</f>
        <v>OUT   fill: Item  Out  </v>
      </c>
      <c r="E294" s="31" t="s">
        <v>100</v>
      </c>
      <c r="F294" s="33"/>
      <c r="G294" s="33" t="n">
        <v>1</v>
      </c>
      <c r="H294" s="33"/>
      <c r="I294" s="31"/>
      <c r="J294" s="31"/>
      <c r="K294" s="31" t="s">
        <v>179</v>
      </c>
      <c r="L294" s="31"/>
      <c r="M294" s="34" t="str">
        <f aca="false">IF($E294="","",IFERROR(INDEX(tblItems[Item Code],MATCH($E294,tblItems[Item Name],0)),"?"))</f>
        <v>EG-FG-MNG-18-02-01-01</v>
      </c>
      <c r="N294" s="34" t="str">
        <f aca="false">IF($B294="","",IFERROR(INDEX(tblShipment[Market],MATCH($B294,tblShipment[Shipment No],0)),"?"))</f>
        <v>Qatar</v>
      </c>
      <c r="O294" s="35" t="n">
        <f aca="false">N($F294)+N($G294)</f>
        <v>1</v>
      </c>
      <c r="P294" s="34" t="str">
        <f aca="false">IF($A294="","",IF($L294="Yes","VOID",IF(COUNTIFS(tblMoveTypes[Movement],$C294)=0,"Unknown movement",IF(COUNTIF(tblShipment[Shipment No],$B294)=0,"Unknown shipment",IF(AND(IFERROR(INDEX(tblMoveTypes[Item?],MATCH($C294,tblMoveTypes[Movement],0)),"?")="Yes",$E294=""),"Item needed",IF(AND(IFERROR(INDEX(tblMoveTypes[Item?],MATCH($C294,tblMoveTypes[Movement],0)),"?")="No",$E294&lt;&gt;""),"Leave Item blank",IF(AND(IFERROR(INDEX(tblMoveTypes[In / Out],MATCH($C294,tblMoveTypes[Movement],0)),"?")="IN",$G294&lt;&gt;""),"Use the In column, not Out",IF(AND(IFERROR(INDEX(tblMoveTypes[In / Out],MATCH($C294,tblMoveTypes[Movement],0)),"?")="OUT",$F294&lt;&gt;""),"Use the Out column, not In",IF(AND(IFERROR(INDEX(tblMoveTypes[Qty?],MATCH($C294,tblMoveTypes[Movement],0)),"?")="Yes",N($F294)+N($G294)&lt;=0),"Qty needed",IF(AND(IFERROR(INDEX(tblMoveTypes[Qty?],MATCH($C294,tblMoveTypes[Movement],0)),"?")="No",N($F294)+N($G294)&gt;0),"Leave In and Out blank",IF(AND(IFERROR(INDEX(tblMoveTypes[Courier?],MATCH($C294,tblMoveTypes[Movement],0)),"?")="Yes",$I294=""),"Courier needed",IF(AND(IFERROR(INDEX(tblMoveTypes[Courier?],MATCH($C294,tblMoveTypes[Movement],0)),"?")="No",$I294&lt;&gt;""),"Leave Courier blank",IF(AND(IFERROR(INDEX(tblMoveTypes[Orders?],MATCH($C294,tblMoveTypes[Movement],0)),"?")="Yes",$H294=""),"Orders needed",IF(AND(IFERROR(INDEX(tblMoveTypes[Orders?],MATCH($C294,tblMoveTypes[Movement],0)),"?")="No",$H294&lt;&gt;""),"Leave Orders blank",IF(AND(IFERROR(INDEX(tblMoveTypes[Reason?],MATCH($C294,tblMoveTypes[Movement],0)),"?")="Yes",$J294=""),"Reason needed",IF($A294&lt;_xlfn.MINIFS(tblShipment[Arrival Date],tblShipment[Shipment No],$B294),"Date before arrival",IF(AND($E294&lt;&gt;"",COUNTIFS(tblShipment[Shipment No],$B294,tblShipment[Item Name],$E294)=0),"Item not in this shipment","OK")))))))))))))))))</f>
        <v>OK</v>
      </c>
    </row>
    <row r="295" customFormat="false" ht="15" hidden="false" customHeight="false" outlineLevel="0" collapsed="false">
      <c r="A295" s="32" t="n">
        <v>46247</v>
      </c>
      <c r="B295" s="31" t="s">
        <v>166</v>
      </c>
      <c r="C295" s="31" t="s">
        <v>79</v>
      </c>
      <c r="D295" s="34" t="str">
        <f aca="false">IF($C295="","",IFERROR(IF(IFERROR(INDEX(tblMoveTypes[In / Out],MATCH($C295,tblMoveTypes[Movement],0)),"?")="IN","IN   ",IF(IFERROR(INDEX(tblMoveTypes[In / Out],MATCH($C295,tblMoveTypes[Movement],0)),"?")="OUT","OUT   ","--   "))&amp;"fill: "&amp;IF(IFERROR(INDEX(tblMoveTypes[Item?],MATCH($C295,tblMoveTypes[Movement],0)),"?")="Yes","Item  ","")&amp;IF(AND(IFERROR(INDEX(tblMoveTypes[Qty?],MATCH($C295,tblMoveTypes[Movement],0)),"?")="Yes",IFERROR(INDEX(tblMoveTypes[In / Out],MATCH($C295,tblMoveTypes[Movement],0)),"?")="IN"),"In  ","")&amp;IF(AND(IFERROR(INDEX(tblMoveTypes[Qty?],MATCH($C295,tblMoveTypes[Movement],0)),"?")="Yes",IFERROR(INDEX(tblMoveTypes[In / Out],MATCH($C295,tblMoveTypes[Movement],0)),"?")="OUT"),"Out  ","")&amp;IF(IFERROR(INDEX(tblMoveTypes[Orders?],MATCH($C295,tblMoveTypes[Movement],0)),"?")="Yes","Orders  ","")&amp;IF(IFERROR(INDEX(tblMoveTypes[Courier?],MATCH($C295,tblMoveTypes[Movement],0)),"?")="Yes","Courier  ","")&amp;IF(IFERROR(INDEX(tblMoveTypes[Reason?],MATCH($C295,tblMoveTypes[Movement],0)),"?")="Yes","Reason",""),"unknown movement"))</f>
        <v>IN   fill: Item  In  </v>
      </c>
      <c r="E295" s="31" t="s">
        <v>100</v>
      </c>
      <c r="F295" s="33" t="n">
        <v>34</v>
      </c>
      <c r="G295" s="33"/>
      <c r="H295" s="33"/>
      <c r="I295" s="31"/>
      <c r="J295" s="31"/>
      <c r="K295" s="31"/>
      <c r="L295" s="31"/>
      <c r="M295" s="34" t="str">
        <f aca="false">IF($E295="","",IFERROR(INDEX(tblItems[Item Code],MATCH($E295,tblItems[Item Name],0)),"?"))</f>
        <v>EG-FG-MNG-18-02-01-01</v>
      </c>
      <c r="N295" s="34" t="str">
        <f aca="false">IF($B295="","",IFERROR(INDEX(tblShipment[Market],MATCH($B295,tblShipment[Shipment No],0)),"?"))</f>
        <v>Qatar</v>
      </c>
      <c r="O295" s="35" t="n">
        <f aca="false">N($F295)+N($G295)</f>
        <v>34</v>
      </c>
      <c r="P295" s="34" t="str">
        <f aca="false">IF($A295="","",IF($L295="Yes","VOID",IF(COUNTIFS(tblMoveTypes[Movement],$C295)=0,"Unknown movement",IF(COUNTIF(tblShipment[Shipment No],$B295)=0,"Unknown shipment",IF(AND(IFERROR(INDEX(tblMoveTypes[Item?],MATCH($C295,tblMoveTypes[Movement],0)),"?")="Yes",$E295=""),"Item needed",IF(AND(IFERROR(INDEX(tblMoveTypes[Item?],MATCH($C295,tblMoveTypes[Movement],0)),"?")="No",$E295&lt;&gt;""),"Leave Item blank",IF(AND(IFERROR(INDEX(tblMoveTypes[In / Out],MATCH($C295,tblMoveTypes[Movement],0)),"?")="IN",$G295&lt;&gt;""),"Use the In column, not Out",IF(AND(IFERROR(INDEX(tblMoveTypes[In / Out],MATCH($C295,tblMoveTypes[Movement],0)),"?")="OUT",$F295&lt;&gt;""),"Use the Out column, not In",IF(AND(IFERROR(INDEX(tblMoveTypes[Qty?],MATCH($C295,tblMoveTypes[Movement],0)),"?")="Yes",N($F295)+N($G295)&lt;=0),"Qty needed",IF(AND(IFERROR(INDEX(tblMoveTypes[Qty?],MATCH($C295,tblMoveTypes[Movement],0)),"?")="No",N($F295)+N($G295)&gt;0),"Leave In and Out blank",IF(AND(IFERROR(INDEX(tblMoveTypes[Courier?],MATCH($C295,tblMoveTypes[Movement],0)),"?")="Yes",$I295=""),"Courier needed",IF(AND(IFERROR(INDEX(tblMoveTypes[Courier?],MATCH($C295,tblMoveTypes[Movement],0)),"?")="No",$I295&lt;&gt;""),"Leave Courier blank",IF(AND(IFERROR(INDEX(tblMoveTypes[Orders?],MATCH($C295,tblMoveTypes[Movement],0)),"?")="Yes",$H295=""),"Orders needed",IF(AND(IFERROR(INDEX(tblMoveTypes[Orders?],MATCH($C295,tblMoveTypes[Movement],0)),"?")="No",$H295&lt;&gt;""),"Leave Orders blank",IF(AND(IFERROR(INDEX(tblMoveTypes[Reason?],MATCH($C295,tblMoveTypes[Movement],0)),"?")="Yes",$J295=""),"Reason needed",IF($A295&lt;_xlfn.MINIFS(tblShipment[Arrival Date],tblShipment[Shipment No],$B295),"Date before arrival",IF(AND($E295&lt;&gt;"",COUNTIFS(tblShipment[Shipment No],$B295,tblShipment[Item Name],$E295)=0),"Item not in this shipment","OK")))))))))))))))))</f>
        <v>OK</v>
      </c>
    </row>
    <row r="296" customFormat="false" ht="15" hidden="false" customHeight="false" outlineLevel="0" collapsed="false">
      <c r="A296" s="32" t="n">
        <v>46247</v>
      </c>
      <c r="B296" s="31" t="s">
        <v>166</v>
      </c>
      <c r="C296" s="31" t="s">
        <v>78</v>
      </c>
      <c r="D296" s="34" t="str">
        <f aca="false">IF($C296="","",IFERROR(IF(IFERROR(INDEX(tblMoveTypes[In / Out],MATCH($C296,tblMoveTypes[Movement],0)),"?")="IN","IN   ",IF(IFERROR(INDEX(tblMoveTypes[In / Out],MATCH($C296,tblMoveTypes[Movement],0)),"?")="OUT","OUT   ","--   "))&amp;"fill: "&amp;IF(IFERROR(INDEX(tblMoveTypes[Item?],MATCH($C296,tblMoveTypes[Movement],0)),"?")="Yes","Item  ","")&amp;IF(AND(IFERROR(INDEX(tblMoveTypes[Qty?],MATCH($C296,tblMoveTypes[Movement],0)),"?")="Yes",IFERROR(INDEX(tblMoveTypes[In / Out],MATCH($C296,tblMoveTypes[Movement],0)),"?")="IN"),"In  ","")&amp;IF(AND(IFERROR(INDEX(tblMoveTypes[Qty?],MATCH($C296,tblMoveTypes[Movement],0)),"?")="Yes",IFERROR(INDEX(tblMoveTypes[In / Out],MATCH($C296,tblMoveTypes[Movement],0)),"?")="OUT"),"Out  ","")&amp;IF(IFERROR(INDEX(tblMoveTypes[Orders?],MATCH($C296,tblMoveTypes[Movement],0)),"?")="Yes","Orders  ","")&amp;IF(IFERROR(INDEX(tblMoveTypes[Courier?],MATCH($C296,tblMoveTypes[Movement],0)),"?")="Yes","Courier  ","")&amp;IF(IFERROR(INDEX(tblMoveTypes[Reason?],MATCH($C296,tblMoveTypes[Movement],0)),"?")="Yes","Reason",""),"unknown movement"))</f>
        <v>OUT   fill: Item  Out  Reason</v>
      </c>
      <c r="E296" s="31" t="s">
        <v>100</v>
      </c>
      <c r="F296" s="33"/>
      <c r="G296" s="33" t="n">
        <v>1</v>
      </c>
      <c r="H296" s="33"/>
      <c r="I296" s="31"/>
      <c r="J296" s="31" t="s">
        <v>86</v>
      </c>
      <c r="K296" s="31"/>
      <c r="L296" s="31"/>
      <c r="M296" s="34" t="str">
        <f aca="false">IF($E296="","",IFERROR(INDEX(tblItems[Item Code],MATCH($E296,tblItems[Item Name],0)),"?"))</f>
        <v>EG-FG-MNG-18-02-01-01</v>
      </c>
      <c r="N296" s="34" t="str">
        <f aca="false">IF($B296="","",IFERROR(INDEX(tblShipment[Market],MATCH($B296,tblShipment[Shipment No],0)),"?"))</f>
        <v>Qatar</v>
      </c>
      <c r="O296" s="35" t="n">
        <f aca="false">N($F296)+N($G296)</f>
        <v>1</v>
      </c>
      <c r="P296" s="34" t="str">
        <f aca="false">IF($A296="","",IF($L296="Yes","VOID",IF(COUNTIFS(tblMoveTypes[Movement],$C296)=0,"Unknown movement",IF(COUNTIF(tblShipment[Shipment No],$B296)=0,"Unknown shipment",IF(AND(IFERROR(INDEX(tblMoveTypes[Item?],MATCH($C296,tblMoveTypes[Movement],0)),"?")="Yes",$E296=""),"Item needed",IF(AND(IFERROR(INDEX(tblMoveTypes[Item?],MATCH($C296,tblMoveTypes[Movement],0)),"?")="No",$E296&lt;&gt;""),"Leave Item blank",IF(AND(IFERROR(INDEX(tblMoveTypes[In / Out],MATCH($C296,tblMoveTypes[Movement],0)),"?")="IN",$G296&lt;&gt;""),"Use the In column, not Out",IF(AND(IFERROR(INDEX(tblMoveTypes[In / Out],MATCH($C296,tblMoveTypes[Movement],0)),"?")="OUT",$F296&lt;&gt;""),"Use the Out column, not In",IF(AND(IFERROR(INDEX(tblMoveTypes[Qty?],MATCH($C296,tblMoveTypes[Movement],0)),"?")="Yes",N($F296)+N($G296)&lt;=0),"Qty needed",IF(AND(IFERROR(INDEX(tblMoveTypes[Qty?],MATCH($C296,tblMoveTypes[Movement],0)),"?")="No",N($F296)+N($G296)&gt;0),"Leave In and Out blank",IF(AND(IFERROR(INDEX(tblMoveTypes[Courier?],MATCH($C296,tblMoveTypes[Movement],0)),"?")="Yes",$I296=""),"Courier needed",IF(AND(IFERROR(INDEX(tblMoveTypes[Courier?],MATCH($C296,tblMoveTypes[Movement],0)),"?")="No",$I296&lt;&gt;""),"Leave Courier blank",IF(AND(IFERROR(INDEX(tblMoveTypes[Orders?],MATCH($C296,tblMoveTypes[Movement],0)),"?")="Yes",$H296=""),"Orders needed",IF(AND(IFERROR(INDEX(tblMoveTypes[Orders?],MATCH($C296,tblMoveTypes[Movement],0)),"?")="No",$H296&lt;&gt;""),"Leave Orders blank",IF(AND(IFERROR(INDEX(tblMoveTypes[Reason?],MATCH($C296,tblMoveTypes[Movement],0)),"?")="Yes",$J296=""),"Reason needed",IF($A296&lt;_xlfn.MINIFS(tblShipment[Arrival Date],tblShipment[Shipment No],$B296),"Date before arrival",IF(AND($E296&lt;&gt;"",COUNTIFS(tblShipment[Shipment No],$B296,tblShipment[Item Name],$E296)=0),"Item not in this shipment","OK")))))))))))))))))</f>
        <v>OK</v>
      </c>
    </row>
    <row r="297" customFormat="false" ht="15" hidden="false" customHeight="false" outlineLevel="0" collapsed="false">
      <c r="A297" s="32" t="n">
        <v>46247</v>
      </c>
      <c r="B297" s="31" t="s">
        <v>166</v>
      </c>
      <c r="C297" s="31" t="s">
        <v>79</v>
      </c>
      <c r="D297" s="34" t="str">
        <f aca="false">IF($C297="","",IFERROR(IF(IFERROR(INDEX(tblMoveTypes[In / Out],MATCH($C297,tblMoveTypes[Movement],0)),"?")="IN","IN   ",IF(IFERROR(INDEX(tblMoveTypes[In / Out],MATCH($C297,tblMoveTypes[Movement],0)),"?")="OUT","OUT   ","--   "))&amp;"fill: "&amp;IF(IFERROR(INDEX(tblMoveTypes[Item?],MATCH($C297,tblMoveTypes[Movement],0)),"?")="Yes","Item  ","")&amp;IF(AND(IFERROR(INDEX(tblMoveTypes[Qty?],MATCH($C297,tblMoveTypes[Movement],0)),"?")="Yes",IFERROR(INDEX(tblMoveTypes[In / Out],MATCH($C297,tblMoveTypes[Movement],0)),"?")="IN"),"In  ","")&amp;IF(AND(IFERROR(INDEX(tblMoveTypes[Qty?],MATCH($C297,tblMoveTypes[Movement],0)),"?")="Yes",IFERROR(INDEX(tblMoveTypes[In / Out],MATCH($C297,tblMoveTypes[Movement],0)),"?")="OUT"),"Out  ","")&amp;IF(IFERROR(INDEX(tblMoveTypes[Orders?],MATCH($C297,tblMoveTypes[Movement],0)),"?")="Yes","Orders  ","")&amp;IF(IFERROR(INDEX(tblMoveTypes[Courier?],MATCH($C297,tblMoveTypes[Movement],0)),"?")="Yes","Courier  ","")&amp;IF(IFERROR(INDEX(tblMoveTypes[Reason?],MATCH($C297,tblMoveTypes[Movement],0)),"?")="Yes","Reason",""),"unknown movement"))</f>
        <v>IN   fill: Item  In  </v>
      </c>
      <c r="E297" s="31" t="s">
        <v>122</v>
      </c>
      <c r="F297" s="33" t="n">
        <v>25</v>
      </c>
      <c r="G297" s="33"/>
      <c r="H297" s="33"/>
      <c r="I297" s="31"/>
      <c r="J297" s="31"/>
      <c r="K297" s="31"/>
      <c r="L297" s="31"/>
      <c r="M297" s="34" t="str">
        <f aca="false">IF($E297="","",IFERROR(INDEX(tblItems[Item Code],MATCH($E297,tblItems[Item Name],0)),"?"))</f>
        <v>EG-FG-GRP-01-02-01-01</v>
      </c>
      <c r="N297" s="34" t="str">
        <f aca="false">IF($B297="","",IFERROR(INDEX(tblShipment[Market],MATCH($B297,tblShipment[Shipment No],0)),"?"))</f>
        <v>Qatar</v>
      </c>
      <c r="O297" s="35" t="n">
        <f aca="false">N($F297)+N($G297)</f>
        <v>25</v>
      </c>
      <c r="P297" s="34" t="str">
        <f aca="false">IF($A297="","",IF($L297="Yes","VOID",IF(COUNTIFS(tblMoveTypes[Movement],$C297)=0,"Unknown movement",IF(COUNTIF(tblShipment[Shipment No],$B297)=0,"Unknown shipment",IF(AND(IFERROR(INDEX(tblMoveTypes[Item?],MATCH($C297,tblMoveTypes[Movement],0)),"?")="Yes",$E297=""),"Item needed",IF(AND(IFERROR(INDEX(tblMoveTypes[Item?],MATCH($C297,tblMoveTypes[Movement],0)),"?")="No",$E297&lt;&gt;""),"Leave Item blank",IF(AND(IFERROR(INDEX(tblMoveTypes[In / Out],MATCH($C297,tblMoveTypes[Movement],0)),"?")="IN",$G297&lt;&gt;""),"Use the In column, not Out",IF(AND(IFERROR(INDEX(tblMoveTypes[In / Out],MATCH($C297,tblMoveTypes[Movement],0)),"?")="OUT",$F297&lt;&gt;""),"Use the Out column, not In",IF(AND(IFERROR(INDEX(tblMoveTypes[Qty?],MATCH($C297,tblMoveTypes[Movement],0)),"?")="Yes",N($F297)+N($G297)&lt;=0),"Qty needed",IF(AND(IFERROR(INDEX(tblMoveTypes[Qty?],MATCH($C297,tblMoveTypes[Movement],0)),"?")="No",N($F297)+N($G297)&gt;0),"Leave In and Out blank",IF(AND(IFERROR(INDEX(tblMoveTypes[Courier?],MATCH($C297,tblMoveTypes[Movement],0)),"?")="Yes",$I297=""),"Courier needed",IF(AND(IFERROR(INDEX(tblMoveTypes[Courier?],MATCH($C297,tblMoveTypes[Movement],0)),"?")="No",$I297&lt;&gt;""),"Leave Courier blank",IF(AND(IFERROR(INDEX(tblMoveTypes[Orders?],MATCH($C297,tblMoveTypes[Movement],0)),"?")="Yes",$H297=""),"Orders needed",IF(AND(IFERROR(INDEX(tblMoveTypes[Orders?],MATCH($C297,tblMoveTypes[Movement],0)),"?")="No",$H297&lt;&gt;""),"Leave Orders blank",IF(AND(IFERROR(INDEX(tblMoveTypes[Reason?],MATCH($C297,tblMoveTypes[Movement],0)),"?")="Yes",$J297=""),"Reason needed",IF($A297&lt;_xlfn.MINIFS(tblShipment[Arrival Date],tblShipment[Shipment No],$B297),"Date before arrival",IF(AND($E297&lt;&gt;"",COUNTIFS(tblShipment[Shipment No],$B297,tblShipment[Item Name],$E297)=0),"Item not in this shipment","OK")))))))))))))))))</f>
        <v>OK</v>
      </c>
    </row>
    <row r="298" customFormat="false" ht="15" hidden="false" customHeight="false" outlineLevel="0" collapsed="false">
      <c r="A298" s="32" t="n">
        <v>46247</v>
      </c>
      <c r="B298" s="31" t="s">
        <v>166</v>
      </c>
      <c r="C298" s="31" t="s">
        <v>78</v>
      </c>
      <c r="D298" s="34" t="str">
        <f aca="false">IF($C298="","",IFERROR(IF(IFERROR(INDEX(tblMoveTypes[In / Out],MATCH($C298,tblMoveTypes[Movement],0)),"?")="IN","IN   ",IF(IFERROR(INDEX(tblMoveTypes[In / Out],MATCH($C298,tblMoveTypes[Movement],0)),"?")="OUT","OUT   ","--   "))&amp;"fill: "&amp;IF(IFERROR(INDEX(tblMoveTypes[Item?],MATCH($C298,tblMoveTypes[Movement],0)),"?")="Yes","Item  ","")&amp;IF(AND(IFERROR(INDEX(tblMoveTypes[Qty?],MATCH($C298,tblMoveTypes[Movement],0)),"?")="Yes",IFERROR(INDEX(tblMoveTypes[In / Out],MATCH($C298,tblMoveTypes[Movement],0)),"?")="IN"),"In  ","")&amp;IF(AND(IFERROR(INDEX(tblMoveTypes[Qty?],MATCH($C298,tblMoveTypes[Movement],0)),"?")="Yes",IFERROR(INDEX(tblMoveTypes[In / Out],MATCH($C298,tblMoveTypes[Movement],0)),"?")="OUT"),"Out  ","")&amp;IF(IFERROR(INDEX(tblMoveTypes[Orders?],MATCH($C298,tblMoveTypes[Movement],0)),"?")="Yes","Orders  ","")&amp;IF(IFERROR(INDEX(tblMoveTypes[Courier?],MATCH($C298,tblMoveTypes[Movement],0)),"?")="Yes","Courier  ","")&amp;IF(IFERROR(INDEX(tblMoveTypes[Reason?],MATCH($C298,tblMoveTypes[Movement],0)),"?")="Yes","Reason",""),"unknown movement"))</f>
        <v>OUT   fill: Item  Out  Reason</v>
      </c>
      <c r="E298" s="31" t="s">
        <v>122</v>
      </c>
      <c r="F298" s="33"/>
      <c r="G298" s="33" t="n">
        <v>1</v>
      </c>
      <c r="H298" s="33"/>
      <c r="I298" s="31"/>
      <c r="J298" s="31" t="s">
        <v>77</v>
      </c>
      <c r="K298" s="31"/>
      <c r="L298" s="31"/>
      <c r="M298" s="34" t="str">
        <f aca="false">IF($E298="","",IFERROR(INDEX(tblItems[Item Code],MATCH($E298,tblItems[Item Name],0)),"?"))</f>
        <v>EG-FG-GRP-01-02-01-01</v>
      </c>
      <c r="N298" s="34" t="str">
        <f aca="false">IF($B298="","",IFERROR(INDEX(tblShipment[Market],MATCH($B298,tblShipment[Shipment No],0)),"?"))</f>
        <v>Qatar</v>
      </c>
      <c r="O298" s="35" t="n">
        <f aca="false">N($F298)+N($G298)</f>
        <v>1</v>
      </c>
      <c r="P298" s="34" t="str">
        <f aca="false">IF($A298="","",IF($L298="Yes","VOID",IF(COUNTIFS(tblMoveTypes[Movement],$C298)=0,"Unknown movement",IF(COUNTIF(tblShipment[Shipment No],$B298)=0,"Unknown shipment",IF(AND(IFERROR(INDEX(tblMoveTypes[Item?],MATCH($C298,tblMoveTypes[Movement],0)),"?")="Yes",$E298=""),"Item needed",IF(AND(IFERROR(INDEX(tblMoveTypes[Item?],MATCH($C298,tblMoveTypes[Movement],0)),"?")="No",$E298&lt;&gt;""),"Leave Item blank",IF(AND(IFERROR(INDEX(tblMoveTypes[In / Out],MATCH($C298,tblMoveTypes[Movement],0)),"?")="IN",$G298&lt;&gt;""),"Use the In column, not Out",IF(AND(IFERROR(INDEX(tblMoveTypes[In / Out],MATCH($C298,tblMoveTypes[Movement],0)),"?")="OUT",$F298&lt;&gt;""),"Use the Out column, not In",IF(AND(IFERROR(INDEX(tblMoveTypes[Qty?],MATCH($C298,tblMoveTypes[Movement],0)),"?")="Yes",N($F298)+N($G298)&lt;=0),"Qty needed",IF(AND(IFERROR(INDEX(tblMoveTypes[Qty?],MATCH($C298,tblMoveTypes[Movement],0)),"?")="No",N($F298)+N($G298)&gt;0),"Leave In and Out blank",IF(AND(IFERROR(INDEX(tblMoveTypes[Courier?],MATCH($C298,tblMoveTypes[Movement],0)),"?")="Yes",$I298=""),"Courier needed",IF(AND(IFERROR(INDEX(tblMoveTypes[Courier?],MATCH($C298,tblMoveTypes[Movement],0)),"?")="No",$I298&lt;&gt;""),"Leave Courier blank",IF(AND(IFERROR(INDEX(tblMoveTypes[Orders?],MATCH($C298,tblMoveTypes[Movement],0)),"?")="Yes",$H298=""),"Orders needed",IF(AND(IFERROR(INDEX(tblMoveTypes[Orders?],MATCH($C298,tblMoveTypes[Movement],0)),"?")="No",$H298&lt;&gt;""),"Leave Orders blank",IF(AND(IFERROR(INDEX(tblMoveTypes[Reason?],MATCH($C298,tblMoveTypes[Movement],0)),"?")="Yes",$J298=""),"Reason needed",IF($A298&lt;_xlfn.MINIFS(tblShipment[Arrival Date],tblShipment[Shipment No],$B298),"Date before arrival",IF(AND($E298&lt;&gt;"",COUNTIFS(tblShipment[Shipment No],$B298,tblShipment[Item Name],$E298)=0),"Item not in this shipment","OK")))))))))))))))))</f>
        <v>OK</v>
      </c>
    </row>
    <row r="299" customFormat="false" ht="15" hidden="false" customHeight="false" outlineLevel="0" collapsed="false">
      <c r="A299" s="32" t="n">
        <v>46247</v>
      </c>
      <c r="B299" s="31" t="s">
        <v>166</v>
      </c>
      <c r="C299" s="31" t="s">
        <v>79</v>
      </c>
      <c r="D299" s="34" t="str">
        <f aca="false">IF($C299="","",IFERROR(IF(IFERROR(INDEX(tblMoveTypes[In / Out],MATCH($C299,tblMoveTypes[Movement],0)),"?")="IN","IN   ",IF(IFERROR(INDEX(tblMoveTypes[In / Out],MATCH($C299,tblMoveTypes[Movement],0)),"?")="OUT","OUT   ","--   "))&amp;"fill: "&amp;IF(IFERROR(INDEX(tblMoveTypes[Item?],MATCH($C299,tblMoveTypes[Movement],0)),"?")="Yes","Item  ","")&amp;IF(AND(IFERROR(INDEX(tblMoveTypes[Qty?],MATCH($C299,tblMoveTypes[Movement],0)),"?")="Yes",IFERROR(INDEX(tblMoveTypes[In / Out],MATCH($C299,tblMoveTypes[Movement],0)),"?")="IN"),"In  ","")&amp;IF(AND(IFERROR(INDEX(tblMoveTypes[Qty?],MATCH($C299,tblMoveTypes[Movement],0)),"?")="Yes",IFERROR(INDEX(tblMoveTypes[In / Out],MATCH($C299,tblMoveTypes[Movement],0)),"?")="OUT"),"Out  ","")&amp;IF(IFERROR(INDEX(tblMoveTypes[Orders?],MATCH($C299,tblMoveTypes[Movement],0)),"?")="Yes","Orders  ","")&amp;IF(IFERROR(INDEX(tblMoveTypes[Courier?],MATCH($C299,tblMoveTypes[Movement],0)),"?")="Yes","Courier  ","")&amp;IF(IFERROR(INDEX(tblMoveTypes[Reason?],MATCH($C299,tblMoveTypes[Movement],0)),"?")="Yes","Reason",""),"unknown movement"))</f>
        <v>IN   fill: Item  In  </v>
      </c>
      <c r="E299" s="31" t="s">
        <v>95</v>
      </c>
      <c r="F299" s="33" t="n">
        <v>45</v>
      </c>
      <c r="G299" s="33"/>
      <c r="H299" s="33"/>
      <c r="I299" s="31"/>
      <c r="J299" s="31"/>
      <c r="K299" s="31"/>
      <c r="L299" s="31"/>
      <c r="M299" s="34" t="str">
        <f aca="false">IF($E299="","",IFERROR(INDEX(tblItems[Item Code],MATCH($E299,tblItems[Item Name],0)),"?"))</f>
        <v>EG-FG-GUV-01-02-01-01</v>
      </c>
      <c r="N299" s="34" t="str">
        <f aca="false">IF($B299="","",IFERROR(INDEX(tblShipment[Market],MATCH($B299,tblShipment[Shipment No],0)),"?"))</f>
        <v>Qatar</v>
      </c>
      <c r="O299" s="35" t="n">
        <f aca="false">N($F299)+N($G299)</f>
        <v>45</v>
      </c>
      <c r="P299" s="34" t="str">
        <f aca="false">IF($A299="","",IF($L299="Yes","VOID",IF(COUNTIFS(tblMoveTypes[Movement],$C299)=0,"Unknown movement",IF(COUNTIF(tblShipment[Shipment No],$B299)=0,"Unknown shipment",IF(AND(IFERROR(INDEX(tblMoveTypes[Item?],MATCH($C299,tblMoveTypes[Movement],0)),"?")="Yes",$E299=""),"Item needed",IF(AND(IFERROR(INDEX(tblMoveTypes[Item?],MATCH($C299,tblMoveTypes[Movement],0)),"?")="No",$E299&lt;&gt;""),"Leave Item blank",IF(AND(IFERROR(INDEX(tblMoveTypes[In / Out],MATCH($C299,tblMoveTypes[Movement],0)),"?")="IN",$G299&lt;&gt;""),"Use the In column, not Out",IF(AND(IFERROR(INDEX(tblMoveTypes[In / Out],MATCH($C299,tblMoveTypes[Movement],0)),"?")="OUT",$F299&lt;&gt;""),"Use the Out column, not In",IF(AND(IFERROR(INDEX(tblMoveTypes[Qty?],MATCH($C299,tblMoveTypes[Movement],0)),"?")="Yes",N($F299)+N($G299)&lt;=0),"Qty needed",IF(AND(IFERROR(INDEX(tblMoveTypes[Qty?],MATCH($C299,tblMoveTypes[Movement],0)),"?")="No",N($F299)+N($G299)&gt;0),"Leave In and Out blank",IF(AND(IFERROR(INDEX(tblMoveTypes[Courier?],MATCH($C299,tblMoveTypes[Movement],0)),"?")="Yes",$I299=""),"Courier needed",IF(AND(IFERROR(INDEX(tblMoveTypes[Courier?],MATCH($C299,tblMoveTypes[Movement],0)),"?")="No",$I299&lt;&gt;""),"Leave Courier blank",IF(AND(IFERROR(INDEX(tblMoveTypes[Orders?],MATCH($C299,tblMoveTypes[Movement],0)),"?")="Yes",$H299=""),"Orders needed",IF(AND(IFERROR(INDEX(tblMoveTypes[Orders?],MATCH($C299,tblMoveTypes[Movement],0)),"?")="No",$H299&lt;&gt;""),"Leave Orders blank",IF(AND(IFERROR(INDEX(tblMoveTypes[Reason?],MATCH($C299,tblMoveTypes[Movement],0)),"?")="Yes",$J299=""),"Reason needed",IF($A299&lt;_xlfn.MINIFS(tblShipment[Arrival Date],tblShipment[Shipment No],$B299),"Date before arrival",IF(AND($E299&lt;&gt;"",COUNTIFS(tblShipment[Shipment No],$B299,tblShipment[Item Name],$E299)=0),"Item not in this shipment","OK")))))))))))))))))</f>
        <v>OK</v>
      </c>
    </row>
    <row r="300" customFormat="false" ht="15" hidden="false" customHeight="false" outlineLevel="0" collapsed="false">
      <c r="A300" s="32" t="n">
        <v>46247</v>
      </c>
      <c r="B300" s="31" t="s">
        <v>166</v>
      </c>
      <c r="C300" s="31" t="s">
        <v>78</v>
      </c>
      <c r="D300" s="34" t="str">
        <f aca="false">IF($C300="","",IFERROR(IF(IFERROR(INDEX(tblMoveTypes[In / Out],MATCH($C300,tblMoveTypes[Movement],0)),"?")="IN","IN   ",IF(IFERROR(INDEX(tblMoveTypes[In / Out],MATCH($C300,tblMoveTypes[Movement],0)),"?")="OUT","OUT   ","--   "))&amp;"fill: "&amp;IF(IFERROR(INDEX(tblMoveTypes[Item?],MATCH($C300,tblMoveTypes[Movement],0)),"?")="Yes","Item  ","")&amp;IF(AND(IFERROR(INDEX(tblMoveTypes[Qty?],MATCH($C300,tblMoveTypes[Movement],0)),"?")="Yes",IFERROR(INDEX(tblMoveTypes[In / Out],MATCH($C300,tblMoveTypes[Movement],0)),"?")="IN"),"In  ","")&amp;IF(AND(IFERROR(INDEX(tblMoveTypes[Qty?],MATCH($C300,tblMoveTypes[Movement],0)),"?")="Yes",IFERROR(INDEX(tblMoveTypes[In / Out],MATCH($C300,tblMoveTypes[Movement],0)),"?")="OUT"),"Out  ","")&amp;IF(IFERROR(INDEX(tblMoveTypes[Orders?],MATCH($C300,tblMoveTypes[Movement],0)),"?")="Yes","Orders  ","")&amp;IF(IFERROR(INDEX(tblMoveTypes[Courier?],MATCH($C300,tblMoveTypes[Movement],0)),"?")="Yes","Courier  ","")&amp;IF(IFERROR(INDEX(tblMoveTypes[Reason?],MATCH($C300,tblMoveTypes[Movement],0)),"?")="Yes","Reason",""),"unknown movement"))</f>
        <v>OUT   fill: Item  Out  Reason</v>
      </c>
      <c r="E300" s="31" t="s">
        <v>95</v>
      </c>
      <c r="F300" s="33"/>
      <c r="G300" s="33" t="n">
        <v>1</v>
      </c>
      <c r="H300" s="33"/>
      <c r="I300" s="31"/>
      <c r="J300" s="31" t="s">
        <v>86</v>
      </c>
      <c r="K300" s="31"/>
      <c r="L300" s="31"/>
      <c r="M300" s="34" t="str">
        <f aca="false">IF($E300="","",IFERROR(INDEX(tblItems[Item Code],MATCH($E300,tblItems[Item Name],0)),"?"))</f>
        <v>EG-FG-GUV-01-02-01-01</v>
      </c>
      <c r="N300" s="34" t="str">
        <f aca="false">IF($B300="","",IFERROR(INDEX(tblShipment[Market],MATCH($B300,tblShipment[Shipment No],0)),"?"))</f>
        <v>Qatar</v>
      </c>
      <c r="O300" s="35" t="n">
        <f aca="false">N($F300)+N($G300)</f>
        <v>1</v>
      </c>
      <c r="P300" s="34" t="str">
        <f aca="false">IF($A300="","",IF($L300="Yes","VOID",IF(COUNTIFS(tblMoveTypes[Movement],$C300)=0,"Unknown movement",IF(COUNTIF(tblShipment[Shipment No],$B300)=0,"Unknown shipment",IF(AND(IFERROR(INDEX(tblMoveTypes[Item?],MATCH($C300,tblMoveTypes[Movement],0)),"?")="Yes",$E300=""),"Item needed",IF(AND(IFERROR(INDEX(tblMoveTypes[Item?],MATCH($C300,tblMoveTypes[Movement],0)),"?")="No",$E300&lt;&gt;""),"Leave Item blank",IF(AND(IFERROR(INDEX(tblMoveTypes[In / Out],MATCH($C300,tblMoveTypes[Movement],0)),"?")="IN",$G300&lt;&gt;""),"Use the In column, not Out",IF(AND(IFERROR(INDEX(tblMoveTypes[In / Out],MATCH($C300,tblMoveTypes[Movement],0)),"?")="OUT",$F300&lt;&gt;""),"Use the Out column, not In",IF(AND(IFERROR(INDEX(tblMoveTypes[Qty?],MATCH($C300,tblMoveTypes[Movement],0)),"?")="Yes",N($F300)+N($G300)&lt;=0),"Qty needed",IF(AND(IFERROR(INDEX(tblMoveTypes[Qty?],MATCH($C300,tblMoveTypes[Movement],0)),"?")="No",N($F300)+N($G300)&gt;0),"Leave In and Out blank",IF(AND(IFERROR(INDEX(tblMoveTypes[Courier?],MATCH($C300,tblMoveTypes[Movement],0)),"?")="Yes",$I300=""),"Courier needed",IF(AND(IFERROR(INDEX(tblMoveTypes[Courier?],MATCH($C300,tblMoveTypes[Movement],0)),"?")="No",$I300&lt;&gt;""),"Leave Courier blank",IF(AND(IFERROR(INDEX(tblMoveTypes[Orders?],MATCH($C300,tblMoveTypes[Movement],0)),"?")="Yes",$H300=""),"Orders needed",IF(AND(IFERROR(INDEX(tblMoveTypes[Orders?],MATCH($C300,tblMoveTypes[Movement],0)),"?")="No",$H300&lt;&gt;""),"Leave Orders blank",IF(AND(IFERROR(INDEX(tblMoveTypes[Reason?],MATCH($C300,tblMoveTypes[Movement],0)),"?")="Yes",$J300=""),"Reason needed",IF($A300&lt;_xlfn.MINIFS(tblShipment[Arrival Date],tblShipment[Shipment No],$B300),"Date before arrival",IF(AND($E300&lt;&gt;"",COUNTIFS(tblShipment[Shipment No],$B300,tblShipment[Item Name],$E300)=0),"Item not in this shipment","OK")))))))))))))))))</f>
        <v>OK</v>
      </c>
    </row>
    <row r="301" customFormat="false" ht="15" hidden="false" customHeight="false" outlineLevel="0" collapsed="false">
      <c r="A301" s="32" t="n">
        <v>46247</v>
      </c>
      <c r="B301" s="31" t="s">
        <v>166</v>
      </c>
      <c r="C301" s="31" t="s">
        <v>79</v>
      </c>
      <c r="D301" s="34" t="str">
        <f aca="false">IF($C301="","",IFERROR(IF(IFERROR(INDEX(tblMoveTypes[In / Out],MATCH($C301,tblMoveTypes[Movement],0)),"?")="IN","IN   ",IF(IFERROR(INDEX(tblMoveTypes[In / Out],MATCH($C301,tblMoveTypes[Movement],0)),"?")="OUT","OUT   ","--   "))&amp;"fill: "&amp;IF(IFERROR(INDEX(tblMoveTypes[Item?],MATCH($C301,tblMoveTypes[Movement],0)),"?")="Yes","Item  ","")&amp;IF(AND(IFERROR(INDEX(tblMoveTypes[Qty?],MATCH($C301,tblMoveTypes[Movement],0)),"?")="Yes",IFERROR(INDEX(tblMoveTypes[In / Out],MATCH($C301,tblMoveTypes[Movement],0)),"?")="IN"),"In  ","")&amp;IF(AND(IFERROR(INDEX(tblMoveTypes[Qty?],MATCH($C301,tblMoveTypes[Movement],0)),"?")="Yes",IFERROR(INDEX(tblMoveTypes[In / Out],MATCH($C301,tblMoveTypes[Movement],0)),"?")="OUT"),"Out  ","")&amp;IF(IFERROR(INDEX(tblMoveTypes[Orders?],MATCH($C301,tblMoveTypes[Movement],0)),"?")="Yes","Orders  ","")&amp;IF(IFERROR(INDEX(tblMoveTypes[Courier?],MATCH($C301,tblMoveTypes[Movement],0)),"?")="Yes","Courier  ","")&amp;IF(IFERROR(INDEX(tblMoveTypes[Reason?],MATCH($C301,tblMoveTypes[Movement],0)),"?")="Yes","Reason",""),"unknown movement"))</f>
        <v>IN   fill: Item  In  </v>
      </c>
      <c r="E301" s="31" t="s">
        <v>91</v>
      </c>
      <c r="F301" s="33" t="n">
        <v>65</v>
      </c>
      <c r="G301" s="33"/>
      <c r="H301" s="33"/>
      <c r="I301" s="31"/>
      <c r="J301" s="31"/>
      <c r="K301" s="31"/>
      <c r="L301" s="31"/>
      <c r="M301" s="34" t="str">
        <f aca="false">IF($E301="","",IFERROR(INDEX(tblItems[Item Code],MATCH($E301,tblItems[Item Name],0)),"?"))</f>
        <v>EG-FG-FIG-01-02-01-01</v>
      </c>
      <c r="N301" s="34" t="str">
        <f aca="false">IF($B301="","",IFERROR(INDEX(tblShipment[Market],MATCH($B301,tblShipment[Shipment No],0)),"?"))</f>
        <v>Qatar</v>
      </c>
      <c r="O301" s="35" t="n">
        <f aca="false">N($F301)+N($G301)</f>
        <v>65</v>
      </c>
      <c r="P301" s="34" t="str">
        <f aca="false">IF($A301="","",IF($L301="Yes","VOID",IF(COUNTIFS(tblMoveTypes[Movement],$C301)=0,"Unknown movement",IF(COUNTIF(tblShipment[Shipment No],$B301)=0,"Unknown shipment",IF(AND(IFERROR(INDEX(tblMoveTypes[Item?],MATCH($C301,tblMoveTypes[Movement],0)),"?")="Yes",$E301=""),"Item needed",IF(AND(IFERROR(INDEX(tblMoveTypes[Item?],MATCH($C301,tblMoveTypes[Movement],0)),"?")="No",$E301&lt;&gt;""),"Leave Item blank",IF(AND(IFERROR(INDEX(tblMoveTypes[In / Out],MATCH($C301,tblMoveTypes[Movement],0)),"?")="IN",$G301&lt;&gt;""),"Use the In column, not Out",IF(AND(IFERROR(INDEX(tblMoveTypes[In / Out],MATCH($C301,tblMoveTypes[Movement],0)),"?")="OUT",$F301&lt;&gt;""),"Use the Out column, not In",IF(AND(IFERROR(INDEX(tblMoveTypes[Qty?],MATCH($C301,tblMoveTypes[Movement],0)),"?")="Yes",N($F301)+N($G301)&lt;=0),"Qty needed",IF(AND(IFERROR(INDEX(tblMoveTypes[Qty?],MATCH($C301,tblMoveTypes[Movement],0)),"?")="No",N($F301)+N($G301)&gt;0),"Leave In and Out blank",IF(AND(IFERROR(INDEX(tblMoveTypes[Courier?],MATCH($C301,tblMoveTypes[Movement],0)),"?")="Yes",$I301=""),"Courier needed",IF(AND(IFERROR(INDEX(tblMoveTypes[Courier?],MATCH($C301,tblMoveTypes[Movement],0)),"?")="No",$I301&lt;&gt;""),"Leave Courier blank",IF(AND(IFERROR(INDEX(tblMoveTypes[Orders?],MATCH($C301,tblMoveTypes[Movement],0)),"?")="Yes",$H301=""),"Orders needed",IF(AND(IFERROR(INDEX(tblMoveTypes[Orders?],MATCH($C301,tblMoveTypes[Movement],0)),"?")="No",$H301&lt;&gt;""),"Leave Orders blank",IF(AND(IFERROR(INDEX(tblMoveTypes[Reason?],MATCH($C301,tblMoveTypes[Movement],0)),"?")="Yes",$J301=""),"Reason needed",IF($A301&lt;_xlfn.MINIFS(tblShipment[Arrival Date],tblShipment[Shipment No],$B301),"Date before arrival",IF(AND($E301&lt;&gt;"",COUNTIFS(tblShipment[Shipment No],$B301,tblShipment[Item Name],$E301)=0),"Item not in this shipment","OK")))))))))))))))))</f>
        <v>OK</v>
      </c>
    </row>
    <row r="302" customFormat="false" ht="15" hidden="false" customHeight="false" outlineLevel="0" collapsed="false">
      <c r="A302" s="32" t="n">
        <v>46247</v>
      </c>
      <c r="B302" s="31" t="s">
        <v>166</v>
      </c>
      <c r="C302" s="31" t="s">
        <v>78</v>
      </c>
      <c r="D302" s="34" t="str">
        <f aca="false">IF($C302="","",IFERROR(IF(IFERROR(INDEX(tblMoveTypes[In / Out],MATCH($C302,tblMoveTypes[Movement],0)),"?")="IN","IN   ",IF(IFERROR(INDEX(tblMoveTypes[In / Out],MATCH($C302,tblMoveTypes[Movement],0)),"?")="OUT","OUT   ","--   "))&amp;"fill: "&amp;IF(IFERROR(INDEX(tblMoveTypes[Item?],MATCH($C302,tblMoveTypes[Movement],0)),"?")="Yes","Item  ","")&amp;IF(AND(IFERROR(INDEX(tblMoveTypes[Qty?],MATCH($C302,tblMoveTypes[Movement],0)),"?")="Yes",IFERROR(INDEX(tblMoveTypes[In / Out],MATCH($C302,tblMoveTypes[Movement],0)),"?")="IN"),"In  ","")&amp;IF(AND(IFERROR(INDEX(tblMoveTypes[Qty?],MATCH($C302,tblMoveTypes[Movement],0)),"?")="Yes",IFERROR(INDEX(tblMoveTypes[In / Out],MATCH($C302,tblMoveTypes[Movement],0)),"?")="OUT"),"Out  ","")&amp;IF(IFERROR(INDEX(tblMoveTypes[Orders?],MATCH($C302,tblMoveTypes[Movement],0)),"?")="Yes","Orders  ","")&amp;IF(IFERROR(INDEX(tblMoveTypes[Courier?],MATCH($C302,tblMoveTypes[Movement],0)),"?")="Yes","Courier  ","")&amp;IF(IFERROR(INDEX(tblMoveTypes[Reason?],MATCH($C302,tblMoveTypes[Movement],0)),"?")="Yes","Reason",""),"unknown movement"))</f>
        <v>OUT   fill: Item  Out  Reason</v>
      </c>
      <c r="E302" s="31" t="s">
        <v>91</v>
      </c>
      <c r="F302" s="33"/>
      <c r="G302" s="33" t="n">
        <v>1</v>
      </c>
      <c r="H302" s="33"/>
      <c r="I302" s="31"/>
      <c r="J302" s="31" t="s">
        <v>86</v>
      </c>
      <c r="K302" s="31"/>
      <c r="L302" s="31"/>
      <c r="M302" s="34" t="str">
        <f aca="false">IF($E302="","",IFERROR(INDEX(tblItems[Item Code],MATCH($E302,tblItems[Item Name],0)),"?"))</f>
        <v>EG-FG-FIG-01-02-01-01</v>
      </c>
      <c r="N302" s="34" t="str">
        <f aca="false">IF($B302="","",IFERROR(INDEX(tblShipment[Market],MATCH($B302,tblShipment[Shipment No],0)),"?"))</f>
        <v>Qatar</v>
      </c>
      <c r="O302" s="35" t="n">
        <f aca="false">N($F302)+N($G302)</f>
        <v>1</v>
      </c>
      <c r="P302" s="34" t="str">
        <f aca="false">IF($A302="","",IF($L302="Yes","VOID",IF(COUNTIFS(tblMoveTypes[Movement],$C302)=0,"Unknown movement",IF(COUNTIF(tblShipment[Shipment No],$B302)=0,"Unknown shipment",IF(AND(IFERROR(INDEX(tblMoveTypes[Item?],MATCH($C302,tblMoveTypes[Movement],0)),"?")="Yes",$E302=""),"Item needed",IF(AND(IFERROR(INDEX(tblMoveTypes[Item?],MATCH($C302,tblMoveTypes[Movement],0)),"?")="No",$E302&lt;&gt;""),"Leave Item blank",IF(AND(IFERROR(INDEX(tblMoveTypes[In / Out],MATCH($C302,tblMoveTypes[Movement],0)),"?")="IN",$G302&lt;&gt;""),"Use the In column, not Out",IF(AND(IFERROR(INDEX(tblMoveTypes[In / Out],MATCH($C302,tblMoveTypes[Movement],0)),"?")="OUT",$F302&lt;&gt;""),"Use the Out column, not In",IF(AND(IFERROR(INDEX(tblMoveTypes[Qty?],MATCH($C302,tblMoveTypes[Movement],0)),"?")="Yes",N($F302)+N($G302)&lt;=0),"Qty needed",IF(AND(IFERROR(INDEX(tblMoveTypes[Qty?],MATCH($C302,tblMoveTypes[Movement],0)),"?")="No",N($F302)+N($G302)&gt;0),"Leave In and Out blank",IF(AND(IFERROR(INDEX(tblMoveTypes[Courier?],MATCH($C302,tblMoveTypes[Movement],0)),"?")="Yes",$I302=""),"Courier needed",IF(AND(IFERROR(INDEX(tblMoveTypes[Courier?],MATCH($C302,tblMoveTypes[Movement],0)),"?")="No",$I302&lt;&gt;""),"Leave Courier blank",IF(AND(IFERROR(INDEX(tblMoveTypes[Orders?],MATCH($C302,tblMoveTypes[Movement],0)),"?")="Yes",$H302=""),"Orders needed",IF(AND(IFERROR(INDEX(tblMoveTypes[Orders?],MATCH($C302,tblMoveTypes[Movement],0)),"?")="No",$H302&lt;&gt;""),"Leave Orders blank",IF(AND(IFERROR(INDEX(tblMoveTypes[Reason?],MATCH($C302,tblMoveTypes[Movement],0)),"?")="Yes",$J302=""),"Reason needed",IF($A302&lt;_xlfn.MINIFS(tblShipment[Arrival Date],tblShipment[Shipment No],$B302),"Date before arrival",IF(AND($E302&lt;&gt;"",COUNTIFS(tblShipment[Shipment No],$B302,tblShipment[Item Name],$E302)=0),"Item not in this shipment","OK")))))))))))))))))</f>
        <v>OK</v>
      </c>
    </row>
    <row r="303" customFormat="false" ht="15" hidden="false" customHeight="false" outlineLevel="0" collapsed="false">
      <c r="A303" s="32" t="n">
        <v>46247</v>
      </c>
      <c r="B303" s="31" t="s">
        <v>166</v>
      </c>
      <c r="C303" s="31" t="s">
        <v>87</v>
      </c>
      <c r="D303" s="34" t="str">
        <f aca="false">IF($C303="","",IFERROR(IF(IFERROR(INDEX(tblMoveTypes[In / Out],MATCH($C303,tblMoveTypes[Movement],0)),"?")="IN","IN   ",IF(IFERROR(INDEX(tblMoveTypes[In / Out],MATCH($C303,tblMoveTypes[Movement],0)),"?")="OUT","OUT   ","--   "))&amp;"fill: "&amp;IF(IFERROR(INDEX(tblMoveTypes[Item?],MATCH($C303,tblMoveTypes[Movement],0)),"?")="Yes","Item  ","")&amp;IF(AND(IFERROR(INDEX(tblMoveTypes[Qty?],MATCH($C303,tblMoveTypes[Movement],0)),"?")="Yes",IFERROR(INDEX(tblMoveTypes[In / Out],MATCH($C303,tblMoveTypes[Movement],0)),"?")="IN"),"In  ","")&amp;IF(AND(IFERROR(INDEX(tblMoveTypes[Qty?],MATCH($C303,tblMoveTypes[Movement],0)),"?")="Yes",IFERROR(INDEX(tblMoveTypes[In / Out],MATCH($C303,tblMoveTypes[Movement],0)),"?")="OUT"),"Out  ","")&amp;IF(IFERROR(INDEX(tblMoveTypes[Orders?],MATCH($C303,tblMoveTypes[Movement],0)),"?")="Yes","Orders  ","")&amp;IF(IFERROR(INDEX(tblMoveTypes[Courier?],MATCH($C303,tblMoveTypes[Movement],0)),"?")="Yes","Courier  ","")&amp;IF(IFERROR(INDEX(tblMoveTypes[Reason?],MATCH($C303,tblMoveTypes[Movement],0)),"?")="Yes","Reason",""),"unknown movement"))</f>
        <v>OUT   fill: Item  Out  </v>
      </c>
      <c r="E303" s="31" t="s">
        <v>112</v>
      </c>
      <c r="F303" s="33"/>
      <c r="G303" s="33" t="n">
        <v>2</v>
      </c>
      <c r="H303" s="33"/>
      <c r="I303" s="31"/>
      <c r="J303" s="31"/>
      <c r="K303" s="31" t="s">
        <v>179</v>
      </c>
      <c r="L303" s="31"/>
      <c r="M303" s="34" t="str">
        <f aca="false">IF($E303="","",IFERROR(INDEX(tblItems[Item Code],MATCH($E303,tblItems[Item Name],0)),"?"))</f>
        <v>BOX-TRIO-01</v>
      </c>
      <c r="N303" s="34" t="str">
        <f aca="false">IF($B303="","",IFERROR(INDEX(tblShipment[Market],MATCH($B303,tblShipment[Shipment No],0)),"?"))</f>
        <v>Qatar</v>
      </c>
      <c r="O303" s="35" t="n">
        <f aca="false">N($F303)+N($G303)</f>
        <v>2</v>
      </c>
      <c r="P303" s="34" t="str">
        <f aca="false">IF($A303="","",IF($L303="Yes","VOID",IF(COUNTIFS(tblMoveTypes[Movement],$C303)=0,"Unknown movement",IF(COUNTIF(tblShipment[Shipment No],$B303)=0,"Unknown shipment",IF(AND(IFERROR(INDEX(tblMoveTypes[Item?],MATCH($C303,tblMoveTypes[Movement],0)),"?")="Yes",$E303=""),"Item needed",IF(AND(IFERROR(INDEX(tblMoveTypes[Item?],MATCH($C303,tblMoveTypes[Movement],0)),"?")="No",$E303&lt;&gt;""),"Leave Item blank",IF(AND(IFERROR(INDEX(tblMoveTypes[In / Out],MATCH($C303,tblMoveTypes[Movement],0)),"?")="IN",$G303&lt;&gt;""),"Use the In column, not Out",IF(AND(IFERROR(INDEX(tblMoveTypes[In / Out],MATCH($C303,tblMoveTypes[Movement],0)),"?")="OUT",$F303&lt;&gt;""),"Use the Out column, not In",IF(AND(IFERROR(INDEX(tblMoveTypes[Qty?],MATCH($C303,tblMoveTypes[Movement],0)),"?")="Yes",N($F303)+N($G303)&lt;=0),"Qty needed",IF(AND(IFERROR(INDEX(tblMoveTypes[Qty?],MATCH($C303,tblMoveTypes[Movement],0)),"?")="No",N($F303)+N($G303)&gt;0),"Leave In and Out blank",IF(AND(IFERROR(INDEX(tblMoveTypes[Courier?],MATCH($C303,tblMoveTypes[Movement],0)),"?")="Yes",$I303=""),"Courier needed",IF(AND(IFERROR(INDEX(tblMoveTypes[Courier?],MATCH($C303,tblMoveTypes[Movement],0)),"?")="No",$I303&lt;&gt;""),"Leave Courier blank",IF(AND(IFERROR(INDEX(tblMoveTypes[Orders?],MATCH($C303,tblMoveTypes[Movement],0)),"?")="Yes",$H303=""),"Orders needed",IF(AND(IFERROR(INDEX(tblMoveTypes[Orders?],MATCH($C303,tblMoveTypes[Movement],0)),"?")="No",$H303&lt;&gt;""),"Leave Orders blank",IF(AND(IFERROR(INDEX(tblMoveTypes[Reason?],MATCH($C303,tblMoveTypes[Movement],0)),"?")="Yes",$J303=""),"Reason needed",IF($A303&lt;_xlfn.MINIFS(tblShipment[Arrival Date],tblShipment[Shipment No],$B303),"Date before arrival",IF(AND($E303&lt;&gt;"",COUNTIFS(tblShipment[Shipment No],$B303,tblShipment[Item Name],$E303)=0),"Item not in this shipment","OK")))))))))))))))))</f>
        <v>OK</v>
      </c>
    </row>
    <row r="304" customFormat="false" ht="15" hidden="false" customHeight="false" outlineLevel="0" collapsed="false">
      <c r="A304" s="32" t="n">
        <v>46247</v>
      </c>
      <c r="B304" s="31" t="s">
        <v>166</v>
      </c>
      <c r="C304" s="31" t="s">
        <v>79</v>
      </c>
      <c r="D304" s="34" t="str">
        <f aca="false">IF($C304="","",IFERROR(IF(IFERROR(INDEX(tblMoveTypes[In / Out],MATCH($C304,tblMoveTypes[Movement],0)),"?")="IN","IN   ",IF(IFERROR(INDEX(tblMoveTypes[In / Out],MATCH($C304,tblMoveTypes[Movement],0)),"?")="OUT","OUT   ","--   "))&amp;"fill: "&amp;IF(IFERROR(INDEX(tblMoveTypes[Item?],MATCH($C304,tblMoveTypes[Movement],0)),"?")="Yes","Item  ","")&amp;IF(AND(IFERROR(INDEX(tblMoveTypes[Qty?],MATCH($C304,tblMoveTypes[Movement],0)),"?")="Yes",IFERROR(INDEX(tblMoveTypes[In / Out],MATCH($C304,tblMoveTypes[Movement],0)),"?")="IN"),"In  ","")&amp;IF(AND(IFERROR(INDEX(tblMoveTypes[Qty?],MATCH($C304,tblMoveTypes[Movement],0)),"?")="Yes",IFERROR(INDEX(tblMoveTypes[In / Out],MATCH($C304,tblMoveTypes[Movement],0)),"?")="OUT"),"Out  ","")&amp;IF(IFERROR(INDEX(tblMoveTypes[Orders?],MATCH($C304,tblMoveTypes[Movement],0)),"?")="Yes","Orders  ","")&amp;IF(IFERROR(INDEX(tblMoveTypes[Courier?],MATCH($C304,tblMoveTypes[Movement],0)),"?")="Yes","Courier  ","")&amp;IF(IFERROR(INDEX(tblMoveTypes[Reason?],MATCH($C304,tblMoveTypes[Movement],0)),"?")="Yes","Reason",""),"unknown movement"))</f>
        <v>IN   fill: Item  In  </v>
      </c>
      <c r="E304" s="31" t="s">
        <v>112</v>
      </c>
      <c r="F304" s="33" t="n">
        <v>33</v>
      </c>
      <c r="G304" s="33"/>
      <c r="H304" s="33"/>
      <c r="I304" s="31"/>
      <c r="J304" s="31"/>
      <c r="K304" s="31"/>
      <c r="L304" s="31"/>
      <c r="M304" s="34" t="str">
        <f aca="false">IF($E304="","",IFERROR(INDEX(tblItems[Item Code],MATCH($E304,tblItems[Item Name],0)),"?"))</f>
        <v>BOX-TRIO-01</v>
      </c>
      <c r="N304" s="34" t="str">
        <f aca="false">IF($B304="","",IFERROR(INDEX(tblShipment[Market],MATCH($B304,tblShipment[Shipment No],0)),"?"))</f>
        <v>Qatar</v>
      </c>
      <c r="O304" s="35" t="n">
        <f aca="false">N($F304)+N($G304)</f>
        <v>33</v>
      </c>
      <c r="P304" s="34" t="str">
        <f aca="false">IF($A304="","",IF($L304="Yes","VOID",IF(COUNTIFS(tblMoveTypes[Movement],$C304)=0,"Unknown movement",IF(COUNTIF(tblShipment[Shipment No],$B304)=0,"Unknown shipment",IF(AND(IFERROR(INDEX(tblMoveTypes[Item?],MATCH($C304,tblMoveTypes[Movement],0)),"?")="Yes",$E304=""),"Item needed",IF(AND(IFERROR(INDEX(tblMoveTypes[Item?],MATCH($C304,tblMoveTypes[Movement],0)),"?")="No",$E304&lt;&gt;""),"Leave Item blank",IF(AND(IFERROR(INDEX(tblMoveTypes[In / Out],MATCH($C304,tblMoveTypes[Movement],0)),"?")="IN",$G304&lt;&gt;""),"Use the In column, not Out",IF(AND(IFERROR(INDEX(tblMoveTypes[In / Out],MATCH($C304,tblMoveTypes[Movement],0)),"?")="OUT",$F304&lt;&gt;""),"Use the Out column, not In",IF(AND(IFERROR(INDEX(tblMoveTypes[Qty?],MATCH($C304,tblMoveTypes[Movement],0)),"?")="Yes",N($F304)+N($G304)&lt;=0),"Qty needed",IF(AND(IFERROR(INDEX(tblMoveTypes[Qty?],MATCH($C304,tblMoveTypes[Movement],0)),"?")="No",N($F304)+N($G304)&gt;0),"Leave In and Out blank",IF(AND(IFERROR(INDEX(tblMoveTypes[Courier?],MATCH($C304,tblMoveTypes[Movement],0)),"?")="Yes",$I304=""),"Courier needed",IF(AND(IFERROR(INDEX(tblMoveTypes[Courier?],MATCH($C304,tblMoveTypes[Movement],0)),"?")="No",$I304&lt;&gt;""),"Leave Courier blank",IF(AND(IFERROR(INDEX(tblMoveTypes[Orders?],MATCH($C304,tblMoveTypes[Movement],0)),"?")="Yes",$H304=""),"Orders needed",IF(AND(IFERROR(INDEX(tblMoveTypes[Orders?],MATCH($C304,tblMoveTypes[Movement],0)),"?")="No",$H304&lt;&gt;""),"Leave Orders blank",IF(AND(IFERROR(INDEX(tblMoveTypes[Reason?],MATCH($C304,tblMoveTypes[Movement],0)),"?")="Yes",$J304=""),"Reason needed",IF($A304&lt;_xlfn.MINIFS(tblShipment[Arrival Date],tblShipment[Shipment No],$B304),"Date before arrival",IF(AND($E304&lt;&gt;"",COUNTIFS(tblShipment[Shipment No],$B304,tblShipment[Item Name],$E304)=0),"Item not in this shipment","OK")))))))))))))))))</f>
        <v>OK</v>
      </c>
    </row>
    <row r="305" customFormat="false" ht="15" hidden="false" customHeight="false" outlineLevel="0" collapsed="false">
      <c r="A305" s="32" t="n">
        <v>46247</v>
      </c>
      <c r="B305" s="31" t="s">
        <v>166</v>
      </c>
      <c r="C305" s="31" t="s">
        <v>79</v>
      </c>
      <c r="D305" s="34" t="str">
        <f aca="false">IF($C305="","",IFERROR(IF(IFERROR(INDEX(tblMoveTypes[In / Out],MATCH($C305,tblMoveTypes[Movement],0)),"?")="IN","IN   ",IF(IFERROR(INDEX(tblMoveTypes[In / Out],MATCH($C305,tblMoveTypes[Movement],0)),"?")="OUT","OUT   ","--   "))&amp;"fill: "&amp;IF(IFERROR(INDEX(tblMoveTypes[Item?],MATCH($C305,tblMoveTypes[Movement],0)),"?")="Yes","Item  ","")&amp;IF(AND(IFERROR(INDEX(tblMoveTypes[Qty?],MATCH($C305,tblMoveTypes[Movement],0)),"?")="Yes",IFERROR(INDEX(tblMoveTypes[In / Out],MATCH($C305,tblMoveTypes[Movement],0)),"?")="IN"),"In  ","")&amp;IF(AND(IFERROR(INDEX(tblMoveTypes[Qty?],MATCH($C305,tblMoveTypes[Movement],0)),"?")="Yes",IFERROR(INDEX(tblMoveTypes[In / Out],MATCH($C305,tblMoveTypes[Movement],0)),"?")="OUT"),"Out  ","")&amp;IF(IFERROR(INDEX(tblMoveTypes[Orders?],MATCH($C305,tblMoveTypes[Movement],0)),"?")="Yes","Orders  ","")&amp;IF(IFERROR(INDEX(tblMoveTypes[Courier?],MATCH($C305,tblMoveTypes[Movement],0)),"?")="Yes","Courier  ","")&amp;IF(IFERROR(INDEX(tblMoveTypes[Reason?],MATCH($C305,tblMoveTypes[Movement],0)),"?")="Yes","Reason",""),"unknown movement"))</f>
        <v>IN   fill: Item  In  </v>
      </c>
      <c r="E305" s="31" t="s">
        <v>106</v>
      </c>
      <c r="F305" s="33" t="n">
        <v>35</v>
      </c>
      <c r="G305" s="33"/>
      <c r="H305" s="33"/>
      <c r="I305" s="31"/>
      <c r="J305" s="31"/>
      <c r="K305" s="31"/>
      <c r="L305" s="31"/>
      <c r="M305" s="34" t="str">
        <f aca="false">IF($E305="","",IFERROR(INDEX(tblItems[Item Code],MATCH($E305,tblItems[Item Name],0)),"?"))</f>
        <v>EG-FG-DAT-01-02-01-01</v>
      </c>
      <c r="N305" s="34" t="str">
        <f aca="false">IF($B305="","",IFERROR(INDEX(tblShipment[Market],MATCH($B305,tblShipment[Shipment No],0)),"?"))</f>
        <v>Qatar</v>
      </c>
      <c r="O305" s="35" t="n">
        <f aca="false">N($F305)+N($G305)</f>
        <v>35</v>
      </c>
      <c r="P305" s="34" t="str">
        <f aca="false">IF($A305="","",IF($L305="Yes","VOID",IF(COUNTIFS(tblMoveTypes[Movement],$C305)=0,"Unknown movement",IF(COUNTIF(tblShipment[Shipment No],$B305)=0,"Unknown shipment",IF(AND(IFERROR(INDEX(tblMoveTypes[Item?],MATCH($C305,tblMoveTypes[Movement],0)),"?")="Yes",$E305=""),"Item needed",IF(AND(IFERROR(INDEX(tblMoveTypes[Item?],MATCH($C305,tblMoveTypes[Movement],0)),"?")="No",$E305&lt;&gt;""),"Leave Item blank",IF(AND(IFERROR(INDEX(tblMoveTypes[In / Out],MATCH($C305,tblMoveTypes[Movement],0)),"?")="IN",$G305&lt;&gt;""),"Use the In column, not Out",IF(AND(IFERROR(INDEX(tblMoveTypes[In / Out],MATCH($C305,tblMoveTypes[Movement],0)),"?")="OUT",$F305&lt;&gt;""),"Use the Out column, not In",IF(AND(IFERROR(INDEX(tblMoveTypes[Qty?],MATCH($C305,tblMoveTypes[Movement],0)),"?")="Yes",N($F305)+N($G305)&lt;=0),"Qty needed",IF(AND(IFERROR(INDEX(tblMoveTypes[Qty?],MATCH($C305,tblMoveTypes[Movement],0)),"?")="No",N($F305)+N($G305)&gt;0),"Leave In and Out blank",IF(AND(IFERROR(INDEX(tblMoveTypes[Courier?],MATCH($C305,tblMoveTypes[Movement],0)),"?")="Yes",$I305=""),"Courier needed",IF(AND(IFERROR(INDEX(tblMoveTypes[Courier?],MATCH($C305,tblMoveTypes[Movement],0)),"?")="No",$I305&lt;&gt;""),"Leave Courier blank",IF(AND(IFERROR(INDEX(tblMoveTypes[Orders?],MATCH($C305,tblMoveTypes[Movement],0)),"?")="Yes",$H305=""),"Orders needed",IF(AND(IFERROR(INDEX(tblMoveTypes[Orders?],MATCH($C305,tblMoveTypes[Movement],0)),"?")="No",$H305&lt;&gt;""),"Leave Orders blank",IF(AND(IFERROR(INDEX(tblMoveTypes[Reason?],MATCH($C305,tblMoveTypes[Movement],0)),"?")="Yes",$J305=""),"Reason needed",IF($A305&lt;_xlfn.MINIFS(tblShipment[Arrival Date],tblShipment[Shipment No],$B305),"Date before arrival",IF(AND($E305&lt;&gt;"",COUNTIFS(tblShipment[Shipment No],$B305,tblShipment[Item Name],$E305)=0),"Item not in this shipment","OK")))))))))))))))))</f>
        <v>OK</v>
      </c>
    </row>
    <row r="306" customFormat="false" ht="15" hidden="false" customHeight="false" outlineLevel="0" collapsed="false">
      <c r="A306" s="32" t="n">
        <v>46247</v>
      </c>
      <c r="B306" s="31" t="s">
        <v>166</v>
      </c>
      <c r="C306" s="31" t="s">
        <v>103</v>
      </c>
      <c r="D306" s="34" t="str">
        <f aca="false">IF($C306="","",IFERROR(IF(IFERROR(INDEX(tblMoveTypes[In / Out],MATCH($C306,tblMoveTypes[Movement],0)),"?")="IN","IN   ",IF(IFERROR(INDEX(tblMoveTypes[In / Out],MATCH($C306,tblMoveTypes[Movement],0)),"?")="OUT","OUT   ","--   "))&amp;"fill: "&amp;IF(IFERROR(INDEX(tblMoveTypes[Item?],MATCH($C306,tblMoveTypes[Movement],0)),"?")="Yes","Item  ","")&amp;IF(AND(IFERROR(INDEX(tblMoveTypes[Qty?],MATCH($C306,tblMoveTypes[Movement],0)),"?")="Yes",IFERROR(INDEX(tblMoveTypes[In / Out],MATCH($C306,tblMoveTypes[Movement],0)),"?")="IN"),"In  ","")&amp;IF(AND(IFERROR(INDEX(tblMoveTypes[Qty?],MATCH($C306,tblMoveTypes[Movement],0)),"?")="Yes",IFERROR(INDEX(tblMoveTypes[In / Out],MATCH($C306,tblMoveTypes[Movement],0)),"?")="OUT"),"Out  ","")&amp;IF(IFERROR(INDEX(tblMoveTypes[Orders?],MATCH($C306,tblMoveTypes[Movement],0)),"?")="Yes","Orders  ","")&amp;IF(IFERROR(INDEX(tblMoveTypes[Courier?],MATCH($C306,tblMoveTypes[Movement],0)),"?")="Yes","Courier  ","")&amp;IF(IFERROR(INDEX(tblMoveTypes[Reason?],MATCH($C306,tblMoveTypes[Movement],0)),"?")="Yes","Reason",""),"unknown movement"))</f>
        <v>--   fill: Orders  </v>
      </c>
      <c r="E306" s="31"/>
      <c r="F306" s="33"/>
      <c r="G306" s="33"/>
      <c r="H306" s="33" t="n">
        <v>195</v>
      </c>
      <c r="I306" s="31"/>
      <c r="J306" s="31"/>
      <c r="K306" s="31"/>
      <c r="L306" s="31"/>
      <c r="M306" s="34" t="str">
        <f aca="false">IF($E306="","",IFERROR(INDEX(tblItems[Item Code],MATCH($E306,tblItems[Item Name],0)),"?"))</f>
        <v/>
      </c>
      <c r="N306" s="34" t="str">
        <f aca="false">IF($B306="","",IFERROR(INDEX(tblShipment[Market],MATCH($B306,tblShipment[Shipment No],0)),"?"))</f>
        <v>Qatar</v>
      </c>
      <c r="O306" s="35" t="n">
        <f aca="false">N($F306)+N($G306)</f>
        <v>0</v>
      </c>
      <c r="P306" s="34" t="str">
        <f aca="false">IF($A306="","",IF($L306="Yes","VOID",IF(COUNTIFS(tblMoveTypes[Movement],$C306)=0,"Unknown movement",IF(COUNTIF(tblShipment[Shipment No],$B306)=0,"Unknown shipment",IF(AND(IFERROR(INDEX(tblMoveTypes[Item?],MATCH($C306,tblMoveTypes[Movement],0)),"?")="Yes",$E306=""),"Item needed",IF(AND(IFERROR(INDEX(tblMoveTypes[Item?],MATCH($C306,tblMoveTypes[Movement],0)),"?")="No",$E306&lt;&gt;""),"Leave Item blank",IF(AND(IFERROR(INDEX(tblMoveTypes[In / Out],MATCH($C306,tblMoveTypes[Movement],0)),"?")="IN",$G306&lt;&gt;""),"Use the In column, not Out",IF(AND(IFERROR(INDEX(tblMoveTypes[In / Out],MATCH($C306,tblMoveTypes[Movement],0)),"?")="OUT",$F306&lt;&gt;""),"Use the Out column, not In",IF(AND(IFERROR(INDEX(tblMoveTypes[Qty?],MATCH($C306,tblMoveTypes[Movement],0)),"?")="Yes",N($F306)+N($G306)&lt;=0),"Qty needed",IF(AND(IFERROR(INDEX(tblMoveTypes[Qty?],MATCH($C306,tblMoveTypes[Movement],0)),"?")="No",N($F306)+N($G306)&gt;0),"Leave In and Out blank",IF(AND(IFERROR(INDEX(tblMoveTypes[Courier?],MATCH($C306,tblMoveTypes[Movement],0)),"?")="Yes",$I306=""),"Courier needed",IF(AND(IFERROR(INDEX(tblMoveTypes[Courier?],MATCH($C306,tblMoveTypes[Movement],0)),"?")="No",$I306&lt;&gt;""),"Leave Courier blank",IF(AND(IFERROR(INDEX(tblMoveTypes[Orders?],MATCH($C306,tblMoveTypes[Movement],0)),"?")="Yes",$H306=""),"Orders needed",IF(AND(IFERROR(INDEX(tblMoveTypes[Orders?],MATCH($C306,tblMoveTypes[Movement],0)),"?")="No",$H306&lt;&gt;""),"Leave Orders blank",IF(AND(IFERROR(INDEX(tblMoveTypes[Reason?],MATCH($C306,tblMoveTypes[Movement],0)),"?")="Yes",$J306=""),"Reason needed",IF($A306&lt;_xlfn.MINIFS(tblShipment[Arrival Date],tblShipment[Shipment No],$B306),"Date before arrival",IF(AND($E306&lt;&gt;"",COUNTIFS(tblShipment[Shipment No],$B306,tblShipment[Item Name],$E306)=0),"Item not in this shipment","OK")))))))))))))))))</f>
        <v>OK</v>
      </c>
    </row>
    <row r="307" customFormat="false" ht="15" hidden="false" customHeight="false" outlineLevel="0" collapsed="false">
      <c r="A307" s="32" t="n">
        <v>46247</v>
      </c>
      <c r="B307" s="31" t="s">
        <v>166</v>
      </c>
      <c r="C307" s="31" t="s">
        <v>98</v>
      </c>
      <c r="D307" s="34" t="str">
        <f aca="false">IF($C307="","",IFERROR(IF(IFERROR(INDEX(tblMoveTypes[In / Out],MATCH($C307,tblMoveTypes[Movement],0)),"?")="IN","IN   ",IF(IFERROR(INDEX(tblMoveTypes[In / Out],MATCH($C307,tblMoveTypes[Movement],0)),"?")="OUT","OUT   ","--   "))&amp;"fill: "&amp;IF(IFERROR(INDEX(tblMoveTypes[Item?],MATCH($C307,tblMoveTypes[Movement],0)),"?")="Yes","Item  ","")&amp;IF(AND(IFERROR(INDEX(tblMoveTypes[Qty?],MATCH($C307,tblMoveTypes[Movement],0)),"?")="Yes",IFERROR(INDEX(tblMoveTypes[In / Out],MATCH($C307,tblMoveTypes[Movement],0)),"?")="IN"),"In  ","")&amp;IF(AND(IFERROR(INDEX(tblMoveTypes[Qty?],MATCH($C307,tblMoveTypes[Movement],0)),"?")="Yes",IFERROR(INDEX(tblMoveTypes[In / Out],MATCH($C307,tblMoveTypes[Movement],0)),"?")="OUT"),"Out  ","")&amp;IF(IFERROR(INDEX(tblMoveTypes[Orders?],MATCH($C307,tblMoveTypes[Movement],0)),"?")="Yes","Orders  ","")&amp;IF(IFERROR(INDEX(tblMoveTypes[Courier?],MATCH($C307,tblMoveTypes[Movement],0)),"?")="Yes","Courier  ","")&amp;IF(IFERROR(INDEX(tblMoveTypes[Reason?],MATCH($C307,tblMoveTypes[Movement],0)),"?")="Yes","Reason",""),"unknown movement"))</f>
        <v>OUT   fill: Item  Out  Courier  </v>
      </c>
      <c r="E307" s="31" t="s">
        <v>72</v>
      </c>
      <c r="F307" s="33"/>
      <c r="G307" s="33" t="n">
        <v>98</v>
      </c>
      <c r="H307" s="33"/>
      <c r="I307" s="31" t="s">
        <v>76</v>
      </c>
      <c r="J307" s="31"/>
      <c r="K307" s="31"/>
      <c r="L307" s="31"/>
      <c r="M307" s="34" t="str">
        <f aca="false">IF($E307="","",IFERROR(INDEX(tblItems[Item Code],MATCH($E307,tblItems[Item Name],0)),"?"))</f>
        <v>EG-FG-MNG-05-02-01-01</v>
      </c>
      <c r="N307" s="34" t="str">
        <f aca="false">IF($B307="","",IFERROR(INDEX(tblShipment[Market],MATCH($B307,tblShipment[Shipment No],0)),"?"))</f>
        <v>Qatar</v>
      </c>
      <c r="O307" s="35" t="n">
        <f aca="false">N($F307)+N($G307)</f>
        <v>98</v>
      </c>
      <c r="P307" s="34" t="str">
        <f aca="false">IF($A307="","",IF($L307="Yes","VOID",IF(COUNTIFS(tblMoveTypes[Movement],$C307)=0,"Unknown movement",IF(COUNTIF(tblShipment[Shipment No],$B307)=0,"Unknown shipment",IF(AND(IFERROR(INDEX(tblMoveTypes[Item?],MATCH($C307,tblMoveTypes[Movement],0)),"?")="Yes",$E307=""),"Item needed",IF(AND(IFERROR(INDEX(tblMoveTypes[Item?],MATCH($C307,tblMoveTypes[Movement],0)),"?")="No",$E307&lt;&gt;""),"Leave Item blank",IF(AND(IFERROR(INDEX(tblMoveTypes[In / Out],MATCH($C307,tblMoveTypes[Movement],0)),"?")="IN",$G307&lt;&gt;""),"Use the In column, not Out",IF(AND(IFERROR(INDEX(tblMoveTypes[In / Out],MATCH($C307,tblMoveTypes[Movement],0)),"?")="OUT",$F307&lt;&gt;""),"Use the Out column, not In",IF(AND(IFERROR(INDEX(tblMoveTypes[Qty?],MATCH($C307,tblMoveTypes[Movement],0)),"?")="Yes",N($F307)+N($G307)&lt;=0),"Qty needed",IF(AND(IFERROR(INDEX(tblMoveTypes[Qty?],MATCH($C307,tblMoveTypes[Movement],0)),"?")="No",N($F307)+N($G307)&gt;0),"Leave In and Out blank",IF(AND(IFERROR(INDEX(tblMoveTypes[Courier?],MATCH($C307,tblMoveTypes[Movement],0)),"?")="Yes",$I307=""),"Courier needed",IF(AND(IFERROR(INDEX(tblMoveTypes[Courier?],MATCH($C307,tblMoveTypes[Movement],0)),"?")="No",$I307&lt;&gt;""),"Leave Courier blank",IF(AND(IFERROR(INDEX(tblMoveTypes[Orders?],MATCH($C307,tblMoveTypes[Movement],0)),"?")="Yes",$H307=""),"Orders needed",IF(AND(IFERROR(INDEX(tblMoveTypes[Orders?],MATCH($C307,tblMoveTypes[Movement],0)),"?")="No",$H307&lt;&gt;""),"Leave Orders blank",IF(AND(IFERROR(INDEX(tblMoveTypes[Reason?],MATCH($C307,tblMoveTypes[Movement],0)),"?")="Yes",$J307=""),"Reason needed",IF($A307&lt;_xlfn.MINIFS(tblShipment[Arrival Date],tblShipment[Shipment No],$B307),"Date before arrival",IF(AND($E307&lt;&gt;"",COUNTIFS(tblShipment[Shipment No],$B307,tblShipment[Item Name],$E307)=0),"Item not in this shipment","OK")))))))))))))))))</f>
        <v>OK</v>
      </c>
    </row>
    <row r="308" customFormat="false" ht="15" hidden="false" customHeight="false" outlineLevel="0" collapsed="false">
      <c r="A308" s="32" t="n">
        <v>46247</v>
      </c>
      <c r="B308" s="31" t="s">
        <v>166</v>
      </c>
      <c r="C308" s="31" t="s">
        <v>98</v>
      </c>
      <c r="D308" s="34" t="str">
        <f aca="false">IF($C308="","",IFERROR(IF(IFERROR(INDEX(tblMoveTypes[In / Out],MATCH($C308,tblMoveTypes[Movement],0)),"?")="IN","IN   ",IF(IFERROR(INDEX(tblMoveTypes[In / Out],MATCH($C308,tblMoveTypes[Movement],0)),"?")="OUT","OUT   ","--   "))&amp;"fill: "&amp;IF(IFERROR(INDEX(tblMoveTypes[Item?],MATCH($C308,tblMoveTypes[Movement],0)),"?")="Yes","Item  ","")&amp;IF(AND(IFERROR(INDEX(tblMoveTypes[Qty?],MATCH($C308,tblMoveTypes[Movement],0)),"?")="Yes",IFERROR(INDEX(tblMoveTypes[In / Out],MATCH($C308,tblMoveTypes[Movement],0)),"?")="IN"),"In  ","")&amp;IF(AND(IFERROR(INDEX(tblMoveTypes[Qty?],MATCH($C308,tblMoveTypes[Movement],0)),"?")="Yes",IFERROR(INDEX(tblMoveTypes[In / Out],MATCH($C308,tblMoveTypes[Movement],0)),"?")="OUT"),"Out  ","")&amp;IF(IFERROR(INDEX(tblMoveTypes[Orders?],MATCH($C308,tblMoveTypes[Movement],0)),"?")="Yes","Orders  ","")&amp;IF(IFERROR(INDEX(tblMoveTypes[Courier?],MATCH($C308,tblMoveTypes[Movement],0)),"?")="Yes","Courier  ","")&amp;IF(IFERROR(INDEX(tblMoveTypes[Reason?],MATCH($C308,tblMoveTypes[Movement],0)),"?")="Yes","Reason",""),"unknown movement"))</f>
        <v>OUT   fill: Item  Out  Courier  </v>
      </c>
      <c r="E308" s="31" t="s">
        <v>117</v>
      </c>
      <c r="F308" s="33"/>
      <c r="G308" s="33" t="n">
        <v>20</v>
      </c>
      <c r="H308" s="33"/>
      <c r="I308" s="31" t="s">
        <v>76</v>
      </c>
      <c r="J308" s="31"/>
      <c r="K308" s="31"/>
      <c r="L308" s="31"/>
      <c r="M308" s="34" t="str">
        <f aca="false">IF($E308="","",IFERROR(INDEX(tblItems[Item Code],MATCH($E308,tblItems[Item Name],0)),"?"))</f>
        <v>EG-FG-MNG-06-02-01-01</v>
      </c>
      <c r="N308" s="34" t="str">
        <f aca="false">IF($B308="","",IFERROR(INDEX(tblShipment[Market],MATCH($B308,tblShipment[Shipment No],0)),"?"))</f>
        <v>Qatar</v>
      </c>
      <c r="O308" s="35" t="n">
        <f aca="false">N($F308)+N($G308)</f>
        <v>20</v>
      </c>
      <c r="P308" s="34" t="str">
        <f aca="false">IF($A308="","",IF($L308="Yes","VOID",IF(COUNTIFS(tblMoveTypes[Movement],$C308)=0,"Unknown movement",IF(COUNTIF(tblShipment[Shipment No],$B308)=0,"Unknown shipment",IF(AND(IFERROR(INDEX(tblMoveTypes[Item?],MATCH($C308,tblMoveTypes[Movement],0)),"?")="Yes",$E308=""),"Item needed",IF(AND(IFERROR(INDEX(tblMoveTypes[Item?],MATCH($C308,tblMoveTypes[Movement],0)),"?")="No",$E308&lt;&gt;""),"Leave Item blank",IF(AND(IFERROR(INDEX(tblMoveTypes[In / Out],MATCH($C308,tblMoveTypes[Movement],0)),"?")="IN",$G308&lt;&gt;""),"Use the In column, not Out",IF(AND(IFERROR(INDEX(tblMoveTypes[In / Out],MATCH($C308,tblMoveTypes[Movement],0)),"?")="OUT",$F308&lt;&gt;""),"Use the Out column, not In",IF(AND(IFERROR(INDEX(tblMoveTypes[Qty?],MATCH($C308,tblMoveTypes[Movement],0)),"?")="Yes",N($F308)+N($G308)&lt;=0),"Qty needed",IF(AND(IFERROR(INDEX(tblMoveTypes[Qty?],MATCH($C308,tblMoveTypes[Movement],0)),"?")="No",N($F308)+N($G308)&gt;0),"Leave In and Out blank",IF(AND(IFERROR(INDEX(tblMoveTypes[Courier?],MATCH($C308,tblMoveTypes[Movement],0)),"?")="Yes",$I308=""),"Courier needed",IF(AND(IFERROR(INDEX(tblMoveTypes[Courier?],MATCH($C308,tblMoveTypes[Movement],0)),"?")="No",$I308&lt;&gt;""),"Leave Courier blank",IF(AND(IFERROR(INDEX(tblMoveTypes[Orders?],MATCH($C308,tblMoveTypes[Movement],0)),"?")="Yes",$H308=""),"Orders needed",IF(AND(IFERROR(INDEX(tblMoveTypes[Orders?],MATCH($C308,tblMoveTypes[Movement],0)),"?")="No",$H308&lt;&gt;""),"Leave Orders blank",IF(AND(IFERROR(INDEX(tblMoveTypes[Reason?],MATCH($C308,tblMoveTypes[Movement],0)),"?")="Yes",$J308=""),"Reason needed",IF($A308&lt;_xlfn.MINIFS(tblShipment[Arrival Date],tblShipment[Shipment No],$B308),"Date before arrival",IF(AND($E308&lt;&gt;"",COUNTIFS(tblShipment[Shipment No],$B308,tblShipment[Item Name],$E308)=0),"Item not in this shipment","OK")))))))))))))))))</f>
        <v>OK</v>
      </c>
    </row>
    <row r="309" customFormat="false" ht="15" hidden="false" customHeight="false" outlineLevel="0" collapsed="false">
      <c r="A309" s="32" t="n">
        <v>46247</v>
      </c>
      <c r="B309" s="31" t="s">
        <v>166</v>
      </c>
      <c r="C309" s="31" t="s">
        <v>98</v>
      </c>
      <c r="D309" s="34" t="str">
        <f aca="false">IF($C309="","",IFERROR(IF(IFERROR(INDEX(tblMoveTypes[In / Out],MATCH($C309,tblMoveTypes[Movement],0)),"?")="IN","IN   ",IF(IFERROR(INDEX(tblMoveTypes[In / Out],MATCH($C309,tblMoveTypes[Movement],0)),"?")="OUT","OUT   ","--   "))&amp;"fill: "&amp;IF(IFERROR(INDEX(tblMoveTypes[Item?],MATCH($C309,tblMoveTypes[Movement],0)),"?")="Yes","Item  ","")&amp;IF(AND(IFERROR(INDEX(tblMoveTypes[Qty?],MATCH($C309,tblMoveTypes[Movement],0)),"?")="Yes",IFERROR(INDEX(tblMoveTypes[In / Out],MATCH($C309,tblMoveTypes[Movement],0)),"?")="IN"),"In  ","")&amp;IF(AND(IFERROR(INDEX(tblMoveTypes[Qty?],MATCH($C309,tblMoveTypes[Movement],0)),"?")="Yes",IFERROR(INDEX(tblMoveTypes[In / Out],MATCH($C309,tblMoveTypes[Movement],0)),"?")="OUT"),"Out  ","")&amp;IF(IFERROR(INDEX(tblMoveTypes[Orders?],MATCH($C309,tblMoveTypes[Movement],0)),"?")="Yes","Orders  ","")&amp;IF(IFERROR(INDEX(tblMoveTypes[Courier?],MATCH($C309,tblMoveTypes[Movement],0)),"?")="Yes","Courier  ","")&amp;IF(IFERROR(INDEX(tblMoveTypes[Reason?],MATCH($C309,tblMoveTypes[Movement],0)),"?")="Yes","Reason",""),"unknown movement"))</f>
        <v>OUT   fill: Item  Out  Courier  </v>
      </c>
      <c r="E309" s="31" t="s">
        <v>84</v>
      </c>
      <c r="F309" s="33"/>
      <c r="G309" s="33" t="n">
        <v>110</v>
      </c>
      <c r="H309" s="33"/>
      <c r="I309" s="31" t="s">
        <v>76</v>
      </c>
      <c r="J309" s="31"/>
      <c r="K309" s="31"/>
      <c r="L309" s="31"/>
      <c r="M309" s="34" t="str">
        <f aca="false">IF($E309="","",IFERROR(INDEX(tblItems[Item Code],MATCH($E309,tblItems[Item Name],0)),"?"))</f>
        <v>EG-FG-MNG-12-02-01-01</v>
      </c>
      <c r="N309" s="34" t="str">
        <f aca="false">IF($B309="","",IFERROR(INDEX(tblShipment[Market],MATCH($B309,tblShipment[Shipment No],0)),"?"))</f>
        <v>Qatar</v>
      </c>
      <c r="O309" s="35" t="n">
        <f aca="false">N($F309)+N($G309)</f>
        <v>110</v>
      </c>
      <c r="P309" s="34" t="str">
        <f aca="false">IF($A309="","",IF($L309="Yes","VOID",IF(COUNTIFS(tblMoveTypes[Movement],$C309)=0,"Unknown movement",IF(COUNTIF(tblShipment[Shipment No],$B309)=0,"Unknown shipment",IF(AND(IFERROR(INDEX(tblMoveTypes[Item?],MATCH($C309,tblMoveTypes[Movement],0)),"?")="Yes",$E309=""),"Item needed",IF(AND(IFERROR(INDEX(tblMoveTypes[Item?],MATCH($C309,tblMoveTypes[Movement],0)),"?")="No",$E309&lt;&gt;""),"Leave Item blank",IF(AND(IFERROR(INDEX(tblMoveTypes[In / Out],MATCH($C309,tblMoveTypes[Movement],0)),"?")="IN",$G309&lt;&gt;""),"Use the In column, not Out",IF(AND(IFERROR(INDEX(tblMoveTypes[In / Out],MATCH($C309,tblMoveTypes[Movement],0)),"?")="OUT",$F309&lt;&gt;""),"Use the Out column, not In",IF(AND(IFERROR(INDEX(tblMoveTypes[Qty?],MATCH($C309,tblMoveTypes[Movement],0)),"?")="Yes",N($F309)+N($G309)&lt;=0),"Qty needed",IF(AND(IFERROR(INDEX(tblMoveTypes[Qty?],MATCH($C309,tblMoveTypes[Movement],0)),"?")="No",N($F309)+N($G309)&gt;0),"Leave In and Out blank",IF(AND(IFERROR(INDEX(tblMoveTypes[Courier?],MATCH($C309,tblMoveTypes[Movement],0)),"?")="Yes",$I309=""),"Courier needed",IF(AND(IFERROR(INDEX(tblMoveTypes[Courier?],MATCH($C309,tblMoveTypes[Movement],0)),"?")="No",$I309&lt;&gt;""),"Leave Courier blank",IF(AND(IFERROR(INDEX(tblMoveTypes[Orders?],MATCH($C309,tblMoveTypes[Movement],0)),"?")="Yes",$H309=""),"Orders needed",IF(AND(IFERROR(INDEX(tblMoveTypes[Orders?],MATCH($C309,tblMoveTypes[Movement],0)),"?")="No",$H309&lt;&gt;""),"Leave Orders blank",IF(AND(IFERROR(INDEX(tblMoveTypes[Reason?],MATCH($C309,tblMoveTypes[Movement],0)),"?")="Yes",$J309=""),"Reason needed",IF($A309&lt;_xlfn.MINIFS(tblShipment[Arrival Date],tblShipment[Shipment No],$B309),"Date before arrival",IF(AND($E309&lt;&gt;"",COUNTIFS(tblShipment[Shipment No],$B309,tblShipment[Item Name],$E309)=0),"Item not in this shipment","OK")))))))))))))))))</f>
        <v>OK</v>
      </c>
    </row>
    <row r="310" customFormat="false" ht="15" hidden="false" customHeight="false" outlineLevel="0" collapsed="false">
      <c r="A310" s="32" t="n">
        <v>46247</v>
      </c>
      <c r="B310" s="31" t="s">
        <v>166</v>
      </c>
      <c r="C310" s="31" t="s">
        <v>98</v>
      </c>
      <c r="D310" s="34" t="str">
        <f aca="false">IF($C310="","",IFERROR(IF(IFERROR(INDEX(tblMoveTypes[In / Out],MATCH($C310,tblMoveTypes[Movement],0)),"?")="IN","IN   ",IF(IFERROR(INDEX(tblMoveTypes[In / Out],MATCH($C310,tblMoveTypes[Movement],0)),"?")="OUT","OUT   ","--   "))&amp;"fill: "&amp;IF(IFERROR(INDEX(tblMoveTypes[Item?],MATCH($C310,tblMoveTypes[Movement],0)),"?")="Yes","Item  ","")&amp;IF(AND(IFERROR(INDEX(tblMoveTypes[Qty?],MATCH($C310,tblMoveTypes[Movement],0)),"?")="Yes",IFERROR(INDEX(tblMoveTypes[In / Out],MATCH($C310,tblMoveTypes[Movement],0)),"?")="IN"),"In  ","")&amp;IF(AND(IFERROR(INDEX(tblMoveTypes[Qty?],MATCH($C310,tblMoveTypes[Movement],0)),"?")="Yes",IFERROR(INDEX(tblMoveTypes[In / Out],MATCH($C310,tblMoveTypes[Movement],0)),"?")="OUT"),"Out  ","")&amp;IF(IFERROR(INDEX(tblMoveTypes[Orders?],MATCH($C310,tblMoveTypes[Movement],0)),"?")="Yes","Orders  ","")&amp;IF(IFERROR(INDEX(tblMoveTypes[Courier?],MATCH($C310,tblMoveTypes[Movement],0)),"?")="Yes","Courier  ","")&amp;IF(IFERROR(INDEX(tblMoveTypes[Reason?],MATCH($C310,tblMoveTypes[Movement],0)),"?")="Yes","Reason",""),"unknown movement"))</f>
        <v>OUT   fill: Item  Out  Courier  </v>
      </c>
      <c r="E310" s="31" t="s">
        <v>100</v>
      </c>
      <c r="F310" s="33"/>
      <c r="G310" s="33" t="n">
        <v>33</v>
      </c>
      <c r="H310" s="33"/>
      <c r="I310" s="31" t="s">
        <v>76</v>
      </c>
      <c r="J310" s="31"/>
      <c r="K310" s="31"/>
      <c r="L310" s="31"/>
      <c r="M310" s="34" t="str">
        <f aca="false">IF($E310="","",IFERROR(INDEX(tblItems[Item Code],MATCH($E310,tblItems[Item Name],0)),"?"))</f>
        <v>EG-FG-MNG-18-02-01-01</v>
      </c>
      <c r="N310" s="34" t="str">
        <f aca="false">IF($B310="","",IFERROR(INDEX(tblShipment[Market],MATCH($B310,tblShipment[Shipment No],0)),"?"))</f>
        <v>Qatar</v>
      </c>
      <c r="O310" s="35" t="n">
        <f aca="false">N($F310)+N($G310)</f>
        <v>33</v>
      </c>
      <c r="P310" s="34" t="str">
        <f aca="false">IF($A310="","",IF($L310="Yes","VOID",IF(COUNTIFS(tblMoveTypes[Movement],$C310)=0,"Unknown movement",IF(COUNTIF(tblShipment[Shipment No],$B310)=0,"Unknown shipment",IF(AND(IFERROR(INDEX(tblMoveTypes[Item?],MATCH($C310,tblMoveTypes[Movement],0)),"?")="Yes",$E310=""),"Item needed",IF(AND(IFERROR(INDEX(tblMoveTypes[Item?],MATCH($C310,tblMoveTypes[Movement],0)),"?")="No",$E310&lt;&gt;""),"Leave Item blank",IF(AND(IFERROR(INDEX(tblMoveTypes[In / Out],MATCH($C310,tblMoveTypes[Movement],0)),"?")="IN",$G310&lt;&gt;""),"Use the In column, not Out",IF(AND(IFERROR(INDEX(tblMoveTypes[In / Out],MATCH($C310,tblMoveTypes[Movement],0)),"?")="OUT",$F310&lt;&gt;""),"Use the Out column, not In",IF(AND(IFERROR(INDEX(tblMoveTypes[Qty?],MATCH($C310,tblMoveTypes[Movement],0)),"?")="Yes",N($F310)+N($G310)&lt;=0),"Qty needed",IF(AND(IFERROR(INDEX(tblMoveTypes[Qty?],MATCH($C310,tblMoveTypes[Movement],0)),"?")="No",N($F310)+N($G310)&gt;0),"Leave In and Out blank",IF(AND(IFERROR(INDEX(tblMoveTypes[Courier?],MATCH($C310,tblMoveTypes[Movement],0)),"?")="Yes",$I310=""),"Courier needed",IF(AND(IFERROR(INDEX(tblMoveTypes[Courier?],MATCH($C310,tblMoveTypes[Movement],0)),"?")="No",$I310&lt;&gt;""),"Leave Courier blank",IF(AND(IFERROR(INDEX(tblMoveTypes[Orders?],MATCH($C310,tblMoveTypes[Movement],0)),"?")="Yes",$H310=""),"Orders needed",IF(AND(IFERROR(INDEX(tblMoveTypes[Orders?],MATCH($C310,tblMoveTypes[Movement],0)),"?")="No",$H310&lt;&gt;""),"Leave Orders blank",IF(AND(IFERROR(INDEX(tblMoveTypes[Reason?],MATCH($C310,tblMoveTypes[Movement],0)),"?")="Yes",$J310=""),"Reason needed",IF($A310&lt;_xlfn.MINIFS(tblShipment[Arrival Date],tblShipment[Shipment No],$B310),"Date before arrival",IF(AND($E310&lt;&gt;"",COUNTIFS(tblShipment[Shipment No],$B310,tblShipment[Item Name],$E310)=0),"Item not in this shipment","OK")))))))))))))))))</f>
        <v>OK</v>
      </c>
    </row>
    <row r="311" customFormat="false" ht="15" hidden="false" customHeight="false" outlineLevel="0" collapsed="false">
      <c r="A311" s="32" t="n">
        <v>46247</v>
      </c>
      <c r="B311" s="31" t="s">
        <v>166</v>
      </c>
      <c r="C311" s="31" t="s">
        <v>98</v>
      </c>
      <c r="D311" s="34" t="str">
        <f aca="false">IF($C311="","",IFERROR(IF(IFERROR(INDEX(tblMoveTypes[In / Out],MATCH($C311,tblMoveTypes[Movement],0)),"?")="IN","IN   ",IF(IFERROR(INDEX(tblMoveTypes[In / Out],MATCH($C311,tblMoveTypes[Movement],0)),"?")="OUT","OUT   ","--   "))&amp;"fill: "&amp;IF(IFERROR(INDEX(tblMoveTypes[Item?],MATCH($C311,tblMoveTypes[Movement],0)),"?")="Yes","Item  ","")&amp;IF(AND(IFERROR(INDEX(tblMoveTypes[Qty?],MATCH($C311,tblMoveTypes[Movement],0)),"?")="Yes",IFERROR(INDEX(tblMoveTypes[In / Out],MATCH($C311,tblMoveTypes[Movement],0)),"?")="IN"),"In  ","")&amp;IF(AND(IFERROR(INDEX(tblMoveTypes[Qty?],MATCH($C311,tblMoveTypes[Movement],0)),"?")="Yes",IFERROR(INDEX(tblMoveTypes[In / Out],MATCH($C311,tblMoveTypes[Movement],0)),"?")="OUT"),"Out  ","")&amp;IF(IFERROR(INDEX(tblMoveTypes[Orders?],MATCH($C311,tblMoveTypes[Movement],0)),"?")="Yes","Orders  ","")&amp;IF(IFERROR(INDEX(tblMoveTypes[Courier?],MATCH($C311,tblMoveTypes[Movement],0)),"?")="Yes","Courier  ","")&amp;IF(IFERROR(INDEX(tblMoveTypes[Reason?],MATCH($C311,tblMoveTypes[Movement],0)),"?")="Yes","Reason",""),"unknown movement"))</f>
        <v>OUT   fill: Item  Out  Courier  </v>
      </c>
      <c r="E311" s="31" t="s">
        <v>122</v>
      </c>
      <c r="F311" s="33"/>
      <c r="G311" s="33" t="n">
        <v>24</v>
      </c>
      <c r="H311" s="33"/>
      <c r="I311" s="31" t="s">
        <v>76</v>
      </c>
      <c r="J311" s="31"/>
      <c r="K311" s="31"/>
      <c r="L311" s="31"/>
      <c r="M311" s="34" t="str">
        <f aca="false">IF($E311="","",IFERROR(INDEX(tblItems[Item Code],MATCH($E311,tblItems[Item Name],0)),"?"))</f>
        <v>EG-FG-GRP-01-02-01-01</v>
      </c>
      <c r="N311" s="34" t="str">
        <f aca="false">IF($B311="","",IFERROR(INDEX(tblShipment[Market],MATCH($B311,tblShipment[Shipment No],0)),"?"))</f>
        <v>Qatar</v>
      </c>
      <c r="O311" s="35" t="n">
        <f aca="false">N($F311)+N($G311)</f>
        <v>24</v>
      </c>
      <c r="P311" s="34" t="str">
        <f aca="false">IF($A311="","",IF($L311="Yes","VOID",IF(COUNTIFS(tblMoveTypes[Movement],$C311)=0,"Unknown movement",IF(COUNTIF(tblShipment[Shipment No],$B311)=0,"Unknown shipment",IF(AND(IFERROR(INDEX(tblMoveTypes[Item?],MATCH($C311,tblMoveTypes[Movement],0)),"?")="Yes",$E311=""),"Item needed",IF(AND(IFERROR(INDEX(tblMoveTypes[Item?],MATCH($C311,tblMoveTypes[Movement],0)),"?")="No",$E311&lt;&gt;""),"Leave Item blank",IF(AND(IFERROR(INDEX(tblMoveTypes[In / Out],MATCH($C311,tblMoveTypes[Movement],0)),"?")="IN",$G311&lt;&gt;""),"Use the In column, not Out",IF(AND(IFERROR(INDEX(tblMoveTypes[In / Out],MATCH($C311,tblMoveTypes[Movement],0)),"?")="OUT",$F311&lt;&gt;""),"Use the Out column, not In",IF(AND(IFERROR(INDEX(tblMoveTypes[Qty?],MATCH($C311,tblMoveTypes[Movement],0)),"?")="Yes",N($F311)+N($G311)&lt;=0),"Qty needed",IF(AND(IFERROR(INDEX(tblMoveTypes[Qty?],MATCH($C311,tblMoveTypes[Movement],0)),"?")="No",N($F311)+N($G311)&gt;0),"Leave In and Out blank",IF(AND(IFERROR(INDEX(tblMoveTypes[Courier?],MATCH($C311,tblMoveTypes[Movement],0)),"?")="Yes",$I311=""),"Courier needed",IF(AND(IFERROR(INDEX(tblMoveTypes[Courier?],MATCH($C311,tblMoveTypes[Movement],0)),"?")="No",$I311&lt;&gt;""),"Leave Courier blank",IF(AND(IFERROR(INDEX(tblMoveTypes[Orders?],MATCH($C311,tblMoveTypes[Movement],0)),"?")="Yes",$H311=""),"Orders needed",IF(AND(IFERROR(INDEX(tblMoveTypes[Orders?],MATCH($C311,tblMoveTypes[Movement],0)),"?")="No",$H311&lt;&gt;""),"Leave Orders blank",IF(AND(IFERROR(INDEX(tblMoveTypes[Reason?],MATCH($C311,tblMoveTypes[Movement],0)),"?")="Yes",$J311=""),"Reason needed",IF($A311&lt;_xlfn.MINIFS(tblShipment[Arrival Date],tblShipment[Shipment No],$B311),"Date before arrival",IF(AND($E311&lt;&gt;"",COUNTIFS(tblShipment[Shipment No],$B311,tblShipment[Item Name],$E311)=0),"Item not in this shipment","OK")))))))))))))))))</f>
        <v>OK</v>
      </c>
    </row>
    <row r="312" customFormat="false" ht="15" hidden="false" customHeight="false" outlineLevel="0" collapsed="false">
      <c r="A312" s="32" t="n">
        <v>46247</v>
      </c>
      <c r="B312" s="31" t="s">
        <v>166</v>
      </c>
      <c r="C312" s="31" t="s">
        <v>98</v>
      </c>
      <c r="D312" s="34" t="str">
        <f aca="false">IF($C312="","",IFERROR(IF(IFERROR(INDEX(tblMoveTypes[In / Out],MATCH($C312,tblMoveTypes[Movement],0)),"?")="IN","IN   ",IF(IFERROR(INDEX(tblMoveTypes[In / Out],MATCH($C312,tblMoveTypes[Movement],0)),"?")="OUT","OUT   ","--   "))&amp;"fill: "&amp;IF(IFERROR(INDEX(tblMoveTypes[Item?],MATCH($C312,tblMoveTypes[Movement],0)),"?")="Yes","Item  ","")&amp;IF(AND(IFERROR(INDEX(tblMoveTypes[Qty?],MATCH($C312,tblMoveTypes[Movement],0)),"?")="Yes",IFERROR(INDEX(tblMoveTypes[In / Out],MATCH($C312,tblMoveTypes[Movement],0)),"?")="IN"),"In  ","")&amp;IF(AND(IFERROR(INDEX(tblMoveTypes[Qty?],MATCH($C312,tblMoveTypes[Movement],0)),"?")="Yes",IFERROR(INDEX(tblMoveTypes[In / Out],MATCH($C312,tblMoveTypes[Movement],0)),"?")="OUT"),"Out  ","")&amp;IF(IFERROR(INDEX(tblMoveTypes[Orders?],MATCH($C312,tblMoveTypes[Movement],0)),"?")="Yes","Orders  ","")&amp;IF(IFERROR(INDEX(tblMoveTypes[Courier?],MATCH($C312,tblMoveTypes[Movement],0)),"?")="Yes","Courier  ","")&amp;IF(IFERROR(INDEX(tblMoveTypes[Reason?],MATCH($C312,tblMoveTypes[Movement],0)),"?")="Yes","Reason",""),"unknown movement"))</f>
        <v>OUT   fill: Item  Out  Courier  </v>
      </c>
      <c r="E312" s="31" t="s">
        <v>95</v>
      </c>
      <c r="F312" s="33"/>
      <c r="G312" s="33" t="n">
        <v>44</v>
      </c>
      <c r="H312" s="33"/>
      <c r="I312" s="31" t="s">
        <v>76</v>
      </c>
      <c r="J312" s="31"/>
      <c r="K312" s="31"/>
      <c r="L312" s="31"/>
      <c r="M312" s="34" t="str">
        <f aca="false">IF($E312="","",IFERROR(INDEX(tblItems[Item Code],MATCH($E312,tblItems[Item Name],0)),"?"))</f>
        <v>EG-FG-GUV-01-02-01-01</v>
      </c>
      <c r="N312" s="34" t="str">
        <f aca="false">IF($B312="","",IFERROR(INDEX(tblShipment[Market],MATCH($B312,tblShipment[Shipment No],0)),"?"))</f>
        <v>Qatar</v>
      </c>
      <c r="O312" s="35" t="n">
        <f aca="false">N($F312)+N($G312)</f>
        <v>44</v>
      </c>
      <c r="P312" s="34" t="str">
        <f aca="false">IF($A312="","",IF($L312="Yes","VOID",IF(COUNTIFS(tblMoveTypes[Movement],$C312)=0,"Unknown movement",IF(COUNTIF(tblShipment[Shipment No],$B312)=0,"Unknown shipment",IF(AND(IFERROR(INDEX(tblMoveTypes[Item?],MATCH($C312,tblMoveTypes[Movement],0)),"?")="Yes",$E312=""),"Item needed",IF(AND(IFERROR(INDEX(tblMoveTypes[Item?],MATCH($C312,tblMoveTypes[Movement],0)),"?")="No",$E312&lt;&gt;""),"Leave Item blank",IF(AND(IFERROR(INDEX(tblMoveTypes[In / Out],MATCH($C312,tblMoveTypes[Movement],0)),"?")="IN",$G312&lt;&gt;""),"Use the In column, not Out",IF(AND(IFERROR(INDEX(tblMoveTypes[In / Out],MATCH($C312,tblMoveTypes[Movement],0)),"?")="OUT",$F312&lt;&gt;""),"Use the Out column, not In",IF(AND(IFERROR(INDEX(tblMoveTypes[Qty?],MATCH($C312,tblMoveTypes[Movement],0)),"?")="Yes",N($F312)+N($G312)&lt;=0),"Qty needed",IF(AND(IFERROR(INDEX(tblMoveTypes[Qty?],MATCH($C312,tblMoveTypes[Movement],0)),"?")="No",N($F312)+N($G312)&gt;0),"Leave In and Out blank",IF(AND(IFERROR(INDEX(tblMoveTypes[Courier?],MATCH($C312,tblMoveTypes[Movement],0)),"?")="Yes",$I312=""),"Courier needed",IF(AND(IFERROR(INDEX(tblMoveTypes[Courier?],MATCH($C312,tblMoveTypes[Movement],0)),"?")="No",$I312&lt;&gt;""),"Leave Courier blank",IF(AND(IFERROR(INDEX(tblMoveTypes[Orders?],MATCH($C312,tblMoveTypes[Movement],0)),"?")="Yes",$H312=""),"Orders needed",IF(AND(IFERROR(INDEX(tblMoveTypes[Orders?],MATCH($C312,tblMoveTypes[Movement],0)),"?")="No",$H312&lt;&gt;""),"Leave Orders blank",IF(AND(IFERROR(INDEX(tblMoveTypes[Reason?],MATCH($C312,tblMoveTypes[Movement],0)),"?")="Yes",$J312=""),"Reason needed",IF($A312&lt;_xlfn.MINIFS(tblShipment[Arrival Date],tblShipment[Shipment No],$B312),"Date before arrival",IF(AND($E312&lt;&gt;"",COUNTIFS(tblShipment[Shipment No],$B312,tblShipment[Item Name],$E312)=0),"Item not in this shipment","OK")))))))))))))))))</f>
        <v>OK</v>
      </c>
    </row>
    <row r="313" customFormat="false" ht="15" hidden="false" customHeight="false" outlineLevel="0" collapsed="false">
      <c r="A313" s="32" t="n">
        <v>46247</v>
      </c>
      <c r="B313" s="31" t="s">
        <v>166</v>
      </c>
      <c r="C313" s="31" t="s">
        <v>98</v>
      </c>
      <c r="D313" s="34" t="str">
        <f aca="false">IF($C313="","",IFERROR(IF(IFERROR(INDEX(tblMoveTypes[In / Out],MATCH($C313,tblMoveTypes[Movement],0)),"?")="IN","IN   ",IF(IFERROR(INDEX(tblMoveTypes[In / Out],MATCH($C313,tblMoveTypes[Movement],0)),"?")="OUT","OUT   ","--   "))&amp;"fill: "&amp;IF(IFERROR(INDEX(tblMoveTypes[Item?],MATCH($C313,tblMoveTypes[Movement],0)),"?")="Yes","Item  ","")&amp;IF(AND(IFERROR(INDEX(tblMoveTypes[Qty?],MATCH($C313,tblMoveTypes[Movement],0)),"?")="Yes",IFERROR(INDEX(tblMoveTypes[In / Out],MATCH($C313,tblMoveTypes[Movement],0)),"?")="IN"),"In  ","")&amp;IF(AND(IFERROR(INDEX(tblMoveTypes[Qty?],MATCH($C313,tblMoveTypes[Movement],0)),"?")="Yes",IFERROR(INDEX(tblMoveTypes[In / Out],MATCH($C313,tblMoveTypes[Movement],0)),"?")="OUT"),"Out  ","")&amp;IF(IFERROR(INDEX(tblMoveTypes[Orders?],MATCH($C313,tblMoveTypes[Movement],0)),"?")="Yes","Orders  ","")&amp;IF(IFERROR(INDEX(tblMoveTypes[Courier?],MATCH($C313,tblMoveTypes[Movement],0)),"?")="Yes","Courier  ","")&amp;IF(IFERROR(INDEX(tblMoveTypes[Reason?],MATCH($C313,tblMoveTypes[Movement],0)),"?")="Yes","Reason",""),"unknown movement"))</f>
        <v>OUT   fill: Item  Out  Courier  </v>
      </c>
      <c r="E313" s="31" t="s">
        <v>91</v>
      </c>
      <c r="F313" s="33"/>
      <c r="G313" s="33" t="n">
        <v>64</v>
      </c>
      <c r="H313" s="33"/>
      <c r="I313" s="31" t="s">
        <v>76</v>
      </c>
      <c r="J313" s="31"/>
      <c r="K313" s="31"/>
      <c r="L313" s="31"/>
      <c r="M313" s="34" t="str">
        <f aca="false">IF($E313="","",IFERROR(INDEX(tblItems[Item Code],MATCH($E313,tblItems[Item Name],0)),"?"))</f>
        <v>EG-FG-FIG-01-02-01-01</v>
      </c>
      <c r="N313" s="34" t="str">
        <f aca="false">IF($B313="","",IFERROR(INDEX(tblShipment[Market],MATCH($B313,tblShipment[Shipment No],0)),"?"))</f>
        <v>Qatar</v>
      </c>
      <c r="O313" s="35" t="n">
        <f aca="false">N($F313)+N($G313)</f>
        <v>64</v>
      </c>
      <c r="P313" s="34" t="str">
        <f aca="false">IF($A313="","",IF($L313="Yes","VOID",IF(COUNTIFS(tblMoveTypes[Movement],$C313)=0,"Unknown movement",IF(COUNTIF(tblShipment[Shipment No],$B313)=0,"Unknown shipment",IF(AND(IFERROR(INDEX(tblMoveTypes[Item?],MATCH($C313,tblMoveTypes[Movement],0)),"?")="Yes",$E313=""),"Item needed",IF(AND(IFERROR(INDEX(tblMoveTypes[Item?],MATCH($C313,tblMoveTypes[Movement],0)),"?")="No",$E313&lt;&gt;""),"Leave Item blank",IF(AND(IFERROR(INDEX(tblMoveTypes[In / Out],MATCH($C313,tblMoveTypes[Movement],0)),"?")="IN",$G313&lt;&gt;""),"Use the In column, not Out",IF(AND(IFERROR(INDEX(tblMoveTypes[In / Out],MATCH($C313,tblMoveTypes[Movement],0)),"?")="OUT",$F313&lt;&gt;""),"Use the Out column, not In",IF(AND(IFERROR(INDEX(tblMoveTypes[Qty?],MATCH($C313,tblMoveTypes[Movement],0)),"?")="Yes",N($F313)+N($G313)&lt;=0),"Qty needed",IF(AND(IFERROR(INDEX(tblMoveTypes[Qty?],MATCH($C313,tblMoveTypes[Movement],0)),"?")="No",N($F313)+N($G313)&gt;0),"Leave In and Out blank",IF(AND(IFERROR(INDEX(tblMoveTypes[Courier?],MATCH($C313,tblMoveTypes[Movement],0)),"?")="Yes",$I313=""),"Courier needed",IF(AND(IFERROR(INDEX(tblMoveTypes[Courier?],MATCH($C313,tblMoveTypes[Movement],0)),"?")="No",$I313&lt;&gt;""),"Leave Courier blank",IF(AND(IFERROR(INDEX(tblMoveTypes[Orders?],MATCH($C313,tblMoveTypes[Movement],0)),"?")="Yes",$H313=""),"Orders needed",IF(AND(IFERROR(INDEX(tblMoveTypes[Orders?],MATCH($C313,tblMoveTypes[Movement],0)),"?")="No",$H313&lt;&gt;""),"Leave Orders blank",IF(AND(IFERROR(INDEX(tblMoveTypes[Reason?],MATCH($C313,tblMoveTypes[Movement],0)),"?")="Yes",$J313=""),"Reason needed",IF($A313&lt;_xlfn.MINIFS(tblShipment[Arrival Date],tblShipment[Shipment No],$B313),"Date before arrival",IF(AND($E313&lt;&gt;"",COUNTIFS(tblShipment[Shipment No],$B313,tblShipment[Item Name],$E313)=0),"Item not in this shipment","OK")))))))))))))))))</f>
        <v>OK</v>
      </c>
    </row>
    <row r="314" customFormat="false" ht="15" hidden="false" customHeight="false" outlineLevel="0" collapsed="false">
      <c r="A314" s="32" t="n">
        <v>46247</v>
      </c>
      <c r="B314" s="31" t="s">
        <v>166</v>
      </c>
      <c r="C314" s="31" t="s">
        <v>98</v>
      </c>
      <c r="D314" s="34" t="str">
        <f aca="false">IF($C314="","",IFERROR(IF(IFERROR(INDEX(tblMoveTypes[In / Out],MATCH($C314,tblMoveTypes[Movement],0)),"?")="IN","IN   ",IF(IFERROR(INDEX(tblMoveTypes[In / Out],MATCH($C314,tblMoveTypes[Movement],0)),"?")="OUT","OUT   ","--   "))&amp;"fill: "&amp;IF(IFERROR(INDEX(tblMoveTypes[Item?],MATCH($C314,tblMoveTypes[Movement],0)),"?")="Yes","Item  ","")&amp;IF(AND(IFERROR(INDEX(tblMoveTypes[Qty?],MATCH($C314,tblMoveTypes[Movement],0)),"?")="Yes",IFERROR(INDEX(tblMoveTypes[In / Out],MATCH($C314,tblMoveTypes[Movement],0)),"?")="IN"),"In  ","")&amp;IF(AND(IFERROR(INDEX(tblMoveTypes[Qty?],MATCH($C314,tblMoveTypes[Movement],0)),"?")="Yes",IFERROR(INDEX(tblMoveTypes[In / Out],MATCH($C314,tblMoveTypes[Movement],0)),"?")="OUT"),"Out  ","")&amp;IF(IFERROR(INDEX(tblMoveTypes[Orders?],MATCH($C314,tblMoveTypes[Movement],0)),"?")="Yes","Orders  ","")&amp;IF(IFERROR(INDEX(tblMoveTypes[Courier?],MATCH($C314,tblMoveTypes[Movement],0)),"?")="Yes","Courier  ","")&amp;IF(IFERROR(INDEX(tblMoveTypes[Reason?],MATCH($C314,tblMoveTypes[Movement],0)),"?")="Yes","Reason",""),"unknown movement"))</f>
        <v>OUT   fill: Item  Out  Courier  </v>
      </c>
      <c r="E314" s="31" t="s">
        <v>112</v>
      </c>
      <c r="F314" s="33"/>
      <c r="G314" s="33" t="n">
        <v>33</v>
      </c>
      <c r="H314" s="33"/>
      <c r="I314" s="31" t="s">
        <v>76</v>
      </c>
      <c r="J314" s="31"/>
      <c r="K314" s="31"/>
      <c r="L314" s="31"/>
      <c r="M314" s="34" t="str">
        <f aca="false">IF($E314="","",IFERROR(INDEX(tblItems[Item Code],MATCH($E314,tblItems[Item Name],0)),"?"))</f>
        <v>BOX-TRIO-01</v>
      </c>
      <c r="N314" s="34" t="str">
        <f aca="false">IF($B314="","",IFERROR(INDEX(tblShipment[Market],MATCH($B314,tblShipment[Shipment No],0)),"?"))</f>
        <v>Qatar</v>
      </c>
      <c r="O314" s="35" t="n">
        <f aca="false">N($F314)+N($G314)</f>
        <v>33</v>
      </c>
      <c r="P314" s="34" t="str">
        <f aca="false">IF($A314="","",IF($L314="Yes","VOID",IF(COUNTIFS(tblMoveTypes[Movement],$C314)=0,"Unknown movement",IF(COUNTIF(tblShipment[Shipment No],$B314)=0,"Unknown shipment",IF(AND(IFERROR(INDEX(tblMoveTypes[Item?],MATCH($C314,tblMoveTypes[Movement],0)),"?")="Yes",$E314=""),"Item needed",IF(AND(IFERROR(INDEX(tblMoveTypes[Item?],MATCH($C314,tblMoveTypes[Movement],0)),"?")="No",$E314&lt;&gt;""),"Leave Item blank",IF(AND(IFERROR(INDEX(tblMoveTypes[In / Out],MATCH($C314,tblMoveTypes[Movement],0)),"?")="IN",$G314&lt;&gt;""),"Use the In column, not Out",IF(AND(IFERROR(INDEX(tblMoveTypes[In / Out],MATCH($C314,tblMoveTypes[Movement],0)),"?")="OUT",$F314&lt;&gt;""),"Use the Out column, not In",IF(AND(IFERROR(INDEX(tblMoveTypes[Qty?],MATCH($C314,tblMoveTypes[Movement],0)),"?")="Yes",N($F314)+N($G314)&lt;=0),"Qty needed",IF(AND(IFERROR(INDEX(tblMoveTypes[Qty?],MATCH($C314,tblMoveTypes[Movement],0)),"?")="No",N($F314)+N($G314)&gt;0),"Leave In and Out blank",IF(AND(IFERROR(INDEX(tblMoveTypes[Courier?],MATCH($C314,tblMoveTypes[Movement],0)),"?")="Yes",$I314=""),"Courier needed",IF(AND(IFERROR(INDEX(tblMoveTypes[Courier?],MATCH($C314,tblMoveTypes[Movement],0)),"?")="No",$I314&lt;&gt;""),"Leave Courier blank",IF(AND(IFERROR(INDEX(tblMoveTypes[Orders?],MATCH($C314,tblMoveTypes[Movement],0)),"?")="Yes",$H314=""),"Orders needed",IF(AND(IFERROR(INDEX(tblMoveTypes[Orders?],MATCH($C314,tblMoveTypes[Movement],0)),"?")="No",$H314&lt;&gt;""),"Leave Orders blank",IF(AND(IFERROR(INDEX(tblMoveTypes[Reason?],MATCH($C314,tblMoveTypes[Movement],0)),"?")="Yes",$J314=""),"Reason needed",IF($A314&lt;_xlfn.MINIFS(tblShipment[Arrival Date],tblShipment[Shipment No],$B314),"Date before arrival",IF(AND($E314&lt;&gt;"",COUNTIFS(tblShipment[Shipment No],$B314,tblShipment[Item Name],$E314)=0),"Item not in this shipment","OK")))))))))))))))))</f>
        <v>OK</v>
      </c>
    </row>
    <row r="315" customFormat="false" ht="15" hidden="false" customHeight="false" outlineLevel="0" collapsed="false">
      <c r="A315" s="32" t="n">
        <v>46247</v>
      </c>
      <c r="B315" s="31" t="s">
        <v>166</v>
      </c>
      <c r="C315" s="31" t="s">
        <v>98</v>
      </c>
      <c r="D315" s="34" t="str">
        <f aca="false">IF($C315="","",IFERROR(IF(IFERROR(INDEX(tblMoveTypes[In / Out],MATCH($C315,tblMoveTypes[Movement],0)),"?")="IN","IN   ",IF(IFERROR(INDEX(tblMoveTypes[In / Out],MATCH($C315,tblMoveTypes[Movement],0)),"?")="OUT","OUT   ","--   "))&amp;"fill: "&amp;IF(IFERROR(INDEX(tblMoveTypes[Item?],MATCH($C315,tblMoveTypes[Movement],0)),"?")="Yes","Item  ","")&amp;IF(AND(IFERROR(INDEX(tblMoveTypes[Qty?],MATCH($C315,tblMoveTypes[Movement],0)),"?")="Yes",IFERROR(INDEX(tblMoveTypes[In / Out],MATCH($C315,tblMoveTypes[Movement],0)),"?")="IN"),"In  ","")&amp;IF(AND(IFERROR(INDEX(tblMoveTypes[Qty?],MATCH($C315,tblMoveTypes[Movement],0)),"?")="Yes",IFERROR(INDEX(tblMoveTypes[In / Out],MATCH($C315,tblMoveTypes[Movement],0)),"?")="OUT"),"Out  ","")&amp;IF(IFERROR(INDEX(tblMoveTypes[Orders?],MATCH($C315,tblMoveTypes[Movement],0)),"?")="Yes","Orders  ","")&amp;IF(IFERROR(INDEX(tblMoveTypes[Courier?],MATCH($C315,tblMoveTypes[Movement],0)),"?")="Yes","Courier  ","")&amp;IF(IFERROR(INDEX(tblMoveTypes[Reason?],MATCH($C315,tblMoveTypes[Movement],0)),"?")="Yes","Reason",""),"unknown movement"))</f>
        <v>OUT   fill: Item  Out  Courier  </v>
      </c>
      <c r="E315" s="31" t="s">
        <v>106</v>
      </c>
      <c r="F315" s="33"/>
      <c r="G315" s="33" t="n">
        <v>35</v>
      </c>
      <c r="H315" s="33"/>
      <c r="I315" s="31" t="s">
        <v>76</v>
      </c>
      <c r="J315" s="31"/>
      <c r="K315" s="31"/>
      <c r="L315" s="31"/>
      <c r="M315" s="34" t="str">
        <f aca="false">IF($E315="","",IFERROR(INDEX(tblItems[Item Code],MATCH($E315,tblItems[Item Name],0)),"?"))</f>
        <v>EG-FG-DAT-01-02-01-01</v>
      </c>
      <c r="N315" s="34" t="str">
        <f aca="false">IF($B315="","",IFERROR(INDEX(tblShipment[Market],MATCH($B315,tblShipment[Shipment No],0)),"?"))</f>
        <v>Qatar</v>
      </c>
      <c r="O315" s="35" t="n">
        <f aca="false">N($F315)+N($G315)</f>
        <v>35</v>
      </c>
      <c r="P315" s="34" t="str">
        <f aca="false">IF($A315="","",IF($L315="Yes","VOID",IF(COUNTIFS(tblMoveTypes[Movement],$C315)=0,"Unknown movement",IF(COUNTIF(tblShipment[Shipment No],$B315)=0,"Unknown shipment",IF(AND(IFERROR(INDEX(tblMoveTypes[Item?],MATCH($C315,tblMoveTypes[Movement],0)),"?")="Yes",$E315=""),"Item needed",IF(AND(IFERROR(INDEX(tblMoveTypes[Item?],MATCH($C315,tblMoveTypes[Movement],0)),"?")="No",$E315&lt;&gt;""),"Leave Item blank",IF(AND(IFERROR(INDEX(tblMoveTypes[In / Out],MATCH($C315,tblMoveTypes[Movement],0)),"?")="IN",$G315&lt;&gt;""),"Use the In column, not Out",IF(AND(IFERROR(INDEX(tblMoveTypes[In / Out],MATCH($C315,tblMoveTypes[Movement],0)),"?")="OUT",$F315&lt;&gt;""),"Use the Out column, not In",IF(AND(IFERROR(INDEX(tblMoveTypes[Qty?],MATCH($C315,tblMoveTypes[Movement],0)),"?")="Yes",N($F315)+N($G315)&lt;=0),"Qty needed",IF(AND(IFERROR(INDEX(tblMoveTypes[Qty?],MATCH($C315,tblMoveTypes[Movement],0)),"?")="No",N($F315)+N($G315)&gt;0),"Leave In and Out blank",IF(AND(IFERROR(INDEX(tblMoveTypes[Courier?],MATCH($C315,tblMoveTypes[Movement],0)),"?")="Yes",$I315=""),"Courier needed",IF(AND(IFERROR(INDEX(tblMoveTypes[Courier?],MATCH($C315,tblMoveTypes[Movement],0)),"?")="No",$I315&lt;&gt;""),"Leave Courier blank",IF(AND(IFERROR(INDEX(tblMoveTypes[Orders?],MATCH($C315,tblMoveTypes[Movement],0)),"?")="Yes",$H315=""),"Orders needed",IF(AND(IFERROR(INDEX(tblMoveTypes[Orders?],MATCH($C315,tblMoveTypes[Movement],0)),"?")="No",$H315&lt;&gt;""),"Leave Orders blank",IF(AND(IFERROR(INDEX(tblMoveTypes[Reason?],MATCH($C315,tblMoveTypes[Movement],0)),"?")="Yes",$J315=""),"Reason needed",IF($A315&lt;_xlfn.MINIFS(tblShipment[Arrival Date],tblShipment[Shipment No],$B315),"Date before arrival",IF(AND($E315&lt;&gt;"",COUNTIFS(tblShipment[Shipment No],$B315,tblShipment[Item Name],$E315)=0),"Item not in this shipment","OK")))))))))))))))))</f>
        <v>OK</v>
      </c>
    </row>
    <row r="316" customFormat="false" ht="15" hidden="false" customHeight="false" outlineLevel="0" collapsed="false">
      <c r="A316" s="32" t="n">
        <v>46247</v>
      </c>
      <c r="B316" s="31" t="s">
        <v>166</v>
      </c>
      <c r="C316" s="31" t="s">
        <v>110</v>
      </c>
      <c r="D316" s="34" t="str">
        <f aca="false">IF($C316="","",IFERROR(IF(IFERROR(INDEX(tblMoveTypes[In / Out],MATCH($C316,tblMoveTypes[Movement],0)),"?")="IN","IN   ",IF(IFERROR(INDEX(tblMoveTypes[In / Out],MATCH($C316,tblMoveTypes[Movement],0)),"?")="OUT","OUT   ","--   "))&amp;"fill: "&amp;IF(IFERROR(INDEX(tblMoveTypes[Item?],MATCH($C316,tblMoveTypes[Movement],0)),"?")="Yes","Item  ","")&amp;IF(AND(IFERROR(INDEX(tblMoveTypes[Qty?],MATCH($C316,tblMoveTypes[Movement],0)),"?")="Yes",IFERROR(INDEX(tblMoveTypes[In / Out],MATCH($C316,tblMoveTypes[Movement],0)),"?")="IN"),"In  ","")&amp;IF(AND(IFERROR(INDEX(tblMoveTypes[Qty?],MATCH($C316,tblMoveTypes[Movement],0)),"?")="Yes",IFERROR(INDEX(tblMoveTypes[In / Out],MATCH($C316,tblMoveTypes[Movement],0)),"?")="OUT"),"Out  ","")&amp;IF(IFERROR(INDEX(tblMoveTypes[Orders?],MATCH($C316,tblMoveTypes[Movement],0)),"?")="Yes","Orders  ","")&amp;IF(IFERROR(INDEX(tblMoveTypes[Courier?],MATCH($C316,tblMoveTypes[Movement],0)),"?")="Yes","Courier  ","")&amp;IF(IFERROR(INDEX(tblMoveTypes[Reason?],MATCH($C316,tblMoveTypes[Movement],0)),"?")="Yes","Reason",""),"unknown movement"))</f>
        <v>--   fill: Orders  Courier  </v>
      </c>
      <c r="E316" s="31"/>
      <c r="F316" s="33"/>
      <c r="G316" s="33"/>
      <c r="H316" s="33" t="n">
        <v>185</v>
      </c>
      <c r="I316" s="31" t="s">
        <v>76</v>
      </c>
      <c r="J316" s="31"/>
      <c r="K316" s="31"/>
      <c r="L316" s="31"/>
      <c r="M316" s="34" t="str">
        <f aca="false">IF($E316="","",IFERROR(INDEX(tblItems[Item Code],MATCH($E316,tblItems[Item Name],0)),"?"))</f>
        <v/>
      </c>
      <c r="N316" s="34" t="str">
        <f aca="false">IF($B316="","",IFERROR(INDEX(tblShipment[Market],MATCH($B316,tblShipment[Shipment No],0)),"?"))</f>
        <v>Qatar</v>
      </c>
      <c r="O316" s="35" t="n">
        <f aca="false">N($F316)+N($G316)</f>
        <v>0</v>
      </c>
      <c r="P316" s="34" t="str">
        <f aca="false">IF($A316="","",IF($L316="Yes","VOID",IF(COUNTIFS(tblMoveTypes[Movement],$C316)=0,"Unknown movement",IF(COUNTIF(tblShipment[Shipment No],$B316)=0,"Unknown shipment",IF(AND(IFERROR(INDEX(tblMoveTypes[Item?],MATCH($C316,tblMoveTypes[Movement],0)),"?")="Yes",$E316=""),"Item needed",IF(AND(IFERROR(INDEX(tblMoveTypes[Item?],MATCH($C316,tblMoveTypes[Movement],0)),"?")="No",$E316&lt;&gt;""),"Leave Item blank",IF(AND(IFERROR(INDEX(tblMoveTypes[In / Out],MATCH($C316,tblMoveTypes[Movement],0)),"?")="IN",$G316&lt;&gt;""),"Use the In column, not Out",IF(AND(IFERROR(INDEX(tblMoveTypes[In / Out],MATCH($C316,tblMoveTypes[Movement],0)),"?")="OUT",$F316&lt;&gt;""),"Use the Out column, not In",IF(AND(IFERROR(INDEX(tblMoveTypes[Qty?],MATCH($C316,tblMoveTypes[Movement],0)),"?")="Yes",N($F316)+N($G316)&lt;=0),"Qty needed",IF(AND(IFERROR(INDEX(tblMoveTypes[Qty?],MATCH($C316,tblMoveTypes[Movement],0)),"?")="No",N($F316)+N($G316)&gt;0),"Leave In and Out blank",IF(AND(IFERROR(INDEX(tblMoveTypes[Courier?],MATCH($C316,tblMoveTypes[Movement],0)),"?")="Yes",$I316=""),"Courier needed",IF(AND(IFERROR(INDEX(tblMoveTypes[Courier?],MATCH($C316,tblMoveTypes[Movement],0)),"?")="No",$I316&lt;&gt;""),"Leave Courier blank",IF(AND(IFERROR(INDEX(tblMoveTypes[Orders?],MATCH($C316,tblMoveTypes[Movement],0)),"?")="Yes",$H316=""),"Orders needed",IF(AND(IFERROR(INDEX(tblMoveTypes[Orders?],MATCH($C316,tblMoveTypes[Movement],0)),"?")="No",$H316&lt;&gt;""),"Leave Orders blank",IF(AND(IFERROR(INDEX(tblMoveTypes[Reason?],MATCH($C316,tblMoveTypes[Movement],0)),"?")="Yes",$J316=""),"Reason needed",IF($A316&lt;_xlfn.MINIFS(tblShipment[Arrival Date],tblShipment[Shipment No],$B316),"Date before arrival",IF(AND($E316&lt;&gt;"",COUNTIFS(tblShipment[Shipment No],$B316,tblShipment[Item Name],$E316)=0),"Item not in this shipment","OK")))))))))))))))))</f>
        <v>OK</v>
      </c>
    </row>
    <row r="317" customFormat="false" ht="15" hidden="false" customHeight="false" outlineLevel="0" collapsed="false">
      <c r="A317" s="32" t="n">
        <v>46247</v>
      </c>
      <c r="B317" s="31" t="s">
        <v>166</v>
      </c>
      <c r="C317" s="31" t="s">
        <v>115</v>
      </c>
      <c r="D317" s="34" t="str">
        <f aca="false">IF($C317="","",IFERROR(IF(IFERROR(INDEX(tblMoveTypes[In / Out],MATCH($C317,tblMoveTypes[Movement],0)),"?")="IN","IN   ",IF(IFERROR(INDEX(tblMoveTypes[In / Out],MATCH($C317,tblMoveTypes[Movement],0)),"?")="OUT","OUT   ","--   "))&amp;"fill: "&amp;IF(IFERROR(INDEX(tblMoveTypes[Item?],MATCH($C317,tblMoveTypes[Movement],0)),"?")="Yes","Item  ","")&amp;IF(AND(IFERROR(INDEX(tblMoveTypes[Qty?],MATCH($C317,tblMoveTypes[Movement],0)),"?")="Yes",IFERROR(INDEX(tblMoveTypes[In / Out],MATCH($C317,tblMoveTypes[Movement],0)),"?")="IN"),"In  ","")&amp;IF(AND(IFERROR(INDEX(tblMoveTypes[Qty?],MATCH($C317,tblMoveTypes[Movement],0)),"?")="Yes",IFERROR(INDEX(tblMoveTypes[In / Out],MATCH($C317,tblMoveTypes[Movement],0)),"?")="OUT"),"Out  ","")&amp;IF(IFERROR(INDEX(tblMoveTypes[Orders?],MATCH($C317,tblMoveTypes[Movement],0)),"?")="Yes","Orders  ","")&amp;IF(IFERROR(INDEX(tblMoveTypes[Courier?],MATCH($C317,tblMoveTypes[Movement],0)),"?")="Yes","Courier  ","")&amp;IF(IFERROR(INDEX(tblMoveTypes[Reason?],MATCH($C317,tblMoveTypes[Movement],0)),"?")="Yes","Reason",""),"unknown movement"))</f>
        <v>OUT   fill: Out  Orders  Courier  </v>
      </c>
      <c r="E317" s="31"/>
      <c r="F317" s="33"/>
      <c r="G317" s="33" t="n">
        <v>240</v>
      </c>
      <c r="H317" s="33" t="n">
        <v>96</v>
      </c>
      <c r="I317" s="31" t="s">
        <v>76</v>
      </c>
      <c r="J317" s="31"/>
      <c r="K317" s="31"/>
      <c r="L317" s="31"/>
      <c r="M317" s="34" t="str">
        <f aca="false">IF($E317="","",IFERROR(INDEX(tblItems[Item Code],MATCH($E317,tblItems[Item Name],0)),"?"))</f>
        <v/>
      </c>
      <c r="N317" s="34" t="str">
        <f aca="false">IF($B317="","",IFERROR(INDEX(tblShipment[Market],MATCH($B317,tblShipment[Shipment No],0)),"?"))</f>
        <v>Qatar</v>
      </c>
      <c r="O317" s="35" t="n">
        <f aca="false">N($F317)+N($G317)</f>
        <v>240</v>
      </c>
      <c r="P317" s="34" t="str">
        <f aca="false">IF($A317="","",IF($L317="Yes","VOID",IF(COUNTIFS(tblMoveTypes[Movement],$C317)=0,"Unknown movement",IF(COUNTIF(tblShipment[Shipment No],$B317)=0,"Unknown shipment",IF(AND(IFERROR(INDEX(tblMoveTypes[Item?],MATCH($C317,tblMoveTypes[Movement],0)),"?")="Yes",$E317=""),"Item needed",IF(AND(IFERROR(INDEX(tblMoveTypes[Item?],MATCH($C317,tblMoveTypes[Movement],0)),"?")="No",$E317&lt;&gt;""),"Leave Item blank",IF(AND(IFERROR(INDEX(tblMoveTypes[In / Out],MATCH($C317,tblMoveTypes[Movement],0)),"?")="IN",$G317&lt;&gt;""),"Use the In column, not Out",IF(AND(IFERROR(INDEX(tblMoveTypes[In / Out],MATCH($C317,tblMoveTypes[Movement],0)),"?")="OUT",$F317&lt;&gt;""),"Use the Out column, not In",IF(AND(IFERROR(INDEX(tblMoveTypes[Qty?],MATCH($C317,tblMoveTypes[Movement],0)),"?")="Yes",N($F317)+N($G317)&lt;=0),"Qty needed",IF(AND(IFERROR(INDEX(tblMoveTypes[Qty?],MATCH($C317,tblMoveTypes[Movement],0)),"?")="No",N($F317)+N($G317)&gt;0),"Leave In and Out blank",IF(AND(IFERROR(INDEX(tblMoveTypes[Courier?],MATCH($C317,tblMoveTypes[Movement],0)),"?")="Yes",$I317=""),"Courier needed",IF(AND(IFERROR(INDEX(tblMoveTypes[Courier?],MATCH($C317,tblMoveTypes[Movement],0)),"?")="No",$I317&lt;&gt;""),"Leave Courier blank",IF(AND(IFERROR(INDEX(tblMoveTypes[Orders?],MATCH($C317,tblMoveTypes[Movement],0)),"?")="Yes",$H317=""),"Orders needed",IF(AND(IFERROR(INDEX(tblMoveTypes[Orders?],MATCH($C317,tblMoveTypes[Movement],0)),"?")="No",$H317&lt;&gt;""),"Leave Orders blank",IF(AND(IFERROR(INDEX(tblMoveTypes[Reason?],MATCH($C317,tblMoveTypes[Movement],0)),"?")="Yes",$J317=""),"Reason needed",IF($A317&lt;_xlfn.MINIFS(tblShipment[Arrival Date],tblShipment[Shipment No],$B317),"Date before arrival",IF(AND($E317&lt;&gt;"",COUNTIFS(tblShipment[Shipment No],$B317,tblShipment[Item Name],$E317)=0),"Item not in this shipment","OK")))))))))))))))))</f>
        <v>OK</v>
      </c>
    </row>
    <row r="318" customFormat="false" ht="15" hidden="false" customHeight="false" outlineLevel="0" collapsed="false">
      <c r="A318" s="32" t="n">
        <v>46248</v>
      </c>
      <c r="B318" s="31" t="s">
        <v>165</v>
      </c>
      <c r="C318" s="31" t="s">
        <v>115</v>
      </c>
      <c r="D318" s="34" t="str">
        <f aca="false">IF($C318="","",IFERROR(IF(IFERROR(INDEX(tblMoveTypes[In / Out],MATCH($C318,tblMoveTypes[Movement],0)),"?")="IN","IN   ",IF(IFERROR(INDEX(tblMoveTypes[In / Out],MATCH($C318,tblMoveTypes[Movement],0)),"?")="OUT","OUT   ","--   "))&amp;"fill: "&amp;IF(IFERROR(INDEX(tblMoveTypes[Item?],MATCH($C318,tblMoveTypes[Movement],0)),"?")="Yes","Item  ","")&amp;IF(AND(IFERROR(INDEX(tblMoveTypes[Qty?],MATCH($C318,tblMoveTypes[Movement],0)),"?")="Yes",IFERROR(INDEX(tblMoveTypes[In / Out],MATCH($C318,tblMoveTypes[Movement],0)),"?")="IN"),"In  ","")&amp;IF(AND(IFERROR(INDEX(tblMoveTypes[Qty?],MATCH($C318,tblMoveTypes[Movement],0)),"?")="Yes",IFERROR(INDEX(tblMoveTypes[In / Out],MATCH($C318,tblMoveTypes[Movement],0)),"?")="OUT"),"Out  ","")&amp;IF(IFERROR(INDEX(tblMoveTypes[Orders?],MATCH($C318,tblMoveTypes[Movement],0)),"?")="Yes","Orders  ","")&amp;IF(IFERROR(INDEX(tblMoveTypes[Courier?],MATCH($C318,tblMoveTypes[Movement],0)),"?")="Yes","Courier  ","")&amp;IF(IFERROR(INDEX(tblMoveTypes[Reason?],MATCH($C318,tblMoveTypes[Movement],0)),"?")="Yes","Reason",""),"unknown movement"))</f>
        <v>OUT   fill: Out  Orders  Courier  </v>
      </c>
      <c r="E318" s="31"/>
      <c r="F318" s="33"/>
      <c r="G318" s="33" t="n">
        <v>48</v>
      </c>
      <c r="H318" s="33" t="n">
        <v>19</v>
      </c>
      <c r="I318" s="31" t="s">
        <v>76</v>
      </c>
      <c r="J318" s="31"/>
      <c r="K318" s="31"/>
      <c r="L318" s="31"/>
      <c r="M318" s="34" t="str">
        <f aca="false">IF($E318="","",IFERROR(INDEX(tblItems[Item Code],MATCH($E318,tblItems[Item Name],0)),"?"))</f>
        <v/>
      </c>
      <c r="N318" s="34" t="str">
        <f aca="false">IF($B318="","",IFERROR(INDEX(tblShipment[Market],MATCH($B318,tblShipment[Shipment No],0)),"?"))</f>
        <v>Qatar</v>
      </c>
      <c r="O318" s="35" t="n">
        <f aca="false">N($F318)+N($G318)</f>
        <v>48</v>
      </c>
      <c r="P318" s="34" t="str">
        <f aca="false">IF($A318="","",IF($L318="Yes","VOID",IF(COUNTIFS(tblMoveTypes[Movement],$C318)=0,"Unknown movement",IF(COUNTIF(tblShipment[Shipment No],$B318)=0,"Unknown shipment",IF(AND(IFERROR(INDEX(tblMoveTypes[Item?],MATCH($C318,tblMoveTypes[Movement],0)),"?")="Yes",$E318=""),"Item needed",IF(AND(IFERROR(INDEX(tblMoveTypes[Item?],MATCH($C318,tblMoveTypes[Movement],0)),"?")="No",$E318&lt;&gt;""),"Leave Item blank",IF(AND(IFERROR(INDEX(tblMoveTypes[In / Out],MATCH($C318,tblMoveTypes[Movement],0)),"?")="IN",$G318&lt;&gt;""),"Use the In column, not Out",IF(AND(IFERROR(INDEX(tblMoveTypes[In / Out],MATCH($C318,tblMoveTypes[Movement],0)),"?")="OUT",$F318&lt;&gt;""),"Use the Out column, not In",IF(AND(IFERROR(INDEX(tblMoveTypes[Qty?],MATCH($C318,tblMoveTypes[Movement],0)),"?")="Yes",N($F318)+N($G318)&lt;=0),"Qty needed",IF(AND(IFERROR(INDEX(tblMoveTypes[Qty?],MATCH($C318,tblMoveTypes[Movement],0)),"?")="No",N($F318)+N($G318)&gt;0),"Leave In and Out blank",IF(AND(IFERROR(INDEX(tblMoveTypes[Courier?],MATCH($C318,tblMoveTypes[Movement],0)),"?")="Yes",$I318=""),"Courier needed",IF(AND(IFERROR(INDEX(tblMoveTypes[Courier?],MATCH($C318,tblMoveTypes[Movement],0)),"?")="No",$I318&lt;&gt;""),"Leave Courier blank",IF(AND(IFERROR(INDEX(tblMoveTypes[Orders?],MATCH($C318,tblMoveTypes[Movement],0)),"?")="Yes",$H318=""),"Orders needed",IF(AND(IFERROR(INDEX(tblMoveTypes[Orders?],MATCH($C318,tblMoveTypes[Movement],0)),"?")="No",$H318&lt;&gt;""),"Leave Orders blank",IF(AND(IFERROR(INDEX(tblMoveTypes[Reason?],MATCH($C318,tblMoveTypes[Movement],0)),"?")="Yes",$J318=""),"Reason needed",IF($A318&lt;_xlfn.MINIFS(tblShipment[Arrival Date],tblShipment[Shipment No],$B318),"Date before arrival",IF(AND($E318&lt;&gt;"",COUNTIFS(tblShipment[Shipment No],$B318,tblShipment[Item Name],$E318)=0),"Item not in this shipment","OK")))))))))))))))))</f>
        <v>OK</v>
      </c>
    </row>
    <row r="319" customFormat="false" ht="15" hidden="false" customHeight="false" outlineLevel="0" collapsed="false">
      <c r="A319" s="32" t="n">
        <v>46248</v>
      </c>
      <c r="B319" s="31" t="s">
        <v>165</v>
      </c>
      <c r="C319" s="31" t="s">
        <v>120</v>
      </c>
      <c r="D319" s="34" t="str">
        <f aca="false">IF($C319="","",IFERROR(IF(IFERROR(INDEX(tblMoveTypes[In / Out],MATCH($C319,tblMoveTypes[Movement],0)),"?")="IN","IN   ",IF(IFERROR(INDEX(tblMoveTypes[In / Out],MATCH($C319,tblMoveTypes[Movement],0)),"?")="OUT","OUT   ","--   "))&amp;"fill: "&amp;IF(IFERROR(INDEX(tblMoveTypes[Item?],MATCH($C319,tblMoveTypes[Movement],0)),"?")="Yes","Item  ","")&amp;IF(AND(IFERROR(INDEX(tblMoveTypes[Qty?],MATCH($C319,tblMoveTypes[Movement],0)),"?")="Yes",IFERROR(INDEX(tblMoveTypes[In / Out],MATCH($C319,tblMoveTypes[Movement],0)),"?")="IN"),"In  ","")&amp;IF(AND(IFERROR(INDEX(tblMoveTypes[Qty?],MATCH($C319,tblMoveTypes[Movement],0)),"?")="Yes",IFERROR(INDEX(tblMoveTypes[In / Out],MATCH($C319,tblMoveTypes[Movement],0)),"?")="OUT"),"Out  ","")&amp;IF(IFERROR(INDEX(tblMoveTypes[Orders?],MATCH($C319,tblMoveTypes[Movement],0)),"?")="Yes","Orders  ","")&amp;IF(IFERROR(INDEX(tblMoveTypes[Courier?],MATCH($C319,tblMoveTypes[Movement],0)),"?")="Yes","Courier  ","")&amp;IF(IFERROR(INDEX(tblMoveTypes[Reason?],MATCH($C319,tblMoveTypes[Movement],0)),"?")="Yes","Reason",""),"unknown movement"))</f>
        <v>IN   fill: In  Orders  Courier  Reason</v>
      </c>
      <c r="E319" s="31"/>
      <c r="F319" s="33" t="n">
        <v>9</v>
      </c>
      <c r="G319" s="33"/>
      <c r="H319" s="33" t="n">
        <v>1</v>
      </c>
      <c r="I319" s="31" t="s">
        <v>76</v>
      </c>
      <c r="J319" s="31" t="s">
        <v>108</v>
      </c>
      <c r="K319" s="31"/>
      <c r="L319" s="31"/>
      <c r="M319" s="34" t="str">
        <f aca="false">IF($E319="","",IFERROR(INDEX(tblItems[Item Code],MATCH($E319,tblItems[Item Name],0)),"?"))</f>
        <v/>
      </c>
      <c r="N319" s="34" t="str">
        <f aca="false">IF($B319="","",IFERROR(INDEX(tblShipment[Market],MATCH($B319,tblShipment[Shipment No],0)),"?"))</f>
        <v>Qatar</v>
      </c>
      <c r="O319" s="35" t="n">
        <f aca="false">N($F319)+N($G319)</f>
        <v>9</v>
      </c>
      <c r="P319" s="34" t="str">
        <f aca="false">IF($A319="","",IF($L319="Yes","VOID",IF(COUNTIFS(tblMoveTypes[Movement],$C319)=0,"Unknown movement",IF(COUNTIF(tblShipment[Shipment No],$B319)=0,"Unknown shipment",IF(AND(IFERROR(INDEX(tblMoveTypes[Item?],MATCH($C319,tblMoveTypes[Movement],0)),"?")="Yes",$E319=""),"Item needed",IF(AND(IFERROR(INDEX(tblMoveTypes[Item?],MATCH($C319,tblMoveTypes[Movement],0)),"?")="No",$E319&lt;&gt;""),"Leave Item blank",IF(AND(IFERROR(INDEX(tblMoveTypes[In / Out],MATCH($C319,tblMoveTypes[Movement],0)),"?")="IN",$G319&lt;&gt;""),"Use the In column, not Out",IF(AND(IFERROR(INDEX(tblMoveTypes[In / Out],MATCH($C319,tblMoveTypes[Movement],0)),"?")="OUT",$F319&lt;&gt;""),"Use the Out column, not In",IF(AND(IFERROR(INDEX(tblMoveTypes[Qty?],MATCH($C319,tblMoveTypes[Movement],0)),"?")="Yes",N($F319)+N($G319)&lt;=0),"Qty needed",IF(AND(IFERROR(INDEX(tblMoveTypes[Qty?],MATCH($C319,tblMoveTypes[Movement],0)),"?")="No",N($F319)+N($G319)&gt;0),"Leave In and Out blank",IF(AND(IFERROR(INDEX(tblMoveTypes[Courier?],MATCH($C319,tblMoveTypes[Movement],0)),"?")="Yes",$I319=""),"Courier needed",IF(AND(IFERROR(INDEX(tblMoveTypes[Courier?],MATCH($C319,tblMoveTypes[Movement],0)),"?")="No",$I319&lt;&gt;""),"Leave Courier blank",IF(AND(IFERROR(INDEX(tblMoveTypes[Orders?],MATCH($C319,tblMoveTypes[Movement],0)),"?")="Yes",$H319=""),"Orders needed",IF(AND(IFERROR(INDEX(tblMoveTypes[Orders?],MATCH($C319,tblMoveTypes[Movement],0)),"?")="No",$H319&lt;&gt;""),"Leave Orders blank",IF(AND(IFERROR(INDEX(tblMoveTypes[Reason?],MATCH($C319,tblMoveTypes[Movement],0)),"?")="Yes",$J319=""),"Reason needed",IF($A319&lt;_xlfn.MINIFS(tblShipment[Arrival Date],tblShipment[Shipment No],$B319),"Date before arrival",IF(AND($E319&lt;&gt;"",COUNTIFS(tblShipment[Shipment No],$B319,tblShipment[Item Name],$E319)=0),"Item not in this shipment","OK")))))))))))))))))</f>
        <v>OK</v>
      </c>
    </row>
    <row r="320" customFormat="false" ht="15" hidden="false" customHeight="false" outlineLevel="0" collapsed="false">
      <c r="A320" s="32" t="n">
        <v>46248</v>
      </c>
      <c r="B320" s="31" t="s">
        <v>165</v>
      </c>
      <c r="C320" s="31" t="s">
        <v>125</v>
      </c>
      <c r="D320" s="34" t="str">
        <f aca="false">IF($C320="","",IFERROR(IF(IFERROR(INDEX(tblMoveTypes[In / Out],MATCH($C320,tblMoveTypes[Movement],0)),"?")="IN","IN   ",IF(IFERROR(INDEX(tblMoveTypes[In / Out],MATCH($C320,tblMoveTypes[Movement],0)),"?")="OUT","OUT   ","--   "))&amp;"fill: "&amp;IF(IFERROR(INDEX(tblMoveTypes[Item?],MATCH($C320,tblMoveTypes[Movement],0)),"?")="Yes","Item  ","")&amp;IF(AND(IFERROR(INDEX(tblMoveTypes[Qty?],MATCH($C320,tblMoveTypes[Movement],0)),"?")="Yes",IFERROR(INDEX(tblMoveTypes[In / Out],MATCH($C320,tblMoveTypes[Movement],0)),"?")="IN"),"In  ","")&amp;IF(AND(IFERROR(INDEX(tblMoveTypes[Qty?],MATCH($C320,tblMoveTypes[Movement],0)),"?")="Yes",IFERROR(INDEX(tblMoveTypes[In / Out],MATCH($C320,tblMoveTypes[Movement],0)),"?")="OUT"),"Out  ","")&amp;IF(IFERROR(INDEX(tblMoveTypes[Orders?],MATCH($C320,tblMoveTypes[Movement],0)),"?")="Yes","Orders  ","")&amp;IF(IFERROR(INDEX(tblMoveTypes[Courier?],MATCH($C320,tblMoveTypes[Movement],0)),"?")="Yes","Courier  ","")&amp;IF(IFERROR(INDEX(tblMoveTypes[Reason?],MATCH($C320,tblMoveTypes[Movement],0)),"?")="Yes","Reason",""),"unknown movement"))</f>
        <v>IN   fill: Item  In  </v>
      </c>
      <c r="E320" s="31" t="s">
        <v>112</v>
      </c>
      <c r="F320" s="33" t="n">
        <v>6</v>
      </c>
      <c r="G320" s="33"/>
      <c r="H320" s="33"/>
      <c r="I320" s="31"/>
      <c r="J320" s="31"/>
      <c r="K320" s="31"/>
      <c r="L320" s="31"/>
      <c r="M320" s="34" t="str">
        <f aca="false">IF($E320="","",IFERROR(INDEX(tblItems[Item Code],MATCH($E320,tblItems[Item Name],0)),"?"))</f>
        <v>BOX-TRIO-01</v>
      </c>
      <c r="N320" s="34" t="str">
        <f aca="false">IF($B320="","",IFERROR(INDEX(tblShipment[Market],MATCH($B320,tblShipment[Shipment No],0)),"?"))</f>
        <v>Qatar</v>
      </c>
      <c r="O320" s="35" t="n">
        <f aca="false">N($F320)+N($G320)</f>
        <v>6</v>
      </c>
      <c r="P320" s="34" t="str">
        <f aca="false">IF($A320="","",IF($L320="Yes","VOID",IF(COUNTIFS(tblMoveTypes[Movement],$C320)=0,"Unknown movement",IF(COUNTIF(tblShipment[Shipment No],$B320)=0,"Unknown shipment",IF(AND(IFERROR(INDEX(tblMoveTypes[Item?],MATCH($C320,tblMoveTypes[Movement],0)),"?")="Yes",$E320=""),"Item needed",IF(AND(IFERROR(INDEX(tblMoveTypes[Item?],MATCH($C320,tblMoveTypes[Movement],0)),"?")="No",$E320&lt;&gt;""),"Leave Item blank",IF(AND(IFERROR(INDEX(tblMoveTypes[In / Out],MATCH($C320,tblMoveTypes[Movement],0)),"?")="IN",$G320&lt;&gt;""),"Use the In column, not Out",IF(AND(IFERROR(INDEX(tblMoveTypes[In / Out],MATCH($C320,tblMoveTypes[Movement],0)),"?")="OUT",$F320&lt;&gt;""),"Use the Out column, not In",IF(AND(IFERROR(INDEX(tblMoveTypes[Qty?],MATCH($C320,tblMoveTypes[Movement],0)),"?")="Yes",N($F320)+N($G320)&lt;=0),"Qty needed",IF(AND(IFERROR(INDEX(tblMoveTypes[Qty?],MATCH($C320,tblMoveTypes[Movement],0)),"?")="No",N($F320)+N($G320)&gt;0),"Leave In and Out blank",IF(AND(IFERROR(INDEX(tblMoveTypes[Courier?],MATCH($C320,tblMoveTypes[Movement],0)),"?")="Yes",$I320=""),"Courier needed",IF(AND(IFERROR(INDEX(tblMoveTypes[Courier?],MATCH($C320,tblMoveTypes[Movement],0)),"?")="No",$I320&lt;&gt;""),"Leave Courier blank",IF(AND(IFERROR(INDEX(tblMoveTypes[Orders?],MATCH($C320,tblMoveTypes[Movement],0)),"?")="Yes",$H320=""),"Orders needed",IF(AND(IFERROR(INDEX(tblMoveTypes[Orders?],MATCH($C320,tblMoveTypes[Movement],0)),"?")="No",$H320&lt;&gt;""),"Leave Orders blank",IF(AND(IFERROR(INDEX(tblMoveTypes[Reason?],MATCH($C320,tblMoveTypes[Movement],0)),"?")="Yes",$J320=""),"Reason needed",IF($A320&lt;_xlfn.MINIFS(tblShipment[Arrival Date],tblShipment[Shipment No],$B320),"Date before arrival",IF(AND($E320&lt;&gt;"",COUNTIFS(tblShipment[Shipment No],$B320,tblShipment[Item Name],$E320)=0),"Item not in this shipment","OK")))))))))))))))))</f>
        <v>OK</v>
      </c>
    </row>
    <row r="321" customFormat="false" ht="15" hidden="false" customHeight="false" outlineLevel="0" collapsed="false">
      <c r="A321" s="32" t="n">
        <v>46248</v>
      </c>
      <c r="B321" s="31" t="s">
        <v>165</v>
      </c>
      <c r="C321" s="31" t="s">
        <v>130</v>
      </c>
      <c r="D321" s="34" t="str">
        <f aca="false">IF($C321="","",IFERROR(IF(IFERROR(INDEX(tblMoveTypes[In / Out],MATCH($C321,tblMoveTypes[Movement],0)),"?")="IN","IN   ",IF(IFERROR(INDEX(tblMoveTypes[In / Out],MATCH($C321,tblMoveTypes[Movement],0)),"?")="OUT","OUT   ","--   "))&amp;"fill: "&amp;IF(IFERROR(INDEX(tblMoveTypes[Item?],MATCH($C321,tblMoveTypes[Movement],0)),"?")="Yes","Item  ","")&amp;IF(AND(IFERROR(INDEX(tblMoveTypes[Qty?],MATCH($C321,tblMoveTypes[Movement],0)),"?")="Yes",IFERROR(INDEX(tblMoveTypes[In / Out],MATCH($C321,tblMoveTypes[Movement],0)),"?")="IN"),"In  ","")&amp;IF(AND(IFERROR(INDEX(tblMoveTypes[Qty?],MATCH($C321,tblMoveTypes[Movement],0)),"?")="Yes",IFERROR(INDEX(tblMoveTypes[In / Out],MATCH($C321,tblMoveTypes[Movement],0)),"?")="OUT"),"Out  ","")&amp;IF(IFERROR(INDEX(tblMoveTypes[Orders?],MATCH($C321,tblMoveTypes[Movement],0)),"?")="Yes","Orders  ","")&amp;IF(IFERROR(INDEX(tblMoveTypes[Courier?],MATCH($C321,tblMoveTypes[Movement],0)),"?")="Yes","Courier  ","")&amp;IF(IFERROR(INDEX(tblMoveTypes[Reason?],MATCH($C321,tblMoveTypes[Movement],0)),"?")="Yes","Reason",""),"unknown movement"))</f>
        <v>OUT   fill: Item  Out  Reason</v>
      </c>
      <c r="E321" s="31" t="s">
        <v>112</v>
      </c>
      <c r="F321" s="33"/>
      <c r="G321" s="33" t="n">
        <v>3</v>
      </c>
      <c r="H321" s="33"/>
      <c r="I321" s="31"/>
      <c r="J321" s="31" t="s">
        <v>77</v>
      </c>
      <c r="K321" s="31"/>
      <c r="L321" s="31"/>
      <c r="M321" s="34" t="str">
        <f aca="false">IF($E321="","",IFERROR(INDEX(tblItems[Item Code],MATCH($E321,tblItems[Item Name],0)),"?"))</f>
        <v>BOX-TRIO-01</v>
      </c>
      <c r="N321" s="34" t="str">
        <f aca="false">IF($B321="","",IFERROR(INDEX(tblShipment[Market],MATCH($B321,tblShipment[Shipment No],0)),"?"))</f>
        <v>Qatar</v>
      </c>
      <c r="O321" s="35" t="n">
        <f aca="false">N($F321)+N($G321)</f>
        <v>3</v>
      </c>
      <c r="P321" s="34" t="str">
        <f aca="false">IF($A321="","",IF($L321="Yes","VOID",IF(COUNTIFS(tblMoveTypes[Movement],$C321)=0,"Unknown movement",IF(COUNTIF(tblShipment[Shipment No],$B321)=0,"Unknown shipment",IF(AND(IFERROR(INDEX(tblMoveTypes[Item?],MATCH($C321,tblMoveTypes[Movement],0)),"?")="Yes",$E321=""),"Item needed",IF(AND(IFERROR(INDEX(tblMoveTypes[Item?],MATCH($C321,tblMoveTypes[Movement],0)),"?")="No",$E321&lt;&gt;""),"Leave Item blank",IF(AND(IFERROR(INDEX(tblMoveTypes[In / Out],MATCH($C321,tblMoveTypes[Movement],0)),"?")="IN",$G321&lt;&gt;""),"Use the In column, not Out",IF(AND(IFERROR(INDEX(tblMoveTypes[In / Out],MATCH($C321,tblMoveTypes[Movement],0)),"?")="OUT",$F321&lt;&gt;""),"Use the Out column, not In",IF(AND(IFERROR(INDEX(tblMoveTypes[Qty?],MATCH($C321,tblMoveTypes[Movement],0)),"?")="Yes",N($F321)+N($G321)&lt;=0),"Qty needed",IF(AND(IFERROR(INDEX(tblMoveTypes[Qty?],MATCH($C321,tblMoveTypes[Movement],0)),"?")="No",N($F321)+N($G321)&gt;0),"Leave In and Out blank",IF(AND(IFERROR(INDEX(tblMoveTypes[Courier?],MATCH($C321,tblMoveTypes[Movement],0)),"?")="Yes",$I321=""),"Courier needed",IF(AND(IFERROR(INDEX(tblMoveTypes[Courier?],MATCH($C321,tblMoveTypes[Movement],0)),"?")="No",$I321&lt;&gt;""),"Leave Courier blank",IF(AND(IFERROR(INDEX(tblMoveTypes[Orders?],MATCH($C321,tblMoveTypes[Movement],0)),"?")="Yes",$H321=""),"Orders needed",IF(AND(IFERROR(INDEX(tblMoveTypes[Orders?],MATCH($C321,tblMoveTypes[Movement],0)),"?")="No",$H321&lt;&gt;""),"Leave Orders blank",IF(AND(IFERROR(INDEX(tblMoveTypes[Reason?],MATCH($C321,tblMoveTypes[Movement],0)),"?")="Yes",$J321=""),"Reason needed",IF($A321&lt;_xlfn.MINIFS(tblShipment[Arrival Date],tblShipment[Shipment No],$B321),"Date before arrival",IF(AND($E321&lt;&gt;"",COUNTIFS(tblShipment[Shipment No],$B321,tblShipment[Item Name],$E321)=0),"Item not in this shipment","OK")))))))))))))))))</f>
        <v>OK</v>
      </c>
    </row>
    <row r="322" customFormat="false" ht="15" hidden="false" customHeight="false" outlineLevel="0" collapsed="false">
      <c r="A322" s="32" t="n">
        <v>46249</v>
      </c>
      <c r="B322" s="31" t="s">
        <v>165</v>
      </c>
      <c r="C322" s="31" t="s">
        <v>98</v>
      </c>
      <c r="D322" s="34" t="str">
        <f aca="false">IF($C322="","",IFERROR(IF(IFERROR(INDEX(tblMoveTypes[In / Out],MATCH($C322,tblMoveTypes[Movement],0)),"?")="IN","IN   ",IF(IFERROR(INDEX(tblMoveTypes[In / Out],MATCH($C322,tblMoveTypes[Movement],0)),"?")="OUT","OUT   ","--   "))&amp;"fill: "&amp;IF(IFERROR(INDEX(tblMoveTypes[Item?],MATCH($C322,tblMoveTypes[Movement],0)),"?")="Yes","Item  ","")&amp;IF(AND(IFERROR(INDEX(tblMoveTypes[Qty?],MATCH($C322,tblMoveTypes[Movement],0)),"?")="Yes",IFERROR(INDEX(tblMoveTypes[In / Out],MATCH($C322,tblMoveTypes[Movement],0)),"?")="IN"),"In  ","")&amp;IF(AND(IFERROR(INDEX(tblMoveTypes[Qty?],MATCH($C322,tblMoveTypes[Movement],0)),"?")="Yes",IFERROR(INDEX(tblMoveTypes[In / Out],MATCH($C322,tblMoveTypes[Movement],0)),"?")="OUT"),"Out  ","")&amp;IF(IFERROR(INDEX(tblMoveTypes[Orders?],MATCH($C322,tblMoveTypes[Movement],0)),"?")="Yes","Orders  ","")&amp;IF(IFERROR(INDEX(tblMoveTypes[Courier?],MATCH($C322,tblMoveTypes[Movement],0)),"?")="Yes","Courier  ","")&amp;IF(IFERROR(INDEX(tblMoveTypes[Reason?],MATCH($C322,tblMoveTypes[Movement],0)),"?")="Yes","Reason",""),"unknown movement"))</f>
        <v>OUT   fill: Item  Out  Courier  </v>
      </c>
      <c r="E322" s="31" t="s">
        <v>112</v>
      </c>
      <c r="F322" s="33"/>
      <c r="G322" s="33" t="n">
        <v>6</v>
      </c>
      <c r="H322" s="33"/>
      <c r="I322" s="31" t="s">
        <v>76</v>
      </c>
      <c r="J322" s="31"/>
      <c r="K322" s="31"/>
      <c r="L322" s="31"/>
      <c r="M322" s="34" t="str">
        <f aca="false">IF($E322="","",IFERROR(INDEX(tblItems[Item Code],MATCH($E322,tblItems[Item Name],0)),"?"))</f>
        <v>BOX-TRIO-01</v>
      </c>
      <c r="N322" s="34" t="str">
        <f aca="false">IF($B322="","",IFERROR(INDEX(tblShipment[Market],MATCH($B322,tblShipment[Shipment No],0)),"?"))</f>
        <v>Qatar</v>
      </c>
      <c r="O322" s="35" t="n">
        <f aca="false">N($F322)+N($G322)</f>
        <v>6</v>
      </c>
      <c r="P322" s="34" t="str">
        <f aca="false">IF($A322="","",IF($L322="Yes","VOID",IF(COUNTIFS(tblMoveTypes[Movement],$C322)=0,"Unknown movement",IF(COUNTIF(tblShipment[Shipment No],$B322)=0,"Unknown shipment",IF(AND(IFERROR(INDEX(tblMoveTypes[Item?],MATCH($C322,tblMoveTypes[Movement],0)),"?")="Yes",$E322=""),"Item needed",IF(AND(IFERROR(INDEX(tblMoveTypes[Item?],MATCH($C322,tblMoveTypes[Movement],0)),"?")="No",$E322&lt;&gt;""),"Leave Item blank",IF(AND(IFERROR(INDEX(tblMoveTypes[In / Out],MATCH($C322,tblMoveTypes[Movement],0)),"?")="IN",$G322&lt;&gt;""),"Use the In column, not Out",IF(AND(IFERROR(INDEX(tblMoveTypes[In / Out],MATCH($C322,tblMoveTypes[Movement],0)),"?")="OUT",$F322&lt;&gt;""),"Use the Out column, not In",IF(AND(IFERROR(INDEX(tblMoveTypes[Qty?],MATCH($C322,tblMoveTypes[Movement],0)),"?")="Yes",N($F322)+N($G322)&lt;=0),"Qty needed",IF(AND(IFERROR(INDEX(tblMoveTypes[Qty?],MATCH($C322,tblMoveTypes[Movement],0)),"?")="No",N($F322)+N($G322)&gt;0),"Leave In and Out blank",IF(AND(IFERROR(INDEX(tblMoveTypes[Courier?],MATCH($C322,tblMoveTypes[Movement],0)),"?")="Yes",$I322=""),"Courier needed",IF(AND(IFERROR(INDEX(tblMoveTypes[Courier?],MATCH($C322,tblMoveTypes[Movement],0)),"?")="No",$I322&lt;&gt;""),"Leave Courier blank",IF(AND(IFERROR(INDEX(tblMoveTypes[Orders?],MATCH($C322,tblMoveTypes[Movement],0)),"?")="Yes",$H322=""),"Orders needed",IF(AND(IFERROR(INDEX(tblMoveTypes[Orders?],MATCH($C322,tblMoveTypes[Movement],0)),"?")="No",$H322&lt;&gt;""),"Leave Orders blank",IF(AND(IFERROR(INDEX(tblMoveTypes[Reason?],MATCH($C322,tblMoveTypes[Movement],0)),"?")="Yes",$J322=""),"Reason needed",IF($A322&lt;_xlfn.MINIFS(tblShipment[Arrival Date],tblShipment[Shipment No],$B322),"Date before arrival",IF(AND($E322&lt;&gt;"",COUNTIFS(tblShipment[Shipment No],$B322,tblShipment[Item Name],$E322)=0),"Item not in this shipment","OK")))))))))))))))))</f>
        <v>OK</v>
      </c>
    </row>
    <row r="323" customFormat="false" ht="15" hidden="false" customHeight="false" outlineLevel="0" collapsed="false">
      <c r="A323" s="32" t="n">
        <v>46249</v>
      </c>
      <c r="B323" s="31" t="s">
        <v>165</v>
      </c>
      <c r="C323" s="31" t="s">
        <v>110</v>
      </c>
      <c r="D323" s="34" t="str">
        <f aca="false">IF($C323="","",IFERROR(IF(IFERROR(INDEX(tblMoveTypes[In / Out],MATCH($C323,tblMoveTypes[Movement],0)),"?")="IN","IN   ",IF(IFERROR(INDEX(tblMoveTypes[In / Out],MATCH($C323,tblMoveTypes[Movement],0)),"?")="OUT","OUT   ","--   "))&amp;"fill: "&amp;IF(IFERROR(INDEX(tblMoveTypes[Item?],MATCH($C323,tblMoveTypes[Movement],0)),"?")="Yes","Item  ","")&amp;IF(AND(IFERROR(INDEX(tblMoveTypes[Qty?],MATCH($C323,tblMoveTypes[Movement],0)),"?")="Yes",IFERROR(INDEX(tblMoveTypes[In / Out],MATCH($C323,tblMoveTypes[Movement],0)),"?")="IN"),"In  ","")&amp;IF(AND(IFERROR(INDEX(tblMoveTypes[Qty?],MATCH($C323,tblMoveTypes[Movement],0)),"?")="Yes",IFERROR(INDEX(tblMoveTypes[In / Out],MATCH($C323,tblMoveTypes[Movement],0)),"?")="OUT"),"Out  ","")&amp;IF(IFERROR(INDEX(tblMoveTypes[Orders?],MATCH($C323,tblMoveTypes[Movement],0)),"?")="Yes","Orders  ","")&amp;IF(IFERROR(INDEX(tblMoveTypes[Courier?],MATCH($C323,tblMoveTypes[Movement],0)),"?")="Yes","Courier  ","")&amp;IF(IFERROR(INDEX(tblMoveTypes[Reason?],MATCH($C323,tblMoveTypes[Movement],0)),"?")="Yes","Reason",""),"unknown movement"))</f>
        <v>--   fill: Orders  Courier  </v>
      </c>
      <c r="E323" s="31"/>
      <c r="F323" s="33"/>
      <c r="G323" s="33"/>
      <c r="H323" s="33" t="n">
        <v>2</v>
      </c>
      <c r="I323" s="31" t="s">
        <v>76</v>
      </c>
      <c r="J323" s="31"/>
      <c r="K323" s="31"/>
      <c r="L323" s="31"/>
      <c r="M323" s="34" t="str">
        <f aca="false">IF($E323="","",IFERROR(INDEX(tblItems[Item Code],MATCH($E323,tblItems[Item Name],0)),"?"))</f>
        <v/>
      </c>
      <c r="N323" s="34" t="str">
        <f aca="false">IF($B323="","",IFERROR(INDEX(tblShipment[Market],MATCH($B323,tblShipment[Shipment No],0)),"?"))</f>
        <v>Qatar</v>
      </c>
      <c r="O323" s="35" t="n">
        <f aca="false">N($F323)+N($G323)</f>
        <v>0</v>
      </c>
      <c r="P323" s="34" t="str">
        <f aca="false">IF($A323="","",IF($L323="Yes","VOID",IF(COUNTIFS(tblMoveTypes[Movement],$C323)=0,"Unknown movement",IF(COUNTIF(tblShipment[Shipment No],$B323)=0,"Unknown shipment",IF(AND(IFERROR(INDEX(tblMoveTypes[Item?],MATCH($C323,tblMoveTypes[Movement],0)),"?")="Yes",$E323=""),"Item needed",IF(AND(IFERROR(INDEX(tblMoveTypes[Item?],MATCH($C323,tblMoveTypes[Movement],0)),"?")="No",$E323&lt;&gt;""),"Leave Item blank",IF(AND(IFERROR(INDEX(tblMoveTypes[In / Out],MATCH($C323,tblMoveTypes[Movement],0)),"?")="IN",$G323&lt;&gt;""),"Use the In column, not Out",IF(AND(IFERROR(INDEX(tblMoveTypes[In / Out],MATCH($C323,tblMoveTypes[Movement],0)),"?")="OUT",$F323&lt;&gt;""),"Use the Out column, not In",IF(AND(IFERROR(INDEX(tblMoveTypes[Qty?],MATCH($C323,tblMoveTypes[Movement],0)),"?")="Yes",N($F323)+N($G323)&lt;=0),"Qty needed",IF(AND(IFERROR(INDEX(tblMoveTypes[Qty?],MATCH($C323,tblMoveTypes[Movement],0)),"?")="No",N($F323)+N($G323)&gt;0),"Leave In and Out blank",IF(AND(IFERROR(INDEX(tblMoveTypes[Courier?],MATCH($C323,tblMoveTypes[Movement],0)),"?")="Yes",$I323=""),"Courier needed",IF(AND(IFERROR(INDEX(tblMoveTypes[Courier?],MATCH($C323,tblMoveTypes[Movement],0)),"?")="No",$I323&lt;&gt;""),"Leave Courier blank",IF(AND(IFERROR(INDEX(tblMoveTypes[Orders?],MATCH($C323,tblMoveTypes[Movement],0)),"?")="Yes",$H323=""),"Orders needed",IF(AND(IFERROR(INDEX(tblMoveTypes[Orders?],MATCH($C323,tblMoveTypes[Movement],0)),"?")="No",$H323&lt;&gt;""),"Leave Orders blank",IF(AND(IFERROR(INDEX(tblMoveTypes[Reason?],MATCH($C323,tblMoveTypes[Movement],0)),"?")="Yes",$J323=""),"Reason needed",IF($A323&lt;_xlfn.MINIFS(tblShipment[Arrival Date],tblShipment[Shipment No],$B323),"Date before arrival",IF(AND($E323&lt;&gt;"",COUNTIFS(tblShipment[Shipment No],$B323,tblShipment[Item Name],$E323)=0),"Item not in this shipment","OK")))))))))))))))))</f>
        <v>OK</v>
      </c>
    </row>
    <row r="324" customFormat="false" ht="15" hidden="false" customHeight="false" outlineLevel="0" collapsed="false">
      <c r="A324" s="32" t="n">
        <v>46249</v>
      </c>
      <c r="B324" s="31" t="s">
        <v>165</v>
      </c>
      <c r="C324" s="31" t="s">
        <v>115</v>
      </c>
      <c r="D324" s="34" t="str">
        <f aca="false">IF($C324="","",IFERROR(IF(IFERROR(INDEX(tblMoveTypes[In / Out],MATCH($C324,tblMoveTypes[Movement],0)),"?")="IN","IN   ",IF(IFERROR(INDEX(tblMoveTypes[In / Out],MATCH($C324,tblMoveTypes[Movement],0)),"?")="OUT","OUT   ","--   "))&amp;"fill: "&amp;IF(IFERROR(INDEX(tblMoveTypes[Item?],MATCH($C324,tblMoveTypes[Movement],0)),"?")="Yes","Item  ","")&amp;IF(AND(IFERROR(INDEX(tblMoveTypes[Qty?],MATCH($C324,tblMoveTypes[Movement],0)),"?")="Yes",IFERROR(INDEX(tblMoveTypes[In / Out],MATCH($C324,tblMoveTypes[Movement],0)),"?")="IN"),"In  ","")&amp;IF(AND(IFERROR(INDEX(tblMoveTypes[Qty?],MATCH($C324,tblMoveTypes[Movement],0)),"?")="Yes",IFERROR(INDEX(tblMoveTypes[In / Out],MATCH($C324,tblMoveTypes[Movement],0)),"?")="OUT"),"Out  ","")&amp;IF(IFERROR(INDEX(tblMoveTypes[Orders?],MATCH($C324,tblMoveTypes[Movement],0)),"?")="Yes","Orders  ","")&amp;IF(IFERROR(INDEX(tblMoveTypes[Courier?],MATCH($C324,tblMoveTypes[Movement],0)),"?")="Yes","Courier  ","")&amp;IF(IFERROR(INDEX(tblMoveTypes[Reason?],MATCH($C324,tblMoveTypes[Movement],0)),"?")="Yes","Reason",""),"unknown movement"))</f>
        <v>OUT   fill: Out  Orders  Courier  </v>
      </c>
      <c r="E324" s="31"/>
      <c r="F324" s="33"/>
      <c r="G324" s="33" t="n">
        <v>6</v>
      </c>
      <c r="H324" s="33" t="n">
        <v>2</v>
      </c>
      <c r="I324" s="31" t="s">
        <v>76</v>
      </c>
      <c r="J324" s="31"/>
      <c r="K324" s="31"/>
      <c r="L324" s="31"/>
      <c r="M324" s="34" t="str">
        <f aca="false">IF($E324="","",IFERROR(INDEX(tblItems[Item Code],MATCH($E324,tblItems[Item Name],0)),"?"))</f>
        <v/>
      </c>
      <c r="N324" s="34" t="str">
        <f aca="false">IF($B324="","",IFERROR(INDEX(tblShipment[Market],MATCH($B324,tblShipment[Shipment No],0)),"?"))</f>
        <v>Qatar</v>
      </c>
      <c r="O324" s="35" t="n">
        <f aca="false">N($F324)+N($G324)</f>
        <v>6</v>
      </c>
      <c r="P324" s="34" t="str">
        <f aca="false">IF($A324="","",IF($L324="Yes","VOID",IF(COUNTIFS(tblMoveTypes[Movement],$C324)=0,"Unknown movement",IF(COUNTIF(tblShipment[Shipment No],$B324)=0,"Unknown shipment",IF(AND(IFERROR(INDEX(tblMoveTypes[Item?],MATCH($C324,tblMoveTypes[Movement],0)),"?")="Yes",$E324=""),"Item needed",IF(AND(IFERROR(INDEX(tblMoveTypes[Item?],MATCH($C324,tblMoveTypes[Movement],0)),"?")="No",$E324&lt;&gt;""),"Leave Item blank",IF(AND(IFERROR(INDEX(tblMoveTypes[In / Out],MATCH($C324,tblMoveTypes[Movement],0)),"?")="IN",$G324&lt;&gt;""),"Use the In column, not Out",IF(AND(IFERROR(INDEX(tblMoveTypes[In / Out],MATCH($C324,tblMoveTypes[Movement],0)),"?")="OUT",$F324&lt;&gt;""),"Use the Out column, not In",IF(AND(IFERROR(INDEX(tblMoveTypes[Qty?],MATCH($C324,tblMoveTypes[Movement],0)),"?")="Yes",N($F324)+N($G324)&lt;=0),"Qty needed",IF(AND(IFERROR(INDEX(tblMoveTypes[Qty?],MATCH($C324,tblMoveTypes[Movement],0)),"?")="No",N($F324)+N($G324)&gt;0),"Leave In and Out blank",IF(AND(IFERROR(INDEX(tblMoveTypes[Courier?],MATCH($C324,tblMoveTypes[Movement],0)),"?")="Yes",$I324=""),"Courier needed",IF(AND(IFERROR(INDEX(tblMoveTypes[Courier?],MATCH($C324,tblMoveTypes[Movement],0)),"?")="No",$I324&lt;&gt;""),"Leave Courier blank",IF(AND(IFERROR(INDEX(tblMoveTypes[Orders?],MATCH($C324,tblMoveTypes[Movement],0)),"?")="Yes",$H324=""),"Orders needed",IF(AND(IFERROR(INDEX(tblMoveTypes[Orders?],MATCH($C324,tblMoveTypes[Movement],0)),"?")="No",$H324&lt;&gt;""),"Leave Orders blank",IF(AND(IFERROR(INDEX(tblMoveTypes[Reason?],MATCH($C324,tblMoveTypes[Movement],0)),"?")="Yes",$J324=""),"Reason needed",IF($A324&lt;_xlfn.MINIFS(tblShipment[Arrival Date],tblShipment[Shipment No],$B324),"Date before arrival",IF(AND($E324&lt;&gt;"",COUNTIFS(tblShipment[Shipment No],$B324,tblShipment[Item Name],$E324)=0),"Item not in this shipment","OK")))))))))))))))))</f>
        <v>OK</v>
      </c>
    </row>
    <row r="325" customFormat="false" ht="15" hidden="false" customHeight="false" outlineLevel="0" collapsed="false">
      <c r="A325" s="32" t="n">
        <v>46249</v>
      </c>
      <c r="B325" s="31" t="s">
        <v>166</v>
      </c>
      <c r="C325" s="31" t="s">
        <v>115</v>
      </c>
      <c r="D325" s="34" t="str">
        <f aca="false">IF($C325="","",IFERROR(IF(IFERROR(INDEX(tblMoveTypes[In / Out],MATCH($C325,tblMoveTypes[Movement],0)),"?")="IN","IN   ",IF(IFERROR(INDEX(tblMoveTypes[In / Out],MATCH($C325,tblMoveTypes[Movement],0)),"?")="OUT","OUT   ","--   "))&amp;"fill: "&amp;IF(IFERROR(INDEX(tblMoveTypes[Item?],MATCH($C325,tblMoveTypes[Movement],0)),"?")="Yes","Item  ","")&amp;IF(AND(IFERROR(INDEX(tblMoveTypes[Qty?],MATCH($C325,tblMoveTypes[Movement],0)),"?")="Yes",IFERROR(INDEX(tblMoveTypes[In / Out],MATCH($C325,tblMoveTypes[Movement],0)),"?")="IN"),"In  ","")&amp;IF(AND(IFERROR(INDEX(tblMoveTypes[Qty?],MATCH($C325,tblMoveTypes[Movement],0)),"?")="Yes",IFERROR(INDEX(tblMoveTypes[In / Out],MATCH($C325,tblMoveTypes[Movement],0)),"?")="OUT"),"Out  ","")&amp;IF(IFERROR(INDEX(tblMoveTypes[Orders?],MATCH($C325,tblMoveTypes[Movement],0)),"?")="Yes","Orders  ","")&amp;IF(IFERROR(INDEX(tblMoveTypes[Courier?],MATCH($C325,tblMoveTypes[Movement],0)),"?")="Yes","Courier  ","")&amp;IF(IFERROR(INDEX(tblMoveTypes[Reason?],MATCH($C325,tblMoveTypes[Movement],0)),"?")="Yes","Reason",""),"unknown movement"))</f>
        <v>OUT   fill: Out  Orders  Courier  </v>
      </c>
      <c r="E325" s="31"/>
      <c r="F325" s="33"/>
      <c r="G325" s="33" t="n">
        <v>118</v>
      </c>
      <c r="H325" s="33" t="n">
        <v>47</v>
      </c>
      <c r="I325" s="31" t="s">
        <v>76</v>
      </c>
      <c r="J325" s="31"/>
      <c r="K325" s="31"/>
      <c r="L325" s="31"/>
      <c r="M325" s="34" t="str">
        <f aca="false">IF($E325="","",IFERROR(INDEX(tblItems[Item Code],MATCH($E325,tblItems[Item Name],0)),"?"))</f>
        <v/>
      </c>
      <c r="N325" s="34" t="str">
        <f aca="false">IF($B325="","",IFERROR(INDEX(tblShipment[Market],MATCH($B325,tblShipment[Shipment No],0)),"?"))</f>
        <v>Qatar</v>
      </c>
      <c r="O325" s="35" t="n">
        <f aca="false">N($F325)+N($G325)</f>
        <v>118</v>
      </c>
      <c r="P325" s="34" t="str">
        <f aca="false">IF($A325="","",IF($L325="Yes","VOID",IF(COUNTIFS(tblMoveTypes[Movement],$C325)=0,"Unknown movement",IF(COUNTIF(tblShipment[Shipment No],$B325)=0,"Unknown shipment",IF(AND(IFERROR(INDEX(tblMoveTypes[Item?],MATCH($C325,tblMoveTypes[Movement],0)),"?")="Yes",$E325=""),"Item needed",IF(AND(IFERROR(INDEX(tblMoveTypes[Item?],MATCH($C325,tblMoveTypes[Movement],0)),"?")="No",$E325&lt;&gt;""),"Leave Item blank",IF(AND(IFERROR(INDEX(tblMoveTypes[In / Out],MATCH($C325,tblMoveTypes[Movement],0)),"?")="IN",$G325&lt;&gt;""),"Use the In column, not Out",IF(AND(IFERROR(INDEX(tblMoveTypes[In / Out],MATCH($C325,tblMoveTypes[Movement],0)),"?")="OUT",$F325&lt;&gt;""),"Use the Out column, not In",IF(AND(IFERROR(INDEX(tblMoveTypes[Qty?],MATCH($C325,tblMoveTypes[Movement],0)),"?")="Yes",N($F325)+N($G325)&lt;=0),"Qty needed",IF(AND(IFERROR(INDEX(tblMoveTypes[Qty?],MATCH($C325,tblMoveTypes[Movement],0)),"?")="No",N($F325)+N($G325)&gt;0),"Leave In and Out blank",IF(AND(IFERROR(INDEX(tblMoveTypes[Courier?],MATCH($C325,tblMoveTypes[Movement],0)),"?")="Yes",$I325=""),"Courier needed",IF(AND(IFERROR(INDEX(tblMoveTypes[Courier?],MATCH($C325,tblMoveTypes[Movement],0)),"?")="No",$I325&lt;&gt;""),"Leave Courier blank",IF(AND(IFERROR(INDEX(tblMoveTypes[Orders?],MATCH($C325,tblMoveTypes[Movement],0)),"?")="Yes",$H325=""),"Orders needed",IF(AND(IFERROR(INDEX(tblMoveTypes[Orders?],MATCH($C325,tblMoveTypes[Movement],0)),"?")="No",$H325&lt;&gt;""),"Leave Orders blank",IF(AND(IFERROR(INDEX(tblMoveTypes[Reason?],MATCH($C325,tblMoveTypes[Movement],0)),"?")="Yes",$J325=""),"Reason needed",IF($A325&lt;_xlfn.MINIFS(tblShipment[Arrival Date],tblShipment[Shipment No],$B325),"Date before arrival",IF(AND($E325&lt;&gt;"",COUNTIFS(tblShipment[Shipment No],$B325,tblShipment[Item Name],$E325)=0),"Item not in this shipment","OK")))))))))))))))))</f>
        <v>OK</v>
      </c>
    </row>
    <row r="326" customFormat="false" ht="15" hidden="false" customHeight="false" outlineLevel="0" collapsed="false">
      <c r="A326" s="32" t="n">
        <v>46249</v>
      </c>
      <c r="B326" s="31" t="s">
        <v>166</v>
      </c>
      <c r="C326" s="31" t="s">
        <v>120</v>
      </c>
      <c r="D326" s="34" t="str">
        <f aca="false">IF($C326="","",IFERROR(IF(IFERROR(INDEX(tblMoveTypes[In / Out],MATCH($C326,tblMoveTypes[Movement],0)),"?")="IN","IN   ",IF(IFERROR(INDEX(tblMoveTypes[In / Out],MATCH($C326,tblMoveTypes[Movement],0)),"?")="OUT","OUT   ","--   "))&amp;"fill: "&amp;IF(IFERROR(INDEX(tblMoveTypes[Item?],MATCH($C326,tblMoveTypes[Movement],0)),"?")="Yes","Item  ","")&amp;IF(AND(IFERROR(INDEX(tblMoveTypes[Qty?],MATCH($C326,tblMoveTypes[Movement],0)),"?")="Yes",IFERROR(INDEX(tblMoveTypes[In / Out],MATCH($C326,tblMoveTypes[Movement],0)),"?")="IN"),"In  ","")&amp;IF(AND(IFERROR(INDEX(tblMoveTypes[Qty?],MATCH($C326,tblMoveTypes[Movement],0)),"?")="Yes",IFERROR(INDEX(tblMoveTypes[In / Out],MATCH($C326,tblMoveTypes[Movement],0)),"?")="OUT"),"Out  ","")&amp;IF(IFERROR(INDEX(tblMoveTypes[Orders?],MATCH($C326,tblMoveTypes[Movement],0)),"?")="Yes","Orders  ","")&amp;IF(IFERROR(INDEX(tblMoveTypes[Courier?],MATCH($C326,tblMoveTypes[Movement],0)),"?")="Yes","Courier  ","")&amp;IF(IFERROR(INDEX(tblMoveTypes[Reason?],MATCH($C326,tblMoveTypes[Movement],0)),"?")="Yes","Reason",""),"unknown movement"))</f>
        <v>IN   fill: In  Orders  Courier  Reason</v>
      </c>
      <c r="E326" s="31"/>
      <c r="F326" s="33" t="n">
        <v>6</v>
      </c>
      <c r="G326" s="33"/>
      <c r="H326" s="33" t="n">
        <v>1</v>
      </c>
      <c r="I326" s="31" t="s">
        <v>76</v>
      </c>
      <c r="J326" s="31" t="s">
        <v>129</v>
      </c>
      <c r="K326" s="31"/>
      <c r="L326" s="31"/>
      <c r="M326" s="34" t="str">
        <f aca="false">IF($E326="","",IFERROR(INDEX(tblItems[Item Code],MATCH($E326,tblItems[Item Name],0)),"?"))</f>
        <v/>
      </c>
      <c r="N326" s="34" t="str">
        <f aca="false">IF($B326="","",IFERROR(INDEX(tblShipment[Market],MATCH($B326,tblShipment[Shipment No],0)),"?"))</f>
        <v>Qatar</v>
      </c>
      <c r="O326" s="35" t="n">
        <f aca="false">N($F326)+N($G326)</f>
        <v>6</v>
      </c>
      <c r="P326" s="34" t="str">
        <f aca="false">IF($A326="","",IF($L326="Yes","VOID",IF(COUNTIFS(tblMoveTypes[Movement],$C326)=0,"Unknown movement",IF(COUNTIF(tblShipment[Shipment No],$B326)=0,"Unknown shipment",IF(AND(IFERROR(INDEX(tblMoveTypes[Item?],MATCH($C326,tblMoveTypes[Movement],0)),"?")="Yes",$E326=""),"Item needed",IF(AND(IFERROR(INDEX(tblMoveTypes[Item?],MATCH($C326,tblMoveTypes[Movement],0)),"?")="No",$E326&lt;&gt;""),"Leave Item blank",IF(AND(IFERROR(INDEX(tblMoveTypes[In / Out],MATCH($C326,tblMoveTypes[Movement],0)),"?")="IN",$G326&lt;&gt;""),"Use the In column, not Out",IF(AND(IFERROR(INDEX(tblMoveTypes[In / Out],MATCH($C326,tblMoveTypes[Movement],0)),"?")="OUT",$F326&lt;&gt;""),"Use the Out column, not In",IF(AND(IFERROR(INDEX(tblMoveTypes[Qty?],MATCH($C326,tblMoveTypes[Movement],0)),"?")="Yes",N($F326)+N($G326)&lt;=0),"Qty needed",IF(AND(IFERROR(INDEX(tblMoveTypes[Qty?],MATCH($C326,tblMoveTypes[Movement],0)),"?")="No",N($F326)+N($G326)&gt;0),"Leave In and Out blank",IF(AND(IFERROR(INDEX(tblMoveTypes[Courier?],MATCH($C326,tblMoveTypes[Movement],0)),"?")="Yes",$I326=""),"Courier needed",IF(AND(IFERROR(INDEX(tblMoveTypes[Courier?],MATCH($C326,tblMoveTypes[Movement],0)),"?")="No",$I326&lt;&gt;""),"Leave Courier blank",IF(AND(IFERROR(INDEX(tblMoveTypes[Orders?],MATCH($C326,tblMoveTypes[Movement],0)),"?")="Yes",$H326=""),"Orders needed",IF(AND(IFERROR(INDEX(tblMoveTypes[Orders?],MATCH($C326,tblMoveTypes[Movement],0)),"?")="No",$H326&lt;&gt;""),"Leave Orders blank",IF(AND(IFERROR(INDEX(tblMoveTypes[Reason?],MATCH($C326,tblMoveTypes[Movement],0)),"?")="Yes",$J326=""),"Reason needed",IF($A326&lt;_xlfn.MINIFS(tblShipment[Arrival Date],tblShipment[Shipment No],$B326),"Date before arrival",IF(AND($E326&lt;&gt;"",COUNTIFS(tblShipment[Shipment No],$B326,tblShipment[Item Name],$E326)=0),"Item not in this shipment","OK")))))))))))))))))</f>
        <v>OK</v>
      </c>
    </row>
    <row r="327" customFormat="false" ht="15" hidden="false" customHeight="false" outlineLevel="0" collapsed="false">
      <c r="A327" s="32" t="n">
        <v>46249</v>
      </c>
      <c r="B327" s="31" t="s">
        <v>166</v>
      </c>
      <c r="C327" s="31" t="s">
        <v>125</v>
      </c>
      <c r="D327" s="34" t="str">
        <f aca="false">IF($C327="","",IFERROR(IF(IFERROR(INDEX(tblMoveTypes[In / Out],MATCH($C327,tblMoveTypes[Movement],0)),"?")="IN","IN   ",IF(IFERROR(INDEX(tblMoveTypes[In / Out],MATCH($C327,tblMoveTypes[Movement],0)),"?")="OUT","OUT   ","--   "))&amp;"fill: "&amp;IF(IFERROR(INDEX(tblMoveTypes[Item?],MATCH($C327,tblMoveTypes[Movement],0)),"?")="Yes","Item  ","")&amp;IF(AND(IFERROR(INDEX(tblMoveTypes[Qty?],MATCH($C327,tblMoveTypes[Movement],0)),"?")="Yes",IFERROR(INDEX(tblMoveTypes[In / Out],MATCH($C327,tblMoveTypes[Movement],0)),"?")="IN"),"In  ","")&amp;IF(AND(IFERROR(INDEX(tblMoveTypes[Qty?],MATCH($C327,tblMoveTypes[Movement],0)),"?")="Yes",IFERROR(INDEX(tblMoveTypes[In / Out],MATCH($C327,tblMoveTypes[Movement],0)),"?")="OUT"),"Out  ","")&amp;IF(IFERROR(INDEX(tblMoveTypes[Orders?],MATCH($C327,tblMoveTypes[Movement],0)),"?")="Yes","Orders  ","")&amp;IF(IFERROR(INDEX(tblMoveTypes[Courier?],MATCH($C327,tblMoveTypes[Movement],0)),"?")="Yes","Courier  ","")&amp;IF(IFERROR(INDEX(tblMoveTypes[Reason?],MATCH($C327,tblMoveTypes[Movement],0)),"?")="Yes","Reason",""),"unknown movement"))</f>
        <v>IN   fill: Item  In  </v>
      </c>
      <c r="E327" s="31" t="s">
        <v>100</v>
      </c>
      <c r="F327" s="33" t="n">
        <v>4</v>
      </c>
      <c r="G327" s="33"/>
      <c r="H327" s="33"/>
      <c r="I327" s="31"/>
      <c r="J327" s="31"/>
      <c r="K327" s="31"/>
      <c r="L327" s="31"/>
      <c r="M327" s="34" t="str">
        <f aca="false">IF($E327="","",IFERROR(INDEX(tblItems[Item Code],MATCH($E327,tblItems[Item Name],0)),"?"))</f>
        <v>EG-FG-MNG-18-02-01-01</v>
      </c>
      <c r="N327" s="34" t="str">
        <f aca="false">IF($B327="","",IFERROR(INDEX(tblShipment[Market],MATCH($B327,tblShipment[Shipment No],0)),"?"))</f>
        <v>Qatar</v>
      </c>
      <c r="O327" s="35" t="n">
        <f aca="false">N($F327)+N($G327)</f>
        <v>4</v>
      </c>
      <c r="P327" s="34" t="str">
        <f aca="false">IF($A327="","",IF($L327="Yes","VOID",IF(COUNTIFS(tblMoveTypes[Movement],$C327)=0,"Unknown movement",IF(COUNTIF(tblShipment[Shipment No],$B327)=0,"Unknown shipment",IF(AND(IFERROR(INDEX(tblMoveTypes[Item?],MATCH($C327,tblMoveTypes[Movement],0)),"?")="Yes",$E327=""),"Item needed",IF(AND(IFERROR(INDEX(tblMoveTypes[Item?],MATCH($C327,tblMoveTypes[Movement],0)),"?")="No",$E327&lt;&gt;""),"Leave Item blank",IF(AND(IFERROR(INDEX(tblMoveTypes[In / Out],MATCH($C327,tblMoveTypes[Movement],0)),"?")="IN",$G327&lt;&gt;""),"Use the In column, not Out",IF(AND(IFERROR(INDEX(tblMoveTypes[In / Out],MATCH($C327,tblMoveTypes[Movement],0)),"?")="OUT",$F327&lt;&gt;""),"Use the Out column, not In",IF(AND(IFERROR(INDEX(tblMoveTypes[Qty?],MATCH($C327,tblMoveTypes[Movement],0)),"?")="Yes",N($F327)+N($G327)&lt;=0),"Qty needed",IF(AND(IFERROR(INDEX(tblMoveTypes[Qty?],MATCH($C327,tblMoveTypes[Movement],0)),"?")="No",N($F327)+N($G327)&gt;0),"Leave In and Out blank",IF(AND(IFERROR(INDEX(tblMoveTypes[Courier?],MATCH($C327,tblMoveTypes[Movement],0)),"?")="Yes",$I327=""),"Courier needed",IF(AND(IFERROR(INDEX(tblMoveTypes[Courier?],MATCH($C327,tblMoveTypes[Movement],0)),"?")="No",$I327&lt;&gt;""),"Leave Courier blank",IF(AND(IFERROR(INDEX(tblMoveTypes[Orders?],MATCH($C327,tblMoveTypes[Movement],0)),"?")="Yes",$H327=""),"Orders needed",IF(AND(IFERROR(INDEX(tblMoveTypes[Orders?],MATCH($C327,tblMoveTypes[Movement],0)),"?")="No",$H327&lt;&gt;""),"Leave Orders blank",IF(AND(IFERROR(INDEX(tblMoveTypes[Reason?],MATCH($C327,tblMoveTypes[Movement],0)),"?")="Yes",$J327=""),"Reason needed",IF($A327&lt;_xlfn.MINIFS(tblShipment[Arrival Date],tblShipment[Shipment No],$B327),"Date before arrival",IF(AND($E327&lt;&gt;"",COUNTIFS(tblShipment[Shipment No],$B327,tblShipment[Item Name],$E327)=0),"Item not in this shipment","OK")))))))))))))))))</f>
        <v>OK</v>
      </c>
    </row>
    <row r="328" customFormat="false" ht="15" hidden="false" customHeight="false" outlineLevel="0" collapsed="false">
      <c r="A328" s="32" t="n">
        <v>46249</v>
      </c>
      <c r="B328" s="31" t="s">
        <v>166</v>
      </c>
      <c r="C328" s="31" t="s">
        <v>130</v>
      </c>
      <c r="D328" s="34" t="str">
        <f aca="false">IF($C328="","",IFERROR(IF(IFERROR(INDEX(tblMoveTypes[In / Out],MATCH($C328,tblMoveTypes[Movement],0)),"?")="IN","IN   ",IF(IFERROR(INDEX(tblMoveTypes[In / Out],MATCH($C328,tblMoveTypes[Movement],0)),"?")="OUT","OUT   ","--   "))&amp;"fill: "&amp;IF(IFERROR(INDEX(tblMoveTypes[Item?],MATCH($C328,tblMoveTypes[Movement],0)),"?")="Yes","Item  ","")&amp;IF(AND(IFERROR(INDEX(tblMoveTypes[Qty?],MATCH($C328,tblMoveTypes[Movement],0)),"?")="Yes",IFERROR(INDEX(tblMoveTypes[In / Out],MATCH($C328,tblMoveTypes[Movement],0)),"?")="IN"),"In  ","")&amp;IF(AND(IFERROR(INDEX(tblMoveTypes[Qty?],MATCH($C328,tblMoveTypes[Movement],0)),"?")="Yes",IFERROR(INDEX(tblMoveTypes[In / Out],MATCH($C328,tblMoveTypes[Movement],0)),"?")="OUT"),"Out  ","")&amp;IF(IFERROR(INDEX(tblMoveTypes[Orders?],MATCH($C328,tblMoveTypes[Movement],0)),"?")="Yes","Orders  ","")&amp;IF(IFERROR(INDEX(tblMoveTypes[Courier?],MATCH($C328,tblMoveTypes[Movement],0)),"?")="Yes","Courier  ","")&amp;IF(IFERROR(INDEX(tblMoveTypes[Reason?],MATCH($C328,tblMoveTypes[Movement],0)),"?")="Yes","Reason",""),"unknown movement"))</f>
        <v>OUT   fill: Item  Out  Reason</v>
      </c>
      <c r="E328" s="31" t="s">
        <v>100</v>
      </c>
      <c r="F328" s="33"/>
      <c r="G328" s="33" t="n">
        <v>2</v>
      </c>
      <c r="H328" s="33"/>
      <c r="I328" s="31"/>
      <c r="J328" s="31" t="s">
        <v>86</v>
      </c>
      <c r="K328" s="31"/>
      <c r="L328" s="31"/>
      <c r="M328" s="34" t="str">
        <f aca="false">IF($E328="","",IFERROR(INDEX(tblItems[Item Code],MATCH($E328,tblItems[Item Name],0)),"?"))</f>
        <v>EG-FG-MNG-18-02-01-01</v>
      </c>
      <c r="N328" s="34" t="str">
        <f aca="false">IF($B328="","",IFERROR(INDEX(tblShipment[Market],MATCH($B328,tblShipment[Shipment No],0)),"?"))</f>
        <v>Qatar</v>
      </c>
      <c r="O328" s="35" t="n">
        <f aca="false">N($F328)+N($G328)</f>
        <v>2</v>
      </c>
      <c r="P328" s="34" t="str">
        <f aca="false">IF($A328="","",IF($L328="Yes","VOID",IF(COUNTIFS(tblMoveTypes[Movement],$C328)=0,"Unknown movement",IF(COUNTIF(tblShipment[Shipment No],$B328)=0,"Unknown shipment",IF(AND(IFERROR(INDEX(tblMoveTypes[Item?],MATCH($C328,tblMoveTypes[Movement],0)),"?")="Yes",$E328=""),"Item needed",IF(AND(IFERROR(INDEX(tblMoveTypes[Item?],MATCH($C328,tblMoveTypes[Movement],0)),"?")="No",$E328&lt;&gt;""),"Leave Item blank",IF(AND(IFERROR(INDEX(tblMoveTypes[In / Out],MATCH($C328,tblMoveTypes[Movement],0)),"?")="IN",$G328&lt;&gt;""),"Use the In column, not Out",IF(AND(IFERROR(INDEX(tblMoveTypes[In / Out],MATCH($C328,tblMoveTypes[Movement],0)),"?")="OUT",$F328&lt;&gt;""),"Use the Out column, not In",IF(AND(IFERROR(INDEX(tblMoveTypes[Qty?],MATCH($C328,tblMoveTypes[Movement],0)),"?")="Yes",N($F328)+N($G328)&lt;=0),"Qty needed",IF(AND(IFERROR(INDEX(tblMoveTypes[Qty?],MATCH($C328,tblMoveTypes[Movement],0)),"?")="No",N($F328)+N($G328)&gt;0),"Leave In and Out blank",IF(AND(IFERROR(INDEX(tblMoveTypes[Courier?],MATCH($C328,tblMoveTypes[Movement],0)),"?")="Yes",$I328=""),"Courier needed",IF(AND(IFERROR(INDEX(tblMoveTypes[Courier?],MATCH($C328,tblMoveTypes[Movement],0)),"?")="No",$I328&lt;&gt;""),"Leave Courier blank",IF(AND(IFERROR(INDEX(tblMoveTypes[Orders?],MATCH($C328,tblMoveTypes[Movement],0)),"?")="Yes",$H328=""),"Orders needed",IF(AND(IFERROR(INDEX(tblMoveTypes[Orders?],MATCH($C328,tblMoveTypes[Movement],0)),"?")="No",$H328&lt;&gt;""),"Leave Orders blank",IF(AND(IFERROR(INDEX(tblMoveTypes[Reason?],MATCH($C328,tblMoveTypes[Movement],0)),"?")="Yes",$J328=""),"Reason needed",IF($A328&lt;_xlfn.MINIFS(tblShipment[Arrival Date],tblShipment[Shipment No],$B328),"Date before arrival",IF(AND($E328&lt;&gt;"",COUNTIFS(tblShipment[Shipment No],$B328,tblShipment[Item Name],$E328)=0),"Item not in this shipment","OK")))))))))))))))))</f>
        <v>OK</v>
      </c>
    </row>
    <row r="329" customFormat="false" ht="15" hidden="false" customHeight="false" outlineLevel="0" collapsed="false">
      <c r="A329" s="32" t="n">
        <v>46250</v>
      </c>
      <c r="B329" s="31" t="s">
        <v>166</v>
      </c>
      <c r="C329" s="31" t="s">
        <v>115</v>
      </c>
      <c r="D329" s="34" t="str">
        <f aca="false">IF($C329="","",IFERROR(IF(IFERROR(INDEX(tblMoveTypes[In / Out],MATCH($C329,tblMoveTypes[Movement],0)),"?")="IN","IN   ",IF(IFERROR(INDEX(tblMoveTypes[In / Out],MATCH($C329,tblMoveTypes[Movement],0)),"?")="OUT","OUT   ","--   "))&amp;"fill: "&amp;IF(IFERROR(INDEX(tblMoveTypes[Item?],MATCH($C329,tblMoveTypes[Movement],0)),"?")="Yes","Item  ","")&amp;IF(AND(IFERROR(INDEX(tblMoveTypes[Qty?],MATCH($C329,tblMoveTypes[Movement],0)),"?")="Yes",IFERROR(INDEX(tblMoveTypes[In / Out],MATCH($C329,tblMoveTypes[Movement],0)),"?")="IN"),"In  ","")&amp;IF(AND(IFERROR(INDEX(tblMoveTypes[Qty?],MATCH($C329,tblMoveTypes[Movement],0)),"?")="Yes",IFERROR(INDEX(tblMoveTypes[In / Out],MATCH($C329,tblMoveTypes[Movement],0)),"?")="OUT"),"Out  ","")&amp;IF(IFERROR(INDEX(tblMoveTypes[Orders?],MATCH($C329,tblMoveTypes[Movement],0)),"?")="Yes","Orders  ","")&amp;IF(IFERROR(INDEX(tblMoveTypes[Courier?],MATCH($C329,tblMoveTypes[Movement],0)),"?")="Yes","Courier  ","")&amp;IF(IFERROR(INDEX(tblMoveTypes[Reason?],MATCH($C329,tblMoveTypes[Movement],0)),"?")="Yes","Reason",""),"unknown movement"))</f>
        <v>OUT   fill: Out  Orders  Courier  </v>
      </c>
      <c r="E329" s="31"/>
      <c r="F329" s="33"/>
      <c r="G329" s="33" t="n">
        <v>97</v>
      </c>
      <c r="H329" s="33" t="n">
        <v>39</v>
      </c>
      <c r="I329" s="31" t="s">
        <v>76</v>
      </c>
      <c r="J329" s="31"/>
      <c r="K329" s="31"/>
      <c r="L329" s="31"/>
      <c r="M329" s="34" t="str">
        <f aca="false">IF($E329="","",IFERROR(INDEX(tblItems[Item Code],MATCH($E329,tblItems[Item Name],0)),"?"))</f>
        <v/>
      </c>
      <c r="N329" s="34" t="str">
        <f aca="false">IF($B329="","",IFERROR(INDEX(tblShipment[Market],MATCH($B329,tblShipment[Shipment No],0)),"?"))</f>
        <v>Qatar</v>
      </c>
      <c r="O329" s="35" t="n">
        <f aca="false">N($F329)+N($G329)</f>
        <v>97</v>
      </c>
      <c r="P329" s="34" t="str">
        <f aca="false">IF($A329="","",IF($L329="Yes","VOID",IF(COUNTIFS(tblMoveTypes[Movement],$C329)=0,"Unknown movement",IF(COUNTIF(tblShipment[Shipment No],$B329)=0,"Unknown shipment",IF(AND(IFERROR(INDEX(tblMoveTypes[Item?],MATCH($C329,tblMoveTypes[Movement],0)),"?")="Yes",$E329=""),"Item needed",IF(AND(IFERROR(INDEX(tblMoveTypes[Item?],MATCH($C329,tblMoveTypes[Movement],0)),"?")="No",$E329&lt;&gt;""),"Leave Item blank",IF(AND(IFERROR(INDEX(tblMoveTypes[In / Out],MATCH($C329,tblMoveTypes[Movement],0)),"?")="IN",$G329&lt;&gt;""),"Use the In column, not Out",IF(AND(IFERROR(INDEX(tblMoveTypes[In / Out],MATCH($C329,tblMoveTypes[Movement],0)),"?")="OUT",$F329&lt;&gt;""),"Use the Out column, not In",IF(AND(IFERROR(INDEX(tblMoveTypes[Qty?],MATCH($C329,tblMoveTypes[Movement],0)),"?")="Yes",N($F329)+N($G329)&lt;=0),"Qty needed",IF(AND(IFERROR(INDEX(tblMoveTypes[Qty?],MATCH($C329,tblMoveTypes[Movement],0)),"?")="No",N($F329)+N($G329)&gt;0),"Leave In and Out blank",IF(AND(IFERROR(INDEX(tblMoveTypes[Courier?],MATCH($C329,tblMoveTypes[Movement],0)),"?")="Yes",$I329=""),"Courier needed",IF(AND(IFERROR(INDEX(tblMoveTypes[Courier?],MATCH($C329,tblMoveTypes[Movement],0)),"?")="No",$I329&lt;&gt;""),"Leave Courier blank",IF(AND(IFERROR(INDEX(tblMoveTypes[Orders?],MATCH($C329,tblMoveTypes[Movement],0)),"?")="Yes",$H329=""),"Orders needed",IF(AND(IFERROR(INDEX(tblMoveTypes[Orders?],MATCH($C329,tblMoveTypes[Movement],0)),"?")="No",$H329&lt;&gt;""),"Leave Orders blank",IF(AND(IFERROR(INDEX(tblMoveTypes[Reason?],MATCH($C329,tblMoveTypes[Movement],0)),"?")="Yes",$J329=""),"Reason needed",IF($A329&lt;_xlfn.MINIFS(tblShipment[Arrival Date],tblShipment[Shipment No],$B329),"Date before arrival",IF(AND($E329&lt;&gt;"",COUNTIFS(tblShipment[Shipment No],$B329,tblShipment[Item Name],$E329)=0),"Item not in this shipment","OK")))))))))))))))))</f>
        <v>OK</v>
      </c>
    </row>
    <row r="330" customFormat="false" ht="15" hidden="false" customHeight="false" outlineLevel="0" collapsed="false">
      <c r="A330" s="32" t="n">
        <v>46250</v>
      </c>
      <c r="B330" s="31" t="s">
        <v>166</v>
      </c>
      <c r="C330" s="31" t="s">
        <v>98</v>
      </c>
      <c r="D330" s="34" t="str">
        <f aca="false">IF($C330="","",IFERROR(IF(IFERROR(INDEX(tblMoveTypes[In / Out],MATCH($C330,tblMoveTypes[Movement],0)),"?")="IN","IN   ",IF(IFERROR(INDEX(tblMoveTypes[In / Out],MATCH($C330,tblMoveTypes[Movement],0)),"?")="OUT","OUT   ","--   "))&amp;"fill: "&amp;IF(IFERROR(INDEX(tblMoveTypes[Item?],MATCH($C330,tblMoveTypes[Movement],0)),"?")="Yes","Item  ","")&amp;IF(AND(IFERROR(INDEX(tblMoveTypes[Qty?],MATCH($C330,tblMoveTypes[Movement],0)),"?")="Yes",IFERROR(INDEX(tblMoveTypes[In / Out],MATCH($C330,tblMoveTypes[Movement],0)),"?")="IN"),"In  ","")&amp;IF(AND(IFERROR(INDEX(tblMoveTypes[Qty?],MATCH($C330,tblMoveTypes[Movement],0)),"?")="Yes",IFERROR(INDEX(tblMoveTypes[In / Out],MATCH($C330,tblMoveTypes[Movement],0)),"?")="OUT"),"Out  ","")&amp;IF(IFERROR(INDEX(tblMoveTypes[Orders?],MATCH($C330,tblMoveTypes[Movement],0)),"?")="Yes","Orders  ","")&amp;IF(IFERROR(INDEX(tblMoveTypes[Courier?],MATCH($C330,tblMoveTypes[Movement],0)),"?")="Yes","Courier  ","")&amp;IF(IFERROR(INDEX(tblMoveTypes[Reason?],MATCH($C330,tblMoveTypes[Movement],0)),"?")="Yes","Reason",""),"unknown movement"))</f>
        <v>OUT   fill: Item  Out  Courier  </v>
      </c>
      <c r="E330" s="31" t="s">
        <v>100</v>
      </c>
      <c r="F330" s="33"/>
      <c r="G330" s="33" t="n">
        <v>4</v>
      </c>
      <c r="H330" s="33"/>
      <c r="I330" s="31" t="s">
        <v>76</v>
      </c>
      <c r="J330" s="31"/>
      <c r="K330" s="31"/>
      <c r="L330" s="31"/>
      <c r="M330" s="34" t="str">
        <f aca="false">IF($E330="","",IFERROR(INDEX(tblItems[Item Code],MATCH($E330,tblItems[Item Name],0)),"?"))</f>
        <v>EG-FG-MNG-18-02-01-01</v>
      </c>
      <c r="N330" s="34" t="str">
        <f aca="false">IF($B330="","",IFERROR(INDEX(tblShipment[Market],MATCH($B330,tblShipment[Shipment No],0)),"?"))</f>
        <v>Qatar</v>
      </c>
      <c r="O330" s="35" t="n">
        <f aca="false">N($F330)+N($G330)</f>
        <v>4</v>
      </c>
      <c r="P330" s="34" t="str">
        <f aca="false">IF($A330="","",IF($L330="Yes","VOID",IF(COUNTIFS(tblMoveTypes[Movement],$C330)=0,"Unknown movement",IF(COUNTIF(tblShipment[Shipment No],$B330)=0,"Unknown shipment",IF(AND(IFERROR(INDEX(tblMoveTypes[Item?],MATCH($C330,tblMoveTypes[Movement],0)),"?")="Yes",$E330=""),"Item needed",IF(AND(IFERROR(INDEX(tblMoveTypes[Item?],MATCH($C330,tblMoveTypes[Movement],0)),"?")="No",$E330&lt;&gt;""),"Leave Item blank",IF(AND(IFERROR(INDEX(tblMoveTypes[In / Out],MATCH($C330,tblMoveTypes[Movement],0)),"?")="IN",$G330&lt;&gt;""),"Use the In column, not Out",IF(AND(IFERROR(INDEX(tblMoveTypes[In / Out],MATCH($C330,tblMoveTypes[Movement],0)),"?")="OUT",$F330&lt;&gt;""),"Use the Out column, not In",IF(AND(IFERROR(INDEX(tblMoveTypes[Qty?],MATCH($C330,tblMoveTypes[Movement],0)),"?")="Yes",N($F330)+N($G330)&lt;=0),"Qty needed",IF(AND(IFERROR(INDEX(tblMoveTypes[Qty?],MATCH($C330,tblMoveTypes[Movement],0)),"?")="No",N($F330)+N($G330)&gt;0),"Leave In and Out blank",IF(AND(IFERROR(INDEX(tblMoveTypes[Courier?],MATCH($C330,tblMoveTypes[Movement],0)),"?")="Yes",$I330=""),"Courier needed",IF(AND(IFERROR(INDEX(tblMoveTypes[Courier?],MATCH($C330,tblMoveTypes[Movement],0)),"?")="No",$I330&lt;&gt;""),"Leave Courier blank",IF(AND(IFERROR(INDEX(tblMoveTypes[Orders?],MATCH($C330,tblMoveTypes[Movement],0)),"?")="Yes",$H330=""),"Orders needed",IF(AND(IFERROR(INDEX(tblMoveTypes[Orders?],MATCH($C330,tblMoveTypes[Movement],0)),"?")="No",$H330&lt;&gt;""),"Leave Orders blank",IF(AND(IFERROR(INDEX(tblMoveTypes[Reason?],MATCH($C330,tblMoveTypes[Movement],0)),"?")="Yes",$J330=""),"Reason needed",IF($A330&lt;_xlfn.MINIFS(tblShipment[Arrival Date],tblShipment[Shipment No],$B330),"Date before arrival",IF(AND($E330&lt;&gt;"",COUNTIFS(tblShipment[Shipment No],$B330,tblShipment[Item Name],$E330)=0),"Item not in this shipment","OK")))))))))))))))))</f>
        <v>OK</v>
      </c>
    </row>
    <row r="331" customFormat="false" ht="15" hidden="false" customHeight="false" outlineLevel="0" collapsed="false">
      <c r="A331" s="32" t="n">
        <v>46250</v>
      </c>
      <c r="B331" s="31" t="s">
        <v>166</v>
      </c>
      <c r="C331" s="31" t="s">
        <v>110</v>
      </c>
      <c r="D331" s="34" t="str">
        <f aca="false">IF($C331="","",IFERROR(IF(IFERROR(INDEX(tblMoveTypes[In / Out],MATCH($C331,tblMoveTypes[Movement],0)),"?")="IN","IN   ",IF(IFERROR(INDEX(tblMoveTypes[In / Out],MATCH($C331,tblMoveTypes[Movement],0)),"?")="OUT","OUT   ","--   "))&amp;"fill: "&amp;IF(IFERROR(INDEX(tblMoveTypes[Item?],MATCH($C331,tblMoveTypes[Movement],0)),"?")="Yes","Item  ","")&amp;IF(AND(IFERROR(INDEX(tblMoveTypes[Qty?],MATCH($C331,tblMoveTypes[Movement],0)),"?")="Yes",IFERROR(INDEX(tblMoveTypes[In / Out],MATCH($C331,tblMoveTypes[Movement],0)),"?")="IN"),"In  ","")&amp;IF(AND(IFERROR(INDEX(tblMoveTypes[Qty?],MATCH($C331,tblMoveTypes[Movement],0)),"?")="Yes",IFERROR(INDEX(tblMoveTypes[In / Out],MATCH($C331,tblMoveTypes[Movement],0)),"?")="OUT"),"Out  ","")&amp;IF(IFERROR(INDEX(tblMoveTypes[Orders?],MATCH($C331,tblMoveTypes[Movement],0)),"?")="Yes","Orders  ","")&amp;IF(IFERROR(INDEX(tblMoveTypes[Courier?],MATCH($C331,tblMoveTypes[Movement],0)),"?")="Yes","Courier  ","")&amp;IF(IFERROR(INDEX(tblMoveTypes[Reason?],MATCH($C331,tblMoveTypes[Movement],0)),"?")="Yes","Reason",""),"unknown movement"))</f>
        <v>--   fill: Orders  Courier  </v>
      </c>
      <c r="E331" s="31"/>
      <c r="F331" s="33"/>
      <c r="G331" s="33"/>
      <c r="H331" s="33" t="n">
        <v>2</v>
      </c>
      <c r="I331" s="31" t="s">
        <v>76</v>
      </c>
      <c r="J331" s="31"/>
      <c r="K331" s="31"/>
      <c r="L331" s="31"/>
      <c r="M331" s="34" t="str">
        <f aca="false">IF($E331="","",IFERROR(INDEX(tblItems[Item Code],MATCH($E331,tblItems[Item Name],0)),"?"))</f>
        <v/>
      </c>
      <c r="N331" s="34" t="str">
        <f aca="false">IF($B331="","",IFERROR(INDEX(tblShipment[Market],MATCH($B331,tblShipment[Shipment No],0)),"?"))</f>
        <v>Qatar</v>
      </c>
      <c r="O331" s="35" t="n">
        <f aca="false">N($F331)+N($G331)</f>
        <v>0</v>
      </c>
      <c r="P331" s="34" t="str">
        <f aca="false">IF($A331="","",IF($L331="Yes","VOID",IF(COUNTIFS(tblMoveTypes[Movement],$C331)=0,"Unknown movement",IF(COUNTIF(tblShipment[Shipment No],$B331)=0,"Unknown shipment",IF(AND(IFERROR(INDEX(tblMoveTypes[Item?],MATCH($C331,tblMoveTypes[Movement],0)),"?")="Yes",$E331=""),"Item needed",IF(AND(IFERROR(INDEX(tblMoveTypes[Item?],MATCH($C331,tblMoveTypes[Movement],0)),"?")="No",$E331&lt;&gt;""),"Leave Item blank",IF(AND(IFERROR(INDEX(tblMoveTypes[In / Out],MATCH($C331,tblMoveTypes[Movement],0)),"?")="IN",$G331&lt;&gt;""),"Use the In column, not Out",IF(AND(IFERROR(INDEX(tblMoveTypes[In / Out],MATCH($C331,tblMoveTypes[Movement],0)),"?")="OUT",$F331&lt;&gt;""),"Use the Out column, not In",IF(AND(IFERROR(INDEX(tblMoveTypes[Qty?],MATCH($C331,tblMoveTypes[Movement],0)),"?")="Yes",N($F331)+N($G331)&lt;=0),"Qty needed",IF(AND(IFERROR(INDEX(tblMoveTypes[Qty?],MATCH($C331,tblMoveTypes[Movement],0)),"?")="No",N($F331)+N($G331)&gt;0),"Leave In and Out blank",IF(AND(IFERROR(INDEX(tblMoveTypes[Courier?],MATCH($C331,tblMoveTypes[Movement],0)),"?")="Yes",$I331=""),"Courier needed",IF(AND(IFERROR(INDEX(tblMoveTypes[Courier?],MATCH($C331,tblMoveTypes[Movement],0)),"?")="No",$I331&lt;&gt;""),"Leave Courier blank",IF(AND(IFERROR(INDEX(tblMoveTypes[Orders?],MATCH($C331,tblMoveTypes[Movement],0)),"?")="Yes",$H331=""),"Orders needed",IF(AND(IFERROR(INDEX(tblMoveTypes[Orders?],MATCH($C331,tblMoveTypes[Movement],0)),"?")="No",$H331&lt;&gt;""),"Leave Orders blank",IF(AND(IFERROR(INDEX(tblMoveTypes[Reason?],MATCH($C331,tblMoveTypes[Movement],0)),"?")="Yes",$J331=""),"Reason needed",IF($A331&lt;_xlfn.MINIFS(tblShipment[Arrival Date],tblShipment[Shipment No],$B331),"Date before arrival",IF(AND($E331&lt;&gt;"",COUNTIFS(tblShipment[Shipment No],$B331,tblShipment[Item Name],$E331)=0),"Item not in this shipment","OK")))))))))))))))))</f>
        <v>OK</v>
      </c>
    </row>
    <row r="332" customFormat="false" ht="15" hidden="false" customHeight="false" outlineLevel="0" collapsed="false">
      <c r="A332" s="32" t="n">
        <v>46250</v>
      </c>
      <c r="B332" s="31" t="s">
        <v>166</v>
      </c>
      <c r="C332" s="31" t="s">
        <v>115</v>
      </c>
      <c r="D332" s="34" t="str">
        <f aca="false">IF($C332="","",IFERROR(IF(IFERROR(INDEX(tblMoveTypes[In / Out],MATCH($C332,tblMoveTypes[Movement],0)),"?")="IN","IN   ",IF(IFERROR(INDEX(tblMoveTypes[In / Out],MATCH($C332,tblMoveTypes[Movement],0)),"?")="OUT","OUT   ","--   "))&amp;"fill: "&amp;IF(IFERROR(INDEX(tblMoveTypes[Item?],MATCH($C332,tblMoveTypes[Movement],0)),"?")="Yes","Item  ","")&amp;IF(AND(IFERROR(INDEX(tblMoveTypes[Qty?],MATCH($C332,tblMoveTypes[Movement],0)),"?")="Yes",IFERROR(INDEX(tblMoveTypes[In / Out],MATCH($C332,tblMoveTypes[Movement],0)),"?")="IN"),"In  ","")&amp;IF(AND(IFERROR(INDEX(tblMoveTypes[Qty?],MATCH($C332,tblMoveTypes[Movement],0)),"?")="Yes",IFERROR(INDEX(tblMoveTypes[In / Out],MATCH($C332,tblMoveTypes[Movement],0)),"?")="OUT"),"Out  ","")&amp;IF(IFERROR(INDEX(tblMoveTypes[Orders?],MATCH($C332,tblMoveTypes[Movement],0)),"?")="Yes","Orders  ","")&amp;IF(IFERROR(INDEX(tblMoveTypes[Courier?],MATCH($C332,tblMoveTypes[Movement],0)),"?")="Yes","Courier  ","")&amp;IF(IFERROR(INDEX(tblMoveTypes[Reason?],MATCH($C332,tblMoveTypes[Movement],0)),"?")="Yes","Reason",""),"unknown movement"))</f>
        <v>OUT   fill: Out  Orders  Courier  </v>
      </c>
      <c r="E332" s="31"/>
      <c r="F332" s="33"/>
      <c r="G332" s="33" t="n">
        <v>4</v>
      </c>
      <c r="H332" s="33" t="n">
        <v>2</v>
      </c>
      <c r="I332" s="31" t="s">
        <v>76</v>
      </c>
      <c r="J332" s="31"/>
      <c r="K332" s="31"/>
      <c r="L332" s="31"/>
      <c r="M332" s="34" t="str">
        <f aca="false">IF($E332="","",IFERROR(INDEX(tblItems[Item Code],MATCH($E332,tblItems[Item Name],0)),"?"))</f>
        <v/>
      </c>
      <c r="N332" s="34" t="str">
        <f aca="false">IF($B332="","",IFERROR(INDEX(tblShipment[Market],MATCH($B332,tblShipment[Shipment No],0)),"?"))</f>
        <v>Qatar</v>
      </c>
      <c r="O332" s="35" t="n">
        <f aca="false">N($F332)+N($G332)</f>
        <v>4</v>
      </c>
      <c r="P332" s="34" t="str">
        <f aca="false">IF($A332="","",IF($L332="Yes","VOID",IF(COUNTIFS(tblMoveTypes[Movement],$C332)=0,"Unknown movement",IF(COUNTIF(tblShipment[Shipment No],$B332)=0,"Unknown shipment",IF(AND(IFERROR(INDEX(tblMoveTypes[Item?],MATCH($C332,tblMoveTypes[Movement],0)),"?")="Yes",$E332=""),"Item needed",IF(AND(IFERROR(INDEX(tblMoveTypes[Item?],MATCH($C332,tblMoveTypes[Movement],0)),"?")="No",$E332&lt;&gt;""),"Leave Item blank",IF(AND(IFERROR(INDEX(tblMoveTypes[In / Out],MATCH($C332,tblMoveTypes[Movement],0)),"?")="IN",$G332&lt;&gt;""),"Use the In column, not Out",IF(AND(IFERROR(INDEX(tblMoveTypes[In / Out],MATCH($C332,tblMoveTypes[Movement],0)),"?")="OUT",$F332&lt;&gt;""),"Use the Out column, not In",IF(AND(IFERROR(INDEX(tblMoveTypes[Qty?],MATCH($C332,tblMoveTypes[Movement],0)),"?")="Yes",N($F332)+N($G332)&lt;=0),"Qty needed",IF(AND(IFERROR(INDEX(tblMoveTypes[Qty?],MATCH($C332,tblMoveTypes[Movement],0)),"?")="No",N($F332)+N($G332)&gt;0),"Leave In and Out blank",IF(AND(IFERROR(INDEX(tblMoveTypes[Courier?],MATCH($C332,tblMoveTypes[Movement],0)),"?")="Yes",$I332=""),"Courier needed",IF(AND(IFERROR(INDEX(tblMoveTypes[Courier?],MATCH($C332,tblMoveTypes[Movement],0)),"?")="No",$I332&lt;&gt;""),"Leave Courier blank",IF(AND(IFERROR(INDEX(tblMoveTypes[Orders?],MATCH($C332,tblMoveTypes[Movement],0)),"?")="Yes",$H332=""),"Orders needed",IF(AND(IFERROR(INDEX(tblMoveTypes[Orders?],MATCH($C332,tblMoveTypes[Movement],0)),"?")="No",$H332&lt;&gt;""),"Leave Orders blank",IF(AND(IFERROR(INDEX(tblMoveTypes[Reason?],MATCH($C332,tblMoveTypes[Movement],0)),"?")="Yes",$J332=""),"Reason needed",IF($A332&lt;_xlfn.MINIFS(tblShipment[Arrival Date],tblShipment[Shipment No],$B332),"Date before arrival",IF(AND($E332&lt;&gt;"",COUNTIFS(tblShipment[Shipment No],$B332,tblShipment[Item Name],$E332)=0),"Item not in this shipment","OK")))))))))))))))))</f>
        <v>OK</v>
      </c>
    </row>
    <row r="333" customFormat="false" ht="15" hidden="false" customHeight="false" outlineLevel="0" collapsed="false">
      <c r="A333" s="32" t="n">
        <v>46250</v>
      </c>
      <c r="B333" s="31" t="s">
        <v>167</v>
      </c>
      <c r="C333" s="31" t="s">
        <v>87</v>
      </c>
      <c r="D333" s="34" t="str">
        <f aca="false">IF($C333="","",IFERROR(IF(IFERROR(INDEX(tblMoveTypes[In / Out],MATCH($C333,tblMoveTypes[Movement],0)),"?")="IN","IN   ",IF(IFERROR(INDEX(tblMoveTypes[In / Out],MATCH($C333,tblMoveTypes[Movement],0)),"?")="OUT","OUT   ","--   "))&amp;"fill: "&amp;IF(IFERROR(INDEX(tblMoveTypes[Item?],MATCH($C333,tblMoveTypes[Movement],0)),"?")="Yes","Item  ","")&amp;IF(AND(IFERROR(INDEX(tblMoveTypes[Qty?],MATCH($C333,tblMoveTypes[Movement],0)),"?")="Yes",IFERROR(INDEX(tblMoveTypes[In / Out],MATCH($C333,tblMoveTypes[Movement],0)),"?")="IN"),"In  ","")&amp;IF(AND(IFERROR(INDEX(tblMoveTypes[Qty?],MATCH($C333,tblMoveTypes[Movement],0)),"?")="Yes",IFERROR(INDEX(tblMoveTypes[In / Out],MATCH($C333,tblMoveTypes[Movement],0)),"?")="OUT"),"Out  ","")&amp;IF(IFERROR(INDEX(tblMoveTypes[Orders?],MATCH($C333,tblMoveTypes[Movement],0)),"?")="Yes","Orders  ","")&amp;IF(IFERROR(INDEX(tblMoveTypes[Courier?],MATCH($C333,tblMoveTypes[Movement],0)),"?")="Yes","Courier  ","")&amp;IF(IFERROR(INDEX(tblMoveTypes[Reason?],MATCH($C333,tblMoveTypes[Movement],0)),"?")="Yes","Reason",""),"unknown movement"))</f>
        <v>OUT   fill: Item  Out  </v>
      </c>
      <c r="E333" s="31" t="s">
        <v>112</v>
      </c>
      <c r="F333" s="33"/>
      <c r="G333" s="33" t="n">
        <v>3</v>
      </c>
      <c r="H333" s="33"/>
      <c r="I333" s="31"/>
      <c r="J333" s="31"/>
      <c r="K333" s="31" t="s">
        <v>179</v>
      </c>
      <c r="L333" s="31"/>
      <c r="M333" s="34" t="str">
        <f aca="false">IF($E333="","",IFERROR(INDEX(tblItems[Item Code],MATCH($E333,tblItems[Item Name],0)),"?"))</f>
        <v>BOX-TRIO-01</v>
      </c>
      <c r="N333" s="34" t="str">
        <f aca="false">IF($B333="","",IFERROR(INDEX(tblShipment[Market],MATCH($B333,tblShipment[Shipment No],0)),"?"))</f>
        <v>Qatar</v>
      </c>
      <c r="O333" s="35" t="n">
        <f aca="false">N($F333)+N($G333)</f>
        <v>3</v>
      </c>
      <c r="P333" s="34" t="str">
        <f aca="false">IF($A333="","",IF($L333="Yes","VOID",IF(COUNTIFS(tblMoveTypes[Movement],$C333)=0,"Unknown movement",IF(COUNTIF(tblShipment[Shipment No],$B333)=0,"Unknown shipment",IF(AND(IFERROR(INDEX(tblMoveTypes[Item?],MATCH($C333,tblMoveTypes[Movement],0)),"?")="Yes",$E333=""),"Item needed",IF(AND(IFERROR(INDEX(tblMoveTypes[Item?],MATCH($C333,tblMoveTypes[Movement],0)),"?")="No",$E333&lt;&gt;""),"Leave Item blank",IF(AND(IFERROR(INDEX(tblMoveTypes[In / Out],MATCH($C333,tblMoveTypes[Movement],0)),"?")="IN",$G333&lt;&gt;""),"Use the In column, not Out",IF(AND(IFERROR(INDEX(tblMoveTypes[In / Out],MATCH($C333,tblMoveTypes[Movement],0)),"?")="OUT",$F333&lt;&gt;""),"Use the Out column, not In",IF(AND(IFERROR(INDEX(tblMoveTypes[Qty?],MATCH($C333,tblMoveTypes[Movement],0)),"?")="Yes",N($F333)+N($G333)&lt;=0),"Qty needed",IF(AND(IFERROR(INDEX(tblMoveTypes[Qty?],MATCH($C333,tblMoveTypes[Movement],0)),"?")="No",N($F333)+N($G333)&gt;0),"Leave In and Out blank",IF(AND(IFERROR(INDEX(tblMoveTypes[Courier?],MATCH($C333,tblMoveTypes[Movement],0)),"?")="Yes",$I333=""),"Courier needed",IF(AND(IFERROR(INDEX(tblMoveTypes[Courier?],MATCH($C333,tblMoveTypes[Movement],0)),"?")="No",$I333&lt;&gt;""),"Leave Courier blank",IF(AND(IFERROR(INDEX(tblMoveTypes[Orders?],MATCH($C333,tblMoveTypes[Movement],0)),"?")="Yes",$H333=""),"Orders needed",IF(AND(IFERROR(INDEX(tblMoveTypes[Orders?],MATCH($C333,tblMoveTypes[Movement],0)),"?")="No",$H333&lt;&gt;""),"Leave Orders blank",IF(AND(IFERROR(INDEX(tblMoveTypes[Reason?],MATCH($C333,tblMoveTypes[Movement],0)),"?")="Yes",$J333=""),"Reason needed",IF($A333&lt;_xlfn.MINIFS(tblShipment[Arrival Date],tblShipment[Shipment No],$B333),"Date before arrival",IF(AND($E333&lt;&gt;"",COUNTIFS(tblShipment[Shipment No],$B333,tblShipment[Item Name],$E333)=0),"Item not in this shipment","OK")))))))))))))))))</f>
        <v>OK</v>
      </c>
    </row>
    <row r="334" customFormat="false" ht="15" hidden="false" customHeight="false" outlineLevel="0" collapsed="false">
      <c r="A334" s="32" t="n">
        <v>46250</v>
      </c>
      <c r="B334" s="31" t="s">
        <v>167</v>
      </c>
      <c r="C334" s="31" t="s">
        <v>79</v>
      </c>
      <c r="D334" s="34" t="str">
        <f aca="false">IF($C334="","",IFERROR(IF(IFERROR(INDEX(tblMoveTypes[In / Out],MATCH($C334,tblMoveTypes[Movement],0)),"?")="IN","IN   ",IF(IFERROR(INDEX(tblMoveTypes[In / Out],MATCH($C334,tblMoveTypes[Movement],0)),"?")="OUT","OUT   ","--   "))&amp;"fill: "&amp;IF(IFERROR(INDEX(tblMoveTypes[Item?],MATCH($C334,tblMoveTypes[Movement],0)),"?")="Yes","Item  ","")&amp;IF(AND(IFERROR(INDEX(tblMoveTypes[Qty?],MATCH($C334,tblMoveTypes[Movement],0)),"?")="Yes",IFERROR(INDEX(tblMoveTypes[In / Out],MATCH($C334,tblMoveTypes[Movement],0)),"?")="IN"),"In  ","")&amp;IF(AND(IFERROR(INDEX(tblMoveTypes[Qty?],MATCH($C334,tblMoveTypes[Movement],0)),"?")="Yes",IFERROR(INDEX(tblMoveTypes[In / Out],MATCH($C334,tblMoveTypes[Movement],0)),"?")="OUT"),"Out  ","")&amp;IF(IFERROR(INDEX(tblMoveTypes[Orders?],MATCH($C334,tblMoveTypes[Movement],0)),"?")="Yes","Orders  ","")&amp;IF(IFERROR(INDEX(tblMoveTypes[Courier?],MATCH($C334,tblMoveTypes[Movement],0)),"?")="Yes","Courier  ","")&amp;IF(IFERROR(INDEX(tblMoveTypes[Reason?],MATCH($C334,tblMoveTypes[Movement],0)),"?")="Yes","Reason",""),"unknown movement"))</f>
        <v>IN   fill: Item  In  </v>
      </c>
      <c r="E334" s="31" t="s">
        <v>112</v>
      </c>
      <c r="F334" s="33" t="n">
        <v>22</v>
      </c>
      <c r="G334" s="33"/>
      <c r="H334" s="33"/>
      <c r="I334" s="31"/>
      <c r="J334" s="31"/>
      <c r="K334" s="31"/>
      <c r="L334" s="31"/>
      <c r="M334" s="34" t="str">
        <f aca="false">IF($E334="","",IFERROR(INDEX(tblItems[Item Code],MATCH($E334,tblItems[Item Name],0)),"?"))</f>
        <v>BOX-TRIO-01</v>
      </c>
      <c r="N334" s="34" t="str">
        <f aca="false">IF($B334="","",IFERROR(INDEX(tblShipment[Market],MATCH($B334,tblShipment[Shipment No],0)),"?"))</f>
        <v>Qatar</v>
      </c>
      <c r="O334" s="35" t="n">
        <f aca="false">N($F334)+N($G334)</f>
        <v>22</v>
      </c>
      <c r="P334" s="34" t="str">
        <f aca="false">IF($A334="","",IF($L334="Yes","VOID",IF(COUNTIFS(tblMoveTypes[Movement],$C334)=0,"Unknown movement",IF(COUNTIF(tblShipment[Shipment No],$B334)=0,"Unknown shipment",IF(AND(IFERROR(INDEX(tblMoveTypes[Item?],MATCH($C334,tblMoveTypes[Movement],0)),"?")="Yes",$E334=""),"Item needed",IF(AND(IFERROR(INDEX(tblMoveTypes[Item?],MATCH($C334,tblMoveTypes[Movement],0)),"?")="No",$E334&lt;&gt;""),"Leave Item blank",IF(AND(IFERROR(INDEX(tblMoveTypes[In / Out],MATCH($C334,tblMoveTypes[Movement],0)),"?")="IN",$G334&lt;&gt;""),"Use the In column, not Out",IF(AND(IFERROR(INDEX(tblMoveTypes[In / Out],MATCH($C334,tblMoveTypes[Movement],0)),"?")="OUT",$F334&lt;&gt;""),"Use the Out column, not In",IF(AND(IFERROR(INDEX(tblMoveTypes[Qty?],MATCH($C334,tblMoveTypes[Movement],0)),"?")="Yes",N($F334)+N($G334)&lt;=0),"Qty needed",IF(AND(IFERROR(INDEX(tblMoveTypes[Qty?],MATCH($C334,tblMoveTypes[Movement],0)),"?")="No",N($F334)+N($G334)&gt;0),"Leave In and Out blank",IF(AND(IFERROR(INDEX(tblMoveTypes[Courier?],MATCH($C334,tblMoveTypes[Movement],0)),"?")="Yes",$I334=""),"Courier needed",IF(AND(IFERROR(INDEX(tblMoveTypes[Courier?],MATCH($C334,tblMoveTypes[Movement],0)),"?")="No",$I334&lt;&gt;""),"Leave Courier blank",IF(AND(IFERROR(INDEX(tblMoveTypes[Orders?],MATCH($C334,tblMoveTypes[Movement],0)),"?")="Yes",$H334=""),"Orders needed",IF(AND(IFERROR(INDEX(tblMoveTypes[Orders?],MATCH($C334,tblMoveTypes[Movement],0)),"?")="No",$H334&lt;&gt;""),"Leave Orders blank",IF(AND(IFERROR(INDEX(tblMoveTypes[Reason?],MATCH($C334,tblMoveTypes[Movement],0)),"?")="Yes",$J334=""),"Reason needed",IF($A334&lt;_xlfn.MINIFS(tblShipment[Arrival Date],tblShipment[Shipment No],$B334),"Date before arrival",IF(AND($E334&lt;&gt;"",COUNTIFS(tblShipment[Shipment No],$B334,tblShipment[Item Name],$E334)=0),"Item not in this shipment","OK")))))))))))))))))</f>
        <v>OK</v>
      </c>
    </row>
    <row r="335" customFormat="false" ht="15" hidden="false" customHeight="false" outlineLevel="0" collapsed="false">
      <c r="A335" s="32" t="n">
        <v>46250</v>
      </c>
      <c r="B335" s="31" t="s">
        <v>167</v>
      </c>
      <c r="C335" s="31" t="s">
        <v>79</v>
      </c>
      <c r="D335" s="34" t="str">
        <f aca="false">IF($C335="","",IFERROR(IF(IFERROR(INDEX(tblMoveTypes[In / Out],MATCH($C335,tblMoveTypes[Movement],0)),"?")="IN","IN   ",IF(IFERROR(INDEX(tblMoveTypes[In / Out],MATCH($C335,tblMoveTypes[Movement],0)),"?")="OUT","OUT   ","--   "))&amp;"fill: "&amp;IF(IFERROR(INDEX(tblMoveTypes[Item?],MATCH($C335,tblMoveTypes[Movement],0)),"?")="Yes","Item  ","")&amp;IF(AND(IFERROR(INDEX(tblMoveTypes[Qty?],MATCH($C335,tblMoveTypes[Movement],0)),"?")="Yes",IFERROR(INDEX(tblMoveTypes[In / Out],MATCH($C335,tblMoveTypes[Movement],0)),"?")="IN"),"In  ","")&amp;IF(AND(IFERROR(INDEX(tblMoveTypes[Qty?],MATCH($C335,tblMoveTypes[Movement],0)),"?")="Yes",IFERROR(INDEX(tblMoveTypes[In / Out],MATCH($C335,tblMoveTypes[Movement],0)),"?")="OUT"),"Out  ","")&amp;IF(IFERROR(INDEX(tblMoveTypes[Orders?],MATCH($C335,tblMoveTypes[Movement],0)),"?")="Yes","Orders  ","")&amp;IF(IFERROR(INDEX(tblMoveTypes[Courier?],MATCH($C335,tblMoveTypes[Movement],0)),"?")="Yes","Courier  ","")&amp;IF(IFERROR(INDEX(tblMoveTypes[Reason?],MATCH($C335,tblMoveTypes[Movement],0)),"?")="Yes","Reason",""),"unknown movement"))</f>
        <v>IN   fill: Item  In  </v>
      </c>
      <c r="E335" s="31" t="s">
        <v>122</v>
      </c>
      <c r="F335" s="33" t="n">
        <v>20</v>
      </c>
      <c r="G335" s="33"/>
      <c r="H335" s="33"/>
      <c r="I335" s="31"/>
      <c r="J335" s="31"/>
      <c r="K335" s="31"/>
      <c r="L335" s="31"/>
      <c r="M335" s="34" t="str">
        <f aca="false">IF($E335="","",IFERROR(INDEX(tblItems[Item Code],MATCH($E335,tblItems[Item Name],0)),"?"))</f>
        <v>EG-FG-GRP-01-02-01-01</v>
      </c>
      <c r="N335" s="34" t="str">
        <f aca="false">IF($B335="","",IFERROR(INDEX(tblShipment[Market],MATCH($B335,tblShipment[Shipment No],0)),"?"))</f>
        <v>Qatar</v>
      </c>
      <c r="O335" s="35" t="n">
        <f aca="false">N($F335)+N($G335)</f>
        <v>20</v>
      </c>
      <c r="P335" s="34" t="str">
        <f aca="false">IF($A335="","",IF($L335="Yes","VOID",IF(COUNTIFS(tblMoveTypes[Movement],$C335)=0,"Unknown movement",IF(COUNTIF(tblShipment[Shipment No],$B335)=0,"Unknown shipment",IF(AND(IFERROR(INDEX(tblMoveTypes[Item?],MATCH($C335,tblMoveTypes[Movement],0)),"?")="Yes",$E335=""),"Item needed",IF(AND(IFERROR(INDEX(tblMoveTypes[Item?],MATCH($C335,tblMoveTypes[Movement],0)),"?")="No",$E335&lt;&gt;""),"Leave Item blank",IF(AND(IFERROR(INDEX(tblMoveTypes[In / Out],MATCH($C335,tblMoveTypes[Movement],0)),"?")="IN",$G335&lt;&gt;""),"Use the In column, not Out",IF(AND(IFERROR(INDEX(tblMoveTypes[In / Out],MATCH($C335,tblMoveTypes[Movement],0)),"?")="OUT",$F335&lt;&gt;""),"Use the Out column, not In",IF(AND(IFERROR(INDEX(tblMoveTypes[Qty?],MATCH($C335,tblMoveTypes[Movement],0)),"?")="Yes",N($F335)+N($G335)&lt;=0),"Qty needed",IF(AND(IFERROR(INDEX(tblMoveTypes[Qty?],MATCH($C335,tblMoveTypes[Movement],0)),"?")="No",N($F335)+N($G335)&gt;0),"Leave In and Out blank",IF(AND(IFERROR(INDEX(tblMoveTypes[Courier?],MATCH($C335,tblMoveTypes[Movement],0)),"?")="Yes",$I335=""),"Courier needed",IF(AND(IFERROR(INDEX(tblMoveTypes[Courier?],MATCH($C335,tblMoveTypes[Movement],0)),"?")="No",$I335&lt;&gt;""),"Leave Courier blank",IF(AND(IFERROR(INDEX(tblMoveTypes[Orders?],MATCH($C335,tblMoveTypes[Movement],0)),"?")="Yes",$H335=""),"Orders needed",IF(AND(IFERROR(INDEX(tblMoveTypes[Orders?],MATCH($C335,tblMoveTypes[Movement],0)),"?")="No",$H335&lt;&gt;""),"Leave Orders blank",IF(AND(IFERROR(INDEX(tblMoveTypes[Reason?],MATCH($C335,tblMoveTypes[Movement],0)),"?")="Yes",$J335=""),"Reason needed",IF($A335&lt;_xlfn.MINIFS(tblShipment[Arrival Date],tblShipment[Shipment No],$B335),"Date before arrival",IF(AND($E335&lt;&gt;"",COUNTIFS(tblShipment[Shipment No],$B335,tblShipment[Item Name],$E335)=0),"Item not in this shipment","OK")))))))))))))))))</f>
        <v>OK</v>
      </c>
    </row>
    <row r="336" customFormat="false" ht="15" hidden="false" customHeight="false" outlineLevel="0" collapsed="false">
      <c r="A336" s="32" t="n">
        <v>46250</v>
      </c>
      <c r="B336" s="31" t="s">
        <v>167</v>
      </c>
      <c r="C336" s="31" t="s">
        <v>79</v>
      </c>
      <c r="D336" s="34" t="str">
        <f aca="false">IF($C336="","",IFERROR(IF(IFERROR(INDEX(tblMoveTypes[In / Out],MATCH($C336,tblMoveTypes[Movement],0)),"?")="IN","IN   ",IF(IFERROR(INDEX(tblMoveTypes[In / Out],MATCH($C336,tblMoveTypes[Movement],0)),"?")="OUT","OUT   ","--   "))&amp;"fill: "&amp;IF(IFERROR(INDEX(tblMoveTypes[Item?],MATCH($C336,tblMoveTypes[Movement],0)),"?")="Yes","Item  ","")&amp;IF(AND(IFERROR(INDEX(tblMoveTypes[Qty?],MATCH($C336,tblMoveTypes[Movement],0)),"?")="Yes",IFERROR(INDEX(tblMoveTypes[In / Out],MATCH($C336,tblMoveTypes[Movement],0)),"?")="IN"),"In  ","")&amp;IF(AND(IFERROR(INDEX(tblMoveTypes[Qty?],MATCH($C336,tblMoveTypes[Movement],0)),"?")="Yes",IFERROR(INDEX(tblMoveTypes[In / Out],MATCH($C336,tblMoveTypes[Movement],0)),"?")="OUT"),"Out  ","")&amp;IF(IFERROR(INDEX(tblMoveTypes[Orders?],MATCH($C336,tblMoveTypes[Movement],0)),"?")="Yes","Orders  ","")&amp;IF(IFERROR(INDEX(tblMoveTypes[Courier?],MATCH($C336,tblMoveTypes[Movement],0)),"?")="Yes","Courier  ","")&amp;IF(IFERROR(INDEX(tblMoveTypes[Reason?],MATCH($C336,tblMoveTypes[Movement],0)),"?")="Yes","Reason",""),"unknown movement"))</f>
        <v>IN   fill: Item  In  </v>
      </c>
      <c r="E336" s="31" t="s">
        <v>91</v>
      </c>
      <c r="F336" s="33" t="n">
        <v>80</v>
      </c>
      <c r="G336" s="33"/>
      <c r="H336" s="33"/>
      <c r="I336" s="31"/>
      <c r="J336" s="31"/>
      <c r="K336" s="31"/>
      <c r="L336" s="31"/>
      <c r="M336" s="34" t="str">
        <f aca="false">IF($E336="","",IFERROR(INDEX(tblItems[Item Code],MATCH($E336,tblItems[Item Name],0)),"?"))</f>
        <v>EG-FG-FIG-01-02-01-01</v>
      </c>
      <c r="N336" s="34" t="str">
        <f aca="false">IF($B336="","",IFERROR(INDEX(tblShipment[Market],MATCH($B336,tblShipment[Shipment No],0)),"?"))</f>
        <v>Qatar</v>
      </c>
      <c r="O336" s="35" t="n">
        <f aca="false">N($F336)+N($G336)</f>
        <v>80</v>
      </c>
      <c r="P336" s="34" t="str">
        <f aca="false">IF($A336="","",IF($L336="Yes","VOID",IF(COUNTIFS(tblMoveTypes[Movement],$C336)=0,"Unknown movement",IF(COUNTIF(tblShipment[Shipment No],$B336)=0,"Unknown shipment",IF(AND(IFERROR(INDEX(tblMoveTypes[Item?],MATCH($C336,tblMoveTypes[Movement],0)),"?")="Yes",$E336=""),"Item needed",IF(AND(IFERROR(INDEX(tblMoveTypes[Item?],MATCH($C336,tblMoveTypes[Movement],0)),"?")="No",$E336&lt;&gt;""),"Leave Item blank",IF(AND(IFERROR(INDEX(tblMoveTypes[In / Out],MATCH($C336,tblMoveTypes[Movement],0)),"?")="IN",$G336&lt;&gt;""),"Use the In column, not Out",IF(AND(IFERROR(INDEX(tblMoveTypes[In / Out],MATCH($C336,tblMoveTypes[Movement],0)),"?")="OUT",$F336&lt;&gt;""),"Use the Out column, not In",IF(AND(IFERROR(INDEX(tblMoveTypes[Qty?],MATCH($C336,tblMoveTypes[Movement],0)),"?")="Yes",N($F336)+N($G336)&lt;=0),"Qty needed",IF(AND(IFERROR(INDEX(tblMoveTypes[Qty?],MATCH($C336,tblMoveTypes[Movement],0)),"?")="No",N($F336)+N($G336)&gt;0),"Leave In and Out blank",IF(AND(IFERROR(INDEX(tblMoveTypes[Courier?],MATCH($C336,tblMoveTypes[Movement],0)),"?")="Yes",$I336=""),"Courier needed",IF(AND(IFERROR(INDEX(tblMoveTypes[Courier?],MATCH($C336,tblMoveTypes[Movement],0)),"?")="No",$I336&lt;&gt;""),"Leave Courier blank",IF(AND(IFERROR(INDEX(tblMoveTypes[Orders?],MATCH($C336,tblMoveTypes[Movement],0)),"?")="Yes",$H336=""),"Orders needed",IF(AND(IFERROR(INDEX(tblMoveTypes[Orders?],MATCH($C336,tblMoveTypes[Movement],0)),"?")="No",$H336&lt;&gt;""),"Leave Orders blank",IF(AND(IFERROR(INDEX(tblMoveTypes[Reason?],MATCH($C336,tblMoveTypes[Movement],0)),"?")="Yes",$J336=""),"Reason needed",IF($A336&lt;_xlfn.MINIFS(tblShipment[Arrival Date],tblShipment[Shipment No],$B336),"Date before arrival",IF(AND($E336&lt;&gt;"",COUNTIFS(tblShipment[Shipment No],$B336,tblShipment[Item Name],$E336)=0),"Item not in this shipment","OK")))))))))))))))))</f>
        <v>OK</v>
      </c>
    </row>
    <row r="337" customFormat="false" ht="15" hidden="false" customHeight="false" outlineLevel="0" collapsed="false">
      <c r="A337" s="32" t="n">
        <v>46250</v>
      </c>
      <c r="B337" s="31" t="s">
        <v>167</v>
      </c>
      <c r="C337" s="31" t="s">
        <v>78</v>
      </c>
      <c r="D337" s="34" t="str">
        <f aca="false">IF($C337="","",IFERROR(IF(IFERROR(INDEX(tblMoveTypes[In / Out],MATCH($C337,tblMoveTypes[Movement],0)),"?")="IN","IN   ",IF(IFERROR(INDEX(tblMoveTypes[In / Out],MATCH($C337,tblMoveTypes[Movement],0)),"?")="OUT","OUT   ","--   "))&amp;"fill: "&amp;IF(IFERROR(INDEX(tblMoveTypes[Item?],MATCH($C337,tblMoveTypes[Movement],0)),"?")="Yes","Item  ","")&amp;IF(AND(IFERROR(INDEX(tblMoveTypes[Qty?],MATCH($C337,tblMoveTypes[Movement],0)),"?")="Yes",IFERROR(INDEX(tblMoveTypes[In / Out],MATCH($C337,tblMoveTypes[Movement],0)),"?")="IN"),"In  ","")&amp;IF(AND(IFERROR(INDEX(tblMoveTypes[Qty?],MATCH($C337,tblMoveTypes[Movement],0)),"?")="Yes",IFERROR(INDEX(tblMoveTypes[In / Out],MATCH($C337,tblMoveTypes[Movement],0)),"?")="OUT"),"Out  ","")&amp;IF(IFERROR(INDEX(tblMoveTypes[Orders?],MATCH($C337,tblMoveTypes[Movement],0)),"?")="Yes","Orders  ","")&amp;IF(IFERROR(INDEX(tblMoveTypes[Courier?],MATCH($C337,tblMoveTypes[Movement],0)),"?")="Yes","Courier  ","")&amp;IF(IFERROR(INDEX(tblMoveTypes[Reason?],MATCH($C337,tblMoveTypes[Movement],0)),"?")="Yes","Reason",""),"unknown movement"))</f>
        <v>OUT   fill: Item  Out  Reason</v>
      </c>
      <c r="E337" s="31" t="s">
        <v>91</v>
      </c>
      <c r="F337" s="33"/>
      <c r="G337" s="33" t="n">
        <v>2</v>
      </c>
      <c r="H337" s="33"/>
      <c r="I337" s="31"/>
      <c r="J337" s="31" t="s">
        <v>77</v>
      </c>
      <c r="K337" s="31"/>
      <c r="L337" s="31"/>
      <c r="M337" s="34" t="str">
        <f aca="false">IF($E337="","",IFERROR(INDEX(tblItems[Item Code],MATCH($E337,tblItems[Item Name],0)),"?"))</f>
        <v>EG-FG-FIG-01-02-01-01</v>
      </c>
      <c r="N337" s="34" t="str">
        <f aca="false">IF($B337="","",IFERROR(INDEX(tblShipment[Market],MATCH($B337,tblShipment[Shipment No],0)),"?"))</f>
        <v>Qatar</v>
      </c>
      <c r="O337" s="35" t="n">
        <f aca="false">N($F337)+N($G337)</f>
        <v>2</v>
      </c>
      <c r="P337" s="34" t="str">
        <f aca="false">IF($A337="","",IF($L337="Yes","VOID",IF(COUNTIFS(tblMoveTypes[Movement],$C337)=0,"Unknown movement",IF(COUNTIF(tblShipment[Shipment No],$B337)=0,"Unknown shipment",IF(AND(IFERROR(INDEX(tblMoveTypes[Item?],MATCH($C337,tblMoveTypes[Movement],0)),"?")="Yes",$E337=""),"Item needed",IF(AND(IFERROR(INDEX(tblMoveTypes[Item?],MATCH($C337,tblMoveTypes[Movement],0)),"?")="No",$E337&lt;&gt;""),"Leave Item blank",IF(AND(IFERROR(INDEX(tblMoveTypes[In / Out],MATCH($C337,tblMoveTypes[Movement],0)),"?")="IN",$G337&lt;&gt;""),"Use the In column, not Out",IF(AND(IFERROR(INDEX(tblMoveTypes[In / Out],MATCH($C337,tblMoveTypes[Movement],0)),"?")="OUT",$F337&lt;&gt;""),"Use the Out column, not In",IF(AND(IFERROR(INDEX(tblMoveTypes[Qty?],MATCH($C337,tblMoveTypes[Movement],0)),"?")="Yes",N($F337)+N($G337)&lt;=0),"Qty needed",IF(AND(IFERROR(INDEX(tblMoveTypes[Qty?],MATCH($C337,tblMoveTypes[Movement],0)),"?")="No",N($F337)+N($G337)&gt;0),"Leave In and Out blank",IF(AND(IFERROR(INDEX(tblMoveTypes[Courier?],MATCH($C337,tblMoveTypes[Movement],0)),"?")="Yes",$I337=""),"Courier needed",IF(AND(IFERROR(INDEX(tblMoveTypes[Courier?],MATCH($C337,tblMoveTypes[Movement],0)),"?")="No",$I337&lt;&gt;""),"Leave Courier blank",IF(AND(IFERROR(INDEX(tblMoveTypes[Orders?],MATCH($C337,tblMoveTypes[Movement],0)),"?")="Yes",$H337=""),"Orders needed",IF(AND(IFERROR(INDEX(tblMoveTypes[Orders?],MATCH($C337,tblMoveTypes[Movement],0)),"?")="No",$H337&lt;&gt;""),"Leave Orders blank",IF(AND(IFERROR(INDEX(tblMoveTypes[Reason?],MATCH($C337,tblMoveTypes[Movement],0)),"?")="Yes",$J337=""),"Reason needed",IF($A337&lt;_xlfn.MINIFS(tblShipment[Arrival Date],tblShipment[Shipment No],$B337),"Date before arrival",IF(AND($E337&lt;&gt;"",COUNTIFS(tblShipment[Shipment No],$B337,tblShipment[Item Name],$E337)=0),"Item not in this shipment","OK")))))))))))))))))</f>
        <v>OK</v>
      </c>
    </row>
    <row r="338" customFormat="false" ht="15" hidden="false" customHeight="false" outlineLevel="0" collapsed="false">
      <c r="A338" s="32" t="n">
        <v>46250</v>
      </c>
      <c r="B338" s="31" t="s">
        <v>167</v>
      </c>
      <c r="C338" s="31" t="s">
        <v>79</v>
      </c>
      <c r="D338" s="34" t="str">
        <f aca="false">IF($C338="","",IFERROR(IF(IFERROR(INDEX(tblMoveTypes[In / Out],MATCH($C338,tblMoveTypes[Movement],0)),"?")="IN","IN   ",IF(IFERROR(INDEX(tblMoveTypes[In / Out],MATCH($C338,tblMoveTypes[Movement],0)),"?")="OUT","OUT   ","--   "))&amp;"fill: "&amp;IF(IFERROR(INDEX(tblMoveTypes[Item?],MATCH($C338,tblMoveTypes[Movement],0)),"?")="Yes","Item  ","")&amp;IF(AND(IFERROR(INDEX(tblMoveTypes[Qty?],MATCH($C338,tblMoveTypes[Movement],0)),"?")="Yes",IFERROR(INDEX(tblMoveTypes[In / Out],MATCH($C338,tblMoveTypes[Movement],0)),"?")="IN"),"In  ","")&amp;IF(AND(IFERROR(INDEX(tblMoveTypes[Qty?],MATCH($C338,tblMoveTypes[Movement],0)),"?")="Yes",IFERROR(INDEX(tblMoveTypes[In / Out],MATCH($C338,tblMoveTypes[Movement],0)),"?")="OUT"),"Out  ","")&amp;IF(IFERROR(INDEX(tblMoveTypes[Orders?],MATCH($C338,tblMoveTypes[Movement],0)),"?")="Yes","Orders  ","")&amp;IF(IFERROR(INDEX(tblMoveTypes[Courier?],MATCH($C338,tblMoveTypes[Movement],0)),"?")="Yes","Courier  ","")&amp;IF(IFERROR(INDEX(tblMoveTypes[Reason?],MATCH($C338,tblMoveTypes[Movement],0)),"?")="Yes","Reason",""),"unknown movement"))</f>
        <v>IN   fill: Item  In  </v>
      </c>
      <c r="E338" s="31" t="s">
        <v>72</v>
      </c>
      <c r="F338" s="33" t="n">
        <v>100</v>
      </c>
      <c r="G338" s="33"/>
      <c r="H338" s="33"/>
      <c r="I338" s="31"/>
      <c r="J338" s="31"/>
      <c r="K338" s="31"/>
      <c r="L338" s="31"/>
      <c r="M338" s="34" t="str">
        <f aca="false">IF($E338="","",IFERROR(INDEX(tblItems[Item Code],MATCH($E338,tblItems[Item Name],0)),"?"))</f>
        <v>EG-FG-MNG-05-02-01-01</v>
      </c>
      <c r="N338" s="34" t="str">
        <f aca="false">IF($B338="","",IFERROR(INDEX(tblShipment[Market],MATCH($B338,tblShipment[Shipment No],0)),"?"))</f>
        <v>Qatar</v>
      </c>
      <c r="O338" s="35" t="n">
        <f aca="false">N($F338)+N($G338)</f>
        <v>100</v>
      </c>
      <c r="P338" s="34" t="str">
        <f aca="false">IF($A338="","",IF($L338="Yes","VOID",IF(COUNTIFS(tblMoveTypes[Movement],$C338)=0,"Unknown movement",IF(COUNTIF(tblShipment[Shipment No],$B338)=0,"Unknown shipment",IF(AND(IFERROR(INDEX(tblMoveTypes[Item?],MATCH($C338,tblMoveTypes[Movement],0)),"?")="Yes",$E338=""),"Item needed",IF(AND(IFERROR(INDEX(tblMoveTypes[Item?],MATCH($C338,tblMoveTypes[Movement],0)),"?")="No",$E338&lt;&gt;""),"Leave Item blank",IF(AND(IFERROR(INDEX(tblMoveTypes[In / Out],MATCH($C338,tblMoveTypes[Movement],0)),"?")="IN",$G338&lt;&gt;""),"Use the In column, not Out",IF(AND(IFERROR(INDEX(tblMoveTypes[In / Out],MATCH($C338,tblMoveTypes[Movement],0)),"?")="OUT",$F338&lt;&gt;""),"Use the Out column, not In",IF(AND(IFERROR(INDEX(tblMoveTypes[Qty?],MATCH($C338,tblMoveTypes[Movement],0)),"?")="Yes",N($F338)+N($G338)&lt;=0),"Qty needed",IF(AND(IFERROR(INDEX(tblMoveTypes[Qty?],MATCH($C338,tblMoveTypes[Movement],0)),"?")="No",N($F338)+N($G338)&gt;0),"Leave In and Out blank",IF(AND(IFERROR(INDEX(tblMoveTypes[Courier?],MATCH($C338,tblMoveTypes[Movement],0)),"?")="Yes",$I338=""),"Courier needed",IF(AND(IFERROR(INDEX(tblMoveTypes[Courier?],MATCH($C338,tblMoveTypes[Movement],0)),"?")="No",$I338&lt;&gt;""),"Leave Courier blank",IF(AND(IFERROR(INDEX(tblMoveTypes[Orders?],MATCH($C338,tblMoveTypes[Movement],0)),"?")="Yes",$H338=""),"Orders needed",IF(AND(IFERROR(INDEX(tblMoveTypes[Orders?],MATCH($C338,tblMoveTypes[Movement],0)),"?")="No",$H338&lt;&gt;""),"Leave Orders blank",IF(AND(IFERROR(INDEX(tblMoveTypes[Reason?],MATCH($C338,tblMoveTypes[Movement],0)),"?")="Yes",$J338=""),"Reason needed",IF($A338&lt;_xlfn.MINIFS(tblShipment[Arrival Date],tblShipment[Shipment No],$B338),"Date before arrival",IF(AND($E338&lt;&gt;"",COUNTIFS(tblShipment[Shipment No],$B338,tblShipment[Item Name],$E338)=0),"Item not in this shipment","OK")))))))))))))))))</f>
        <v>OK</v>
      </c>
    </row>
    <row r="339" customFormat="false" ht="15" hidden="false" customHeight="false" outlineLevel="0" collapsed="false">
      <c r="A339" s="32" t="n">
        <v>46250</v>
      </c>
      <c r="B339" s="31" t="s">
        <v>167</v>
      </c>
      <c r="C339" s="31" t="s">
        <v>78</v>
      </c>
      <c r="D339" s="34" t="str">
        <f aca="false">IF($C339="","",IFERROR(IF(IFERROR(INDEX(tblMoveTypes[In / Out],MATCH($C339,tblMoveTypes[Movement],0)),"?")="IN","IN   ",IF(IFERROR(INDEX(tblMoveTypes[In / Out],MATCH($C339,tblMoveTypes[Movement],0)),"?")="OUT","OUT   ","--   "))&amp;"fill: "&amp;IF(IFERROR(INDEX(tblMoveTypes[Item?],MATCH($C339,tblMoveTypes[Movement],0)),"?")="Yes","Item  ","")&amp;IF(AND(IFERROR(INDEX(tblMoveTypes[Qty?],MATCH($C339,tblMoveTypes[Movement],0)),"?")="Yes",IFERROR(INDEX(tblMoveTypes[In / Out],MATCH($C339,tblMoveTypes[Movement],0)),"?")="IN"),"In  ","")&amp;IF(AND(IFERROR(INDEX(tblMoveTypes[Qty?],MATCH($C339,tblMoveTypes[Movement],0)),"?")="Yes",IFERROR(INDEX(tblMoveTypes[In / Out],MATCH($C339,tblMoveTypes[Movement],0)),"?")="OUT"),"Out  ","")&amp;IF(IFERROR(INDEX(tblMoveTypes[Orders?],MATCH($C339,tblMoveTypes[Movement],0)),"?")="Yes","Orders  ","")&amp;IF(IFERROR(INDEX(tblMoveTypes[Courier?],MATCH($C339,tblMoveTypes[Movement],0)),"?")="Yes","Courier  ","")&amp;IF(IFERROR(INDEX(tblMoveTypes[Reason?],MATCH($C339,tblMoveTypes[Movement],0)),"?")="Yes","Reason",""),"unknown movement"))</f>
        <v>OUT   fill: Item  Out  Reason</v>
      </c>
      <c r="E339" s="31" t="s">
        <v>72</v>
      </c>
      <c r="F339" s="33"/>
      <c r="G339" s="33" t="n">
        <v>3</v>
      </c>
      <c r="H339" s="33"/>
      <c r="I339" s="31"/>
      <c r="J339" s="31" t="s">
        <v>86</v>
      </c>
      <c r="K339" s="31"/>
      <c r="L339" s="31"/>
      <c r="M339" s="34" t="str">
        <f aca="false">IF($E339="","",IFERROR(INDEX(tblItems[Item Code],MATCH($E339,tblItems[Item Name],0)),"?"))</f>
        <v>EG-FG-MNG-05-02-01-01</v>
      </c>
      <c r="N339" s="34" t="str">
        <f aca="false">IF($B339="","",IFERROR(INDEX(tblShipment[Market],MATCH($B339,tblShipment[Shipment No],0)),"?"))</f>
        <v>Qatar</v>
      </c>
      <c r="O339" s="35" t="n">
        <f aca="false">N($F339)+N($G339)</f>
        <v>3</v>
      </c>
      <c r="P339" s="34" t="str">
        <f aca="false">IF($A339="","",IF($L339="Yes","VOID",IF(COUNTIFS(tblMoveTypes[Movement],$C339)=0,"Unknown movement",IF(COUNTIF(tblShipment[Shipment No],$B339)=0,"Unknown shipment",IF(AND(IFERROR(INDEX(tblMoveTypes[Item?],MATCH($C339,tblMoveTypes[Movement],0)),"?")="Yes",$E339=""),"Item needed",IF(AND(IFERROR(INDEX(tblMoveTypes[Item?],MATCH($C339,tblMoveTypes[Movement],0)),"?")="No",$E339&lt;&gt;""),"Leave Item blank",IF(AND(IFERROR(INDEX(tblMoveTypes[In / Out],MATCH($C339,tblMoveTypes[Movement],0)),"?")="IN",$G339&lt;&gt;""),"Use the In column, not Out",IF(AND(IFERROR(INDEX(tblMoveTypes[In / Out],MATCH($C339,tblMoveTypes[Movement],0)),"?")="OUT",$F339&lt;&gt;""),"Use the Out column, not In",IF(AND(IFERROR(INDEX(tblMoveTypes[Qty?],MATCH($C339,tblMoveTypes[Movement],0)),"?")="Yes",N($F339)+N($G339)&lt;=0),"Qty needed",IF(AND(IFERROR(INDEX(tblMoveTypes[Qty?],MATCH($C339,tblMoveTypes[Movement],0)),"?")="No",N($F339)+N($G339)&gt;0),"Leave In and Out blank",IF(AND(IFERROR(INDEX(tblMoveTypes[Courier?],MATCH($C339,tblMoveTypes[Movement],0)),"?")="Yes",$I339=""),"Courier needed",IF(AND(IFERROR(INDEX(tblMoveTypes[Courier?],MATCH($C339,tblMoveTypes[Movement],0)),"?")="No",$I339&lt;&gt;""),"Leave Courier blank",IF(AND(IFERROR(INDEX(tblMoveTypes[Orders?],MATCH($C339,tblMoveTypes[Movement],0)),"?")="Yes",$H339=""),"Orders needed",IF(AND(IFERROR(INDEX(tblMoveTypes[Orders?],MATCH($C339,tblMoveTypes[Movement],0)),"?")="No",$H339&lt;&gt;""),"Leave Orders blank",IF(AND(IFERROR(INDEX(tblMoveTypes[Reason?],MATCH($C339,tblMoveTypes[Movement],0)),"?")="Yes",$J339=""),"Reason needed",IF($A339&lt;_xlfn.MINIFS(tblShipment[Arrival Date],tblShipment[Shipment No],$B339),"Date before arrival",IF(AND($E339&lt;&gt;"",COUNTIFS(tblShipment[Shipment No],$B339,tblShipment[Item Name],$E339)=0),"Item not in this shipment","OK")))))))))))))))))</f>
        <v>OK</v>
      </c>
    </row>
    <row r="340" customFormat="false" ht="15" hidden="false" customHeight="false" outlineLevel="0" collapsed="false">
      <c r="A340" s="32" t="n">
        <v>46250</v>
      </c>
      <c r="B340" s="31" t="s">
        <v>167</v>
      </c>
      <c r="C340" s="31" t="s">
        <v>79</v>
      </c>
      <c r="D340" s="34" t="str">
        <f aca="false">IF($C340="","",IFERROR(IF(IFERROR(INDEX(tblMoveTypes[In / Out],MATCH($C340,tblMoveTypes[Movement],0)),"?")="IN","IN   ",IF(IFERROR(INDEX(tblMoveTypes[In / Out],MATCH($C340,tblMoveTypes[Movement],0)),"?")="OUT","OUT   ","--   "))&amp;"fill: "&amp;IF(IFERROR(INDEX(tblMoveTypes[Item?],MATCH($C340,tblMoveTypes[Movement],0)),"?")="Yes","Item  ","")&amp;IF(AND(IFERROR(INDEX(tblMoveTypes[Qty?],MATCH($C340,tblMoveTypes[Movement],0)),"?")="Yes",IFERROR(INDEX(tblMoveTypes[In / Out],MATCH($C340,tblMoveTypes[Movement],0)),"?")="IN"),"In  ","")&amp;IF(AND(IFERROR(INDEX(tblMoveTypes[Qty?],MATCH($C340,tblMoveTypes[Movement],0)),"?")="Yes",IFERROR(INDEX(tblMoveTypes[In / Out],MATCH($C340,tblMoveTypes[Movement],0)),"?")="OUT"),"Out  ","")&amp;IF(IFERROR(INDEX(tblMoveTypes[Orders?],MATCH($C340,tblMoveTypes[Movement],0)),"?")="Yes","Orders  ","")&amp;IF(IFERROR(INDEX(tblMoveTypes[Courier?],MATCH($C340,tblMoveTypes[Movement],0)),"?")="Yes","Courier  ","")&amp;IF(IFERROR(INDEX(tblMoveTypes[Reason?],MATCH($C340,tblMoveTypes[Movement],0)),"?")="Yes","Reason",""),"unknown movement"))</f>
        <v>IN   fill: Item  In  </v>
      </c>
      <c r="E340" s="31" t="s">
        <v>146</v>
      </c>
      <c r="F340" s="33" t="n">
        <v>20</v>
      </c>
      <c r="G340" s="33"/>
      <c r="H340" s="33"/>
      <c r="I340" s="31"/>
      <c r="J340" s="31"/>
      <c r="K340" s="31"/>
      <c r="L340" s="31"/>
      <c r="M340" s="34" t="str">
        <f aca="false">IF($E340="","",IFERROR(INDEX(tblItems[Item Code],MATCH($E340,tblItems[Item Name],0)),"?"))</f>
        <v>EG-FG-MNG-19-02-01-01</v>
      </c>
      <c r="N340" s="34" t="str">
        <f aca="false">IF($B340="","",IFERROR(INDEX(tblShipment[Market],MATCH($B340,tblShipment[Shipment No],0)),"?"))</f>
        <v>Qatar</v>
      </c>
      <c r="O340" s="35" t="n">
        <f aca="false">N($F340)+N($G340)</f>
        <v>20</v>
      </c>
      <c r="P340" s="34" t="str">
        <f aca="false">IF($A340="","",IF($L340="Yes","VOID",IF(COUNTIFS(tblMoveTypes[Movement],$C340)=0,"Unknown movement",IF(COUNTIF(tblShipment[Shipment No],$B340)=0,"Unknown shipment",IF(AND(IFERROR(INDEX(tblMoveTypes[Item?],MATCH($C340,tblMoveTypes[Movement],0)),"?")="Yes",$E340=""),"Item needed",IF(AND(IFERROR(INDEX(tblMoveTypes[Item?],MATCH($C340,tblMoveTypes[Movement],0)),"?")="No",$E340&lt;&gt;""),"Leave Item blank",IF(AND(IFERROR(INDEX(tblMoveTypes[In / Out],MATCH($C340,tblMoveTypes[Movement],0)),"?")="IN",$G340&lt;&gt;""),"Use the In column, not Out",IF(AND(IFERROR(INDEX(tblMoveTypes[In / Out],MATCH($C340,tblMoveTypes[Movement],0)),"?")="OUT",$F340&lt;&gt;""),"Use the Out column, not In",IF(AND(IFERROR(INDEX(tblMoveTypes[Qty?],MATCH($C340,tblMoveTypes[Movement],0)),"?")="Yes",N($F340)+N($G340)&lt;=0),"Qty needed",IF(AND(IFERROR(INDEX(tblMoveTypes[Qty?],MATCH($C340,tblMoveTypes[Movement],0)),"?")="No",N($F340)+N($G340)&gt;0),"Leave In and Out blank",IF(AND(IFERROR(INDEX(tblMoveTypes[Courier?],MATCH($C340,tblMoveTypes[Movement],0)),"?")="Yes",$I340=""),"Courier needed",IF(AND(IFERROR(INDEX(tblMoveTypes[Courier?],MATCH($C340,tblMoveTypes[Movement],0)),"?")="No",$I340&lt;&gt;""),"Leave Courier blank",IF(AND(IFERROR(INDEX(tblMoveTypes[Orders?],MATCH($C340,tblMoveTypes[Movement],0)),"?")="Yes",$H340=""),"Orders needed",IF(AND(IFERROR(INDEX(tblMoveTypes[Orders?],MATCH($C340,tblMoveTypes[Movement],0)),"?")="No",$H340&lt;&gt;""),"Leave Orders blank",IF(AND(IFERROR(INDEX(tblMoveTypes[Reason?],MATCH($C340,tblMoveTypes[Movement],0)),"?")="Yes",$J340=""),"Reason needed",IF($A340&lt;_xlfn.MINIFS(tblShipment[Arrival Date],tblShipment[Shipment No],$B340),"Date before arrival",IF(AND($E340&lt;&gt;"",COUNTIFS(tblShipment[Shipment No],$B340,tblShipment[Item Name],$E340)=0),"Item not in this shipment","OK")))))))))))))))))</f>
        <v>OK</v>
      </c>
    </row>
    <row r="341" customFormat="false" ht="15" hidden="false" customHeight="false" outlineLevel="0" collapsed="false">
      <c r="A341" s="32" t="n">
        <v>46250</v>
      </c>
      <c r="B341" s="31" t="s">
        <v>167</v>
      </c>
      <c r="C341" s="31" t="s">
        <v>79</v>
      </c>
      <c r="D341" s="34" t="str">
        <f aca="false">IF($C341="","",IFERROR(IF(IFERROR(INDEX(tblMoveTypes[In / Out],MATCH($C341,tblMoveTypes[Movement],0)),"?")="IN","IN   ",IF(IFERROR(INDEX(tblMoveTypes[In / Out],MATCH($C341,tblMoveTypes[Movement],0)),"?")="OUT","OUT   ","--   "))&amp;"fill: "&amp;IF(IFERROR(INDEX(tblMoveTypes[Item?],MATCH($C341,tblMoveTypes[Movement],0)),"?")="Yes","Item  ","")&amp;IF(AND(IFERROR(INDEX(tblMoveTypes[Qty?],MATCH($C341,tblMoveTypes[Movement],0)),"?")="Yes",IFERROR(INDEX(tblMoveTypes[In / Out],MATCH($C341,tblMoveTypes[Movement],0)),"?")="IN"),"In  ","")&amp;IF(AND(IFERROR(INDEX(tblMoveTypes[Qty?],MATCH($C341,tblMoveTypes[Movement],0)),"?")="Yes",IFERROR(INDEX(tblMoveTypes[In / Out],MATCH($C341,tblMoveTypes[Movement],0)),"?")="OUT"),"Out  ","")&amp;IF(IFERROR(INDEX(tblMoveTypes[Orders?],MATCH($C341,tblMoveTypes[Movement],0)),"?")="Yes","Orders  ","")&amp;IF(IFERROR(INDEX(tblMoveTypes[Courier?],MATCH($C341,tblMoveTypes[Movement],0)),"?")="Yes","Courier  ","")&amp;IF(IFERROR(INDEX(tblMoveTypes[Reason?],MATCH($C341,tblMoveTypes[Movement],0)),"?")="Yes","Reason",""),"unknown movement"))</f>
        <v>IN   fill: Item  In  </v>
      </c>
      <c r="E341" s="31" t="s">
        <v>84</v>
      </c>
      <c r="F341" s="33" t="n">
        <v>120</v>
      </c>
      <c r="G341" s="33"/>
      <c r="H341" s="33"/>
      <c r="I341" s="31"/>
      <c r="J341" s="31"/>
      <c r="K341" s="31"/>
      <c r="L341" s="31"/>
      <c r="M341" s="34" t="str">
        <f aca="false">IF($E341="","",IFERROR(INDEX(tblItems[Item Code],MATCH($E341,tblItems[Item Name],0)),"?"))</f>
        <v>EG-FG-MNG-12-02-01-01</v>
      </c>
      <c r="N341" s="34" t="str">
        <f aca="false">IF($B341="","",IFERROR(INDEX(tblShipment[Market],MATCH($B341,tblShipment[Shipment No],0)),"?"))</f>
        <v>Qatar</v>
      </c>
      <c r="O341" s="35" t="n">
        <f aca="false">N($F341)+N($G341)</f>
        <v>120</v>
      </c>
      <c r="P341" s="34" t="str">
        <f aca="false">IF($A341="","",IF($L341="Yes","VOID",IF(COUNTIFS(tblMoveTypes[Movement],$C341)=0,"Unknown movement",IF(COUNTIF(tblShipment[Shipment No],$B341)=0,"Unknown shipment",IF(AND(IFERROR(INDEX(tblMoveTypes[Item?],MATCH($C341,tblMoveTypes[Movement],0)),"?")="Yes",$E341=""),"Item needed",IF(AND(IFERROR(INDEX(tblMoveTypes[Item?],MATCH($C341,tblMoveTypes[Movement],0)),"?")="No",$E341&lt;&gt;""),"Leave Item blank",IF(AND(IFERROR(INDEX(tblMoveTypes[In / Out],MATCH($C341,tblMoveTypes[Movement],0)),"?")="IN",$G341&lt;&gt;""),"Use the In column, not Out",IF(AND(IFERROR(INDEX(tblMoveTypes[In / Out],MATCH($C341,tblMoveTypes[Movement],0)),"?")="OUT",$F341&lt;&gt;""),"Use the Out column, not In",IF(AND(IFERROR(INDEX(tblMoveTypes[Qty?],MATCH($C341,tblMoveTypes[Movement],0)),"?")="Yes",N($F341)+N($G341)&lt;=0),"Qty needed",IF(AND(IFERROR(INDEX(tblMoveTypes[Qty?],MATCH($C341,tblMoveTypes[Movement],0)),"?")="No",N($F341)+N($G341)&gt;0),"Leave In and Out blank",IF(AND(IFERROR(INDEX(tblMoveTypes[Courier?],MATCH($C341,tblMoveTypes[Movement],0)),"?")="Yes",$I341=""),"Courier needed",IF(AND(IFERROR(INDEX(tblMoveTypes[Courier?],MATCH($C341,tblMoveTypes[Movement],0)),"?")="No",$I341&lt;&gt;""),"Leave Courier blank",IF(AND(IFERROR(INDEX(tblMoveTypes[Orders?],MATCH($C341,tblMoveTypes[Movement],0)),"?")="Yes",$H341=""),"Orders needed",IF(AND(IFERROR(INDEX(tblMoveTypes[Orders?],MATCH($C341,tblMoveTypes[Movement],0)),"?")="No",$H341&lt;&gt;""),"Leave Orders blank",IF(AND(IFERROR(INDEX(tblMoveTypes[Reason?],MATCH($C341,tblMoveTypes[Movement],0)),"?")="Yes",$J341=""),"Reason needed",IF($A341&lt;_xlfn.MINIFS(tblShipment[Arrival Date],tblShipment[Shipment No],$B341),"Date before arrival",IF(AND($E341&lt;&gt;"",COUNTIFS(tblShipment[Shipment No],$B341,tblShipment[Item Name],$E341)=0),"Item not in this shipment","OK")))))))))))))))))</f>
        <v>OK</v>
      </c>
    </row>
    <row r="342" customFormat="false" ht="15" hidden="false" customHeight="false" outlineLevel="0" collapsed="false">
      <c r="A342" s="32" t="n">
        <v>46250</v>
      </c>
      <c r="B342" s="31" t="s">
        <v>167</v>
      </c>
      <c r="C342" s="31" t="s">
        <v>78</v>
      </c>
      <c r="D342" s="34" t="str">
        <f aca="false">IF($C342="","",IFERROR(IF(IFERROR(INDEX(tblMoveTypes[In / Out],MATCH($C342,tblMoveTypes[Movement],0)),"?")="IN","IN   ",IF(IFERROR(INDEX(tblMoveTypes[In / Out],MATCH($C342,tblMoveTypes[Movement],0)),"?")="OUT","OUT   ","--   "))&amp;"fill: "&amp;IF(IFERROR(INDEX(tblMoveTypes[Item?],MATCH($C342,tblMoveTypes[Movement],0)),"?")="Yes","Item  ","")&amp;IF(AND(IFERROR(INDEX(tblMoveTypes[Qty?],MATCH($C342,tblMoveTypes[Movement],0)),"?")="Yes",IFERROR(INDEX(tblMoveTypes[In / Out],MATCH($C342,tblMoveTypes[Movement],0)),"?")="IN"),"In  ","")&amp;IF(AND(IFERROR(INDEX(tblMoveTypes[Qty?],MATCH($C342,tblMoveTypes[Movement],0)),"?")="Yes",IFERROR(INDEX(tblMoveTypes[In / Out],MATCH($C342,tblMoveTypes[Movement],0)),"?")="OUT"),"Out  ","")&amp;IF(IFERROR(INDEX(tblMoveTypes[Orders?],MATCH($C342,tblMoveTypes[Movement],0)),"?")="Yes","Orders  ","")&amp;IF(IFERROR(INDEX(tblMoveTypes[Courier?],MATCH($C342,tblMoveTypes[Movement],0)),"?")="Yes","Courier  ","")&amp;IF(IFERROR(INDEX(tblMoveTypes[Reason?],MATCH($C342,tblMoveTypes[Movement],0)),"?")="Yes","Reason",""),"unknown movement"))</f>
        <v>OUT   fill: Item  Out  Reason</v>
      </c>
      <c r="E342" s="31" t="s">
        <v>84</v>
      </c>
      <c r="F342" s="33"/>
      <c r="G342" s="33" t="n">
        <v>3</v>
      </c>
      <c r="H342" s="33"/>
      <c r="I342" s="31"/>
      <c r="J342" s="31" t="s">
        <v>77</v>
      </c>
      <c r="K342" s="31"/>
      <c r="L342" s="31"/>
      <c r="M342" s="34" t="str">
        <f aca="false">IF($E342="","",IFERROR(INDEX(tblItems[Item Code],MATCH($E342,tblItems[Item Name],0)),"?"))</f>
        <v>EG-FG-MNG-12-02-01-01</v>
      </c>
      <c r="N342" s="34" t="str">
        <f aca="false">IF($B342="","",IFERROR(INDEX(tblShipment[Market],MATCH($B342,tblShipment[Shipment No],0)),"?"))</f>
        <v>Qatar</v>
      </c>
      <c r="O342" s="35" t="n">
        <f aca="false">N($F342)+N($G342)</f>
        <v>3</v>
      </c>
      <c r="P342" s="34" t="str">
        <f aca="false">IF($A342="","",IF($L342="Yes","VOID",IF(COUNTIFS(tblMoveTypes[Movement],$C342)=0,"Unknown movement",IF(COUNTIF(tblShipment[Shipment No],$B342)=0,"Unknown shipment",IF(AND(IFERROR(INDEX(tblMoveTypes[Item?],MATCH($C342,tblMoveTypes[Movement],0)),"?")="Yes",$E342=""),"Item needed",IF(AND(IFERROR(INDEX(tblMoveTypes[Item?],MATCH($C342,tblMoveTypes[Movement],0)),"?")="No",$E342&lt;&gt;""),"Leave Item blank",IF(AND(IFERROR(INDEX(tblMoveTypes[In / Out],MATCH($C342,tblMoveTypes[Movement],0)),"?")="IN",$G342&lt;&gt;""),"Use the In column, not Out",IF(AND(IFERROR(INDEX(tblMoveTypes[In / Out],MATCH($C342,tblMoveTypes[Movement],0)),"?")="OUT",$F342&lt;&gt;""),"Use the Out column, not In",IF(AND(IFERROR(INDEX(tblMoveTypes[Qty?],MATCH($C342,tblMoveTypes[Movement],0)),"?")="Yes",N($F342)+N($G342)&lt;=0),"Qty needed",IF(AND(IFERROR(INDEX(tblMoveTypes[Qty?],MATCH($C342,tblMoveTypes[Movement],0)),"?")="No",N($F342)+N($G342)&gt;0),"Leave In and Out blank",IF(AND(IFERROR(INDEX(tblMoveTypes[Courier?],MATCH($C342,tblMoveTypes[Movement],0)),"?")="Yes",$I342=""),"Courier needed",IF(AND(IFERROR(INDEX(tblMoveTypes[Courier?],MATCH($C342,tblMoveTypes[Movement],0)),"?")="No",$I342&lt;&gt;""),"Leave Courier blank",IF(AND(IFERROR(INDEX(tblMoveTypes[Orders?],MATCH($C342,tblMoveTypes[Movement],0)),"?")="Yes",$H342=""),"Orders needed",IF(AND(IFERROR(INDEX(tblMoveTypes[Orders?],MATCH($C342,tblMoveTypes[Movement],0)),"?")="No",$H342&lt;&gt;""),"Leave Orders blank",IF(AND(IFERROR(INDEX(tblMoveTypes[Reason?],MATCH($C342,tblMoveTypes[Movement],0)),"?")="Yes",$J342=""),"Reason needed",IF($A342&lt;_xlfn.MINIFS(tblShipment[Arrival Date],tblShipment[Shipment No],$B342),"Date before arrival",IF(AND($E342&lt;&gt;"",COUNTIFS(tblShipment[Shipment No],$B342,tblShipment[Item Name],$E342)=0),"Item not in this shipment","OK")))))))))))))))))</f>
        <v>OK</v>
      </c>
    </row>
    <row r="343" customFormat="false" ht="15" hidden="false" customHeight="false" outlineLevel="0" collapsed="false">
      <c r="A343" s="32" t="n">
        <v>46250</v>
      </c>
      <c r="B343" s="31" t="s">
        <v>167</v>
      </c>
      <c r="C343" s="31" t="s">
        <v>79</v>
      </c>
      <c r="D343" s="34" t="str">
        <f aca="false">IF($C343="","",IFERROR(IF(IFERROR(INDEX(tblMoveTypes[In / Out],MATCH($C343,tblMoveTypes[Movement],0)),"?")="IN","IN   ",IF(IFERROR(INDEX(tblMoveTypes[In / Out],MATCH($C343,tblMoveTypes[Movement],0)),"?")="OUT","OUT   ","--   "))&amp;"fill: "&amp;IF(IFERROR(INDEX(tblMoveTypes[Item?],MATCH($C343,tblMoveTypes[Movement],0)),"?")="Yes","Item  ","")&amp;IF(AND(IFERROR(INDEX(tblMoveTypes[Qty?],MATCH($C343,tblMoveTypes[Movement],0)),"?")="Yes",IFERROR(INDEX(tblMoveTypes[In / Out],MATCH($C343,tblMoveTypes[Movement],0)),"?")="IN"),"In  ","")&amp;IF(AND(IFERROR(INDEX(tblMoveTypes[Qty?],MATCH($C343,tblMoveTypes[Movement],0)),"?")="Yes",IFERROR(INDEX(tblMoveTypes[In / Out],MATCH($C343,tblMoveTypes[Movement],0)),"?")="OUT"),"Out  ","")&amp;IF(IFERROR(INDEX(tblMoveTypes[Orders?],MATCH($C343,tblMoveTypes[Movement],0)),"?")="Yes","Orders  ","")&amp;IF(IFERROR(INDEX(tblMoveTypes[Courier?],MATCH($C343,tblMoveTypes[Movement],0)),"?")="Yes","Courier  ","")&amp;IF(IFERROR(INDEX(tblMoveTypes[Reason?],MATCH($C343,tblMoveTypes[Movement],0)),"?")="Yes","Reason",""),"unknown movement"))</f>
        <v>IN   fill: Item  In  </v>
      </c>
      <c r="E343" s="31" t="s">
        <v>127</v>
      </c>
      <c r="F343" s="33" t="n">
        <v>20</v>
      </c>
      <c r="G343" s="33"/>
      <c r="H343" s="33"/>
      <c r="I343" s="31"/>
      <c r="J343" s="31"/>
      <c r="K343" s="31"/>
      <c r="L343" s="31"/>
      <c r="M343" s="34" t="str">
        <f aca="false">IF($E343="","",IFERROR(INDEX(tblItems[Item Code],MATCH($E343,tblItems[Item Name],0)),"?"))</f>
        <v>EG-FG-GRP-03-02-01-01</v>
      </c>
      <c r="N343" s="34" t="str">
        <f aca="false">IF($B343="","",IFERROR(INDEX(tblShipment[Market],MATCH($B343,tblShipment[Shipment No],0)),"?"))</f>
        <v>Qatar</v>
      </c>
      <c r="O343" s="35" t="n">
        <f aca="false">N($F343)+N($G343)</f>
        <v>20</v>
      </c>
      <c r="P343" s="34" t="str">
        <f aca="false">IF($A343="","",IF($L343="Yes","VOID",IF(COUNTIFS(tblMoveTypes[Movement],$C343)=0,"Unknown movement",IF(COUNTIF(tblShipment[Shipment No],$B343)=0,"Unknown shipment",IF(AND(IFERROR(INDEX(tblMoveTypes[Item?],MATCH($C343,tblMoveTypes[Movement],0)),"?")="Yes",$E343=""),"Item needed",IF(AND(IFERROR(INDEX(tblMoveTypes[Item?],MATCH($C343,tblMoveTypes[Movement],0)),"?")="No",$E343&lt;&gt;""),"Leave Item blank",IF(AND(IFERROR(INDEX(tblMoveTypes[In / Out],MATCH($C343,tblMoveTypes[Movement],0)),"?")="IN",$G343&lt;&gt;""),"Use the In column, not Out",IF(AND(IFERROR(INDEX(tblMoveTypes[In / Out],MATCH($C343,tblMoveTypes[Movement],0)),"?")="OUT",$F343&lt;&gt;""),"Use the Out column, not In",IF(AND(IFERROR(INDEX(tblMoveTypes[Qty?],MATCH($C343,tblMoveTypes[Movement],0)),"?")="Yes",N($F343)+N($G343)&lt;=0),"Qty needed",IF(AND(IFERROR(INDEX(tblMoveTypes[Qty?],MATCH($C343,tblMoveTypes[Movement],0)),"?")="No",N($F343)+N($G343)&gt;0),"Leave In and Out blank",IF(AND(IFERROR(INDEX(tblMoveTypes[Courier?],MATCH($C343,tblMoveTypes[Movement],0)),"?")="Yes",$I343=""),"Courier needed",IF(AND(IFERROR(INDEX(tblMoveTypes[Courier?],MATCH($C343,tblMoveTypes[Movement],0)),"?")="No",$I343&lt;&gt;""),"Leave Courier blank",IF(AND(IFERROR(INDEX(tblMoveTypes[Orders?],MATCH($C343,tblMoveTypes[Movement],0)),"?")="Yes",$H343=""),"Orders needed",IF(AND(IFERROR(INDEX(tblMoveTypes[Orders?],MATCH($C343,tblMoveTypes[Movement],0)),"?")="No",$H343&lt;&gt;""),"Leave Orders blank",IF(AND(IFERROR(INDEX(tblMoveTypes[Reason?],MATCH($C343,tblMoveTypes[Movement],0)),"?")="Yes",$J343=""),"Reason needed",IF($A343&lt;_xlfn.MINIFS(tblShipment[Arrival Date],tblShipment[Shipment No],$B343),"Date before arrival",IF(AND($E343&lt;&gt;"",COUNTIFS(tblShipment[Shipment No],$B343,tblShipment[Item Name],$E343)=0),"Item not in this shipment","OK")))))))))))))))))</f>
        <v>OK</v>
      </c>
    </row>
    <row r="344" customFormat="false" ht="15" hidden="false" customHeight="false" outlineLevel="0" collapsed="false">
      <c r="A344" s="32" t="n">
        <v>46250</v>
      </c>
      <c r="B344" s="31" t="s">
        <v>167</v>
      </c>
      <c r="C344" s="31" t="s">
        <v>79</v>
      </c>
      <c r="D344" s="34" t="str">
        <f aca="false">IF($C344="","",IFERROR(IF(IFERROR(INDEX(tblMoveTypes[In / Out],MATCH($C344,tblMoveTypes[Movement],0)),"?")="IN","IN   ",IF(IFERROR(INDEX(tblMoveTypes[In / Out],MATCH($C344,tblMoveTypes[Movement],0)),"?")="OUT","OUT   ","--   "))&amp;"fill: "&amp;IF(IFERROR(INDEX(tblMoveTypes[Item?],MATCH($C344,tblMoveTypes[Movement],0)),"?")="Yes","Item  ","")&amp;IF(AND(IFERROR(INDEX(tblMoveTypes[Qty?],MATCH($C344,tblMoveTypes[Movement],0)),"?")="Yes",IFERROR(INDEX(tblMoveTypes[In / Out],MATCH($C344,tblMoveTypes[Movement],0)),"?")="IN"),"In  ","")&amp;IF(AND(IFERROR(INDEX(tblMoveTypes[Qty?],MATCH($C344,tblMoveTypes[Movement],0)),"?")="Yes",IFERROR(INDEX(tblMoveTypes[In / Out],MATCH($C344,tblMoveTypes[Movement],0)),"?")="OUT"),"Out  ","")&amp;IF(IFERROR(INDEX(tblMoveTypes[Orders?],MATCH($C344,tblMoveTypes[Movement],0)),"?")="Yes","Orders  ","")&amp;IF(IFERROR(INDEX(tblMoveTypes[Courier?],MATCH($C344,tblMoveTypes[Movement],0)),"?")="Yes","Courier  ","")&amp;IF(IFERROR(INDEX(tblMoveTypes[Reason?],MATCH($C344,tblMoveTypes[Movement],0)),"?")="Yes","Reason",""),"unknown movement"))</f>
        <v>IN   fill: Item  In  </v>
      </c>
      <c r="E344" s="31" t="s">
        <v>100</v>
      </c>
      <c r="F344" s="33" t="n">
        <v>25</v>
      </c>
      <c r="G344" s="33"/>
      <c r="H344" s="33"/>
      <c r="I344" s="31"/>
      <c r="J344" s="31"/>
      <c r="K344" s="31"/>
      <c r="L344" s="31"/>
      <c r="M344" s="34" t="str">
        <f aca="false">IF($E344="","",IFERROR(INDEX(tblItems[Item Code],MATCH($E344,tblItems[Item Name],0)),"?"))</f>
        <v>EG-FG-MNG-18-02-01-01</v>
      </c>
      <c r="N344" s="34" t="str">
        <f aca="false">IF($B344="","",IFERROR(INDEX(tblShipment[Market],MATCH($B344,tblShipment[Shipment No],0)),"?"))</f>
        <v>Qatar</v>
      </c>
      <c r="O344" s="35" t="n">
        <f aca="false">N($F344)+N($G344)</f>
        <v>25</v>
      </c>
      <c r="P344" s="34" t="str">
        <f aca="false">IF($A344="","",IF($L344="Yes","VOID",IF(COUNTIFS(tblMoveTypes[Movement],$C344)=0,"Unknown movement",IF(COUNTIF(tblShipment[Shipment No],$B344)=0,"Unknown shipment",IF(AND(IFERROR(INDEX(tblMoveTypes[Item?],MATCH($C344,tblMoveTypes[Movement],0)),"?")="Yes",$E344=""),"Item needed",IF(AND(IFERROR(INDEX(tblMoveTypes[Item?],MATCH($C344,tblMoveTypes[Movement],0)),"?")="No",$E344&lt;&gt;""),"Leave Item blank",IF(AND(IFERROR(INDEX(tblMoveTypes[In / Out],MATCH($C344,tblMoveTypes[Movement],0)),"?")="IN",$G344&lt;&gt;""),"Use the In column, not Out",IF(AND(IFERROR(INDEX(tblMoveTypes[In / Out],MATCH($C344,tblMoveTypes[Movement],0)),"?")="OUT",$F344&lt;&gt;""),"Use the Out column, not In",IF(AND(IFERROR(INDEX(tblMoveTypes[Qty?],MATCH($C344,tblMoveTypes[Movement],0)),"?")="Yes",N($F344)+N($G344)&lt;=0),"Qty needed",IF(AND(IFERROR(INDEX(tblMoveTypes[Qty?],MATCH($C344,tblMoveTypes[Movement],0)),"?")="No",N($F344)+N($G344)&gt;0),"Leave In and Out blank",IF(AND(IFERROR(INDEX(tblMoveTypes[Courier?],MATCH($C344,tblMoveTypes[Movement],0)),"?")="Yes",$I344=""),"Courier needed",IF(AND(IFERROR(INDEX(tblMoveTypes[Courier?],MATCH($C344,tblMoveTypes[Movement],0)),"?")="No",$I344&lt;&gt;""),"Leave Courier blank",IF(AND(IFERROR(INDEX(tblMoveTypes[Orders?],MATCH($C344,tblMoveTypes[Movement],0)),"?")="Yes",$H344=""),"Orders needed",IF(AND(IFERROR(INDEX(tblMoveTypes[Orders?],MATCH($C344,tblMoveTypes[Movement],0)),"?")="No",$H344&lt;&gt;""),"Leave Orders blank",IF(AND(IFERROR(INDEX(tblMoveTypes[Reason?],MATCH($C344,tblMoveTypes[Movement],0)),"?")="Yes",$J344=""),"Reason needed",IF($A344&lt;_xlfn.MINIFS(tblShipment[Arrival Date],tblShipment[Shipment No],$B344),"Date before arrival",IF(AND($E344&lt;&gt;"",COUNTIFS(tblShipment[Shipment No],$B344,tblShipment[Item Name],$E344)=0),"Item not in this shipment","OK")))))))))))))))))</f>
        <v>OK</v>
      </c>
    </row>
    <row r="345" customFormat="false" ht="15" hidden="false" customHeight="false" outlineLevel="0" collapsed="false">
      <c r="A345" s="32" t="n">
        <v>46250</v>
      </c>
      <c r="B345" s="31" t="s">
        <v>167</v>
      </c>
      <c r="C345" s="31" t="s">
        <v>78</v>
      </c>
      <c r="D345" s="34" t="str">
        <f aca="false">IF($C345="","",IFERROR(IF(IFERROR(INDEX(tblMoveTypes[In / Out],MATCH($C345,tblMoveTypes[Movement],0)),"?")="IN","IN   ",IF(IFERROR(INDEX(tblMoveTypes[In / Out],MATCH($C345,tblMoveTypes[Movement],0)),"?")="OUT","OUT   ","--   "))&amp;"fill: "&amp;IF(IFERROR(INDEX(tblMoveTypes[Item?],MATCH($C345,tblMoveTypes[Movement],0)),"?")="Yes","Item  ","")&amp;IF(AND(IFERROR(INDEX(tblMoveTypes[Qty?],MATCH($C345,tblMoveTypes[Movement],0)),"?")="Yes",IFERROR(INDEX(tblMoveTypes[In / Out],MATCH($C345,tblMoveTypes[Movement],0)),"?")="IN"),"In  ","")&amp;IF(AND(IFERROR(INDEX(tblMoveTypes[Qty?],MATCH($C345,tblMoveTypes[Movement],0)),"?")="Yes",IFERROR(INDEX(tblMoveTypes[In / Out],MATCH($C345,tblMoveTypes[Movement],0)),"?")="OUT"),"Out  ","")&amp;IF(IFERROR(INDEX(tblMoveTypes[Orders?],MATCH($C345,tblMoveTypes[Movement],0)),"?")="Yes","Orders  ","")&amp;IF(IFERROR(INDEX(tblMoveTypes[Courier?],MATCH($C345,tblMoveTypes[Movement],0)),"?")="Yes","Courier  ","")&amp;IF(IFERROR(INDEX(tblMoveTypes[Reason?],MATCH($C345,tblMoveTypes[Movement],0)),"?")="Yes","Reason",""),"unknown movement"))</f>
        <v>OUT   fill: Item  Out  Reason</v>
      </c>
      <c r="E345" s="31" t="s">
        <v>100</v>
      </c>
      <c r="F345" s="33"/>
      <c r="G345" s="33" t="n">
        <v>1</v>
      </c>
      <c r="H345" s="33"/>
      <c r="I345" s="31"/>
      <c r="J345" s="31" t="s">
        <v>77</v>
      </c>
      <c r="K345" s="31"/>
      <c r="L345" s="31"/>
      <c r="M345" s="34" t="str">
        <f aca="false">IF($E345="","",IFERROR(INDEX(tblItems[Item Code],MATCH($E345,tblItems[Item Name],0)),"?"))</f>
        <v>EG-FG-MNG-18-02-01-01</v>
      </c>
      <c r="N345" s="34" t="str">
        <f aca="false">IF($B345="","",IFERROR(INDEX(tblShipment[Market],MATCH($B345,tblShipment[Shipment No],0)),"?"))</f>
        <v>Qatar</v>
      </c>
      <c r="O345" s="35" t="n">
        <f aca="false">N($F345)+N($G345)</f>
        <v>1</v>
      </c>
      <c r="P345" s="34" t="str">
        <f aca="false">IF($A345="","",IF($L345="Yes","VOID",IF(COUNTIFS(tblMoveTypes[Movement],$C345)=0,"Unknown movement",IF(COUNTIF(tblShipment[Shipment No],$B345)=0,"Unknown shipment",IF(AND(IFERROR(INDEX(tblMoveTypes[Item?],MATCH($C345,tblMoveTypes[Movement],0)),"?")="Yes",$E345=""),"Item needed",IF(AND(IFERROR(INDEX(tblMoveTypes[Item?],MATCH($C345,tblMoveTypes[Movement],0)),"?")="No",$E345&lt;&gt;""),"Leave Item blank",IF(AND(IFERROR(INDEX(tblMoveTypes[In / Out],MATCH($C345,tblMoveTypes[Movement],0)),"?")="IN",$G345&lt;&gt;""),"Use the In column, not Out",IF(AND(IFERROR(INDEX(tblMoveTypes[In / Out],MATCH($C345,tblMoveTypes[Movement],0)),"?")="OUT",$F345&lt;&gt;""),"Use the Out column, not In",IF(AND(IFERROR(INDEX(tblMoveTypes[Qty?],MATCH($C345,tblMoveTypes[Movement],0)),"?")="Yes",N($F345)+N($G345)&lt;=0),"Qty needed",IF(AND(IFERROR(INDEX(tblMoveTypes[Qty?],MATCH($C345,tblMoveTypes[Movement],0)),"?")="No",N($F345)+N($G345)&gt;0),"Leave In and Out blank",IF(AND(IFERROR(INDEX(tblMoveTypes[Courier?],MATCH($C345,tblMoveTypes[Movement],0)),"?")="Yes",$I345=""),"Courier needed",IF(AND(IFERROR(INDEX(tblMoveTypes[Courier?],MATCH($C345,tblMoveTypes[Movement],0)),"?")="No",$I345&lt;&gt;""),"Leave Courier blank",IF(AND(IFERROR(INDEX(tblMoveTypes[Orders?],MATCH($C345,tblMoveTypes[Movement],0)),"?")="Yes",$H345=""),"Orders needed",IF(AND(IFERROR(INDEX(tblMoveTypes[Orders?],MATCH($C345,tblMoveTypes[Movement],0)),"?")="No",$H345&lt;&gt;""),"Leave Orders blank",IF(AND(IFERROR(INDEX(tblMoveTypes[Reason?],MATCH($C345,tblMoveTypes[Movement],0)),"?")="Yes",$J345=""),"Reason needed",IF($A345&lt;_xlfn.MINIFS(tblShipment[Arrival Date],tblShipment[Shipment No],$B345),"Date before arrival",IF(AND($E345&lt;&gt;"",COUNTIFS(tblShipment[Shipment No],$B345,tblShipment[Item Name],$E345)=0),"Item not in this shipment","OK")))))))))))))))))</f>
        <v>OK</v>
      </c>
    </row>
    <row r="346" customFormat="false" ht="15" hidden="false" customHeight="false" outlineLevel="0" collapsed="false">
      <c r="A346" s="32" t="n">
        <v>46250</v>
      </c>
      <c r="B346" s="31" t="s">
        <v>167</v>
      </c>
      <c r="C346" s="31" t="s">
        <v>79</v>
      </c>
      <c r="D346" s="34" t="str">
        <f aca="false">IF($C346="","",IFERROR(IF(IFERROR(INDEX(tblMoveTypes[In / Out],MATCH($C346,tblMoveTypes[Movement],0)),"?")="IN","IN   ",IF(IFERROR(INDEX(tblMoveTypes[In / Out],MATCH($C346,tblMoveTypes[Movement],0)),"?")="OUT","OUT   ","--   "))&amp;"fill: "&amp;IF(IFERROR(INDEX(tblMoveTypes[Item?],MATCH($C346,tblMoveTypes[Movement],0)),"?")="Yes","Item  ","")&amp;IF(AND(IFERROR(INDEX(tblMoveTypes[Qty?],MATCH($C346,tblMoveTypes[Movement],0)),"?")="Yes",IFERROR(INDEX(tblMoveTypes[In / Out],MATCH($C346,tblMoveTypes[Movement],0)),"?")="IN"),"In  ","")&amp;IF(AND(IFERROR(INDEX(tblMoveTypes[Qty?],MATCH($C346,tblMoveTypes[Movement],0)),"?")="Yes",IFERROR(INDEX(tblMoveTypes[In / Out],MATCH($C346,tblMoveTypes[Movement],0)),"?")="OUT"),"Out  ","")&amp;IF(IFERROR(INDEX(tblMoveTypes[Orders?],MATCH($C346,tblMoveTypes[Movement],0)),"?")="Yes","Orders  ","")&amp;IF(IFERROR(INDEX(tblMoveTypes[Courier?],MATCH($C346,tblMoveTypes[Movement],0)),"?")="Yes","Courier  ","")&amp;IF(IFERROR(INDEX(tblMoveTypes[Reason?],MATCH($C346,tblMoveTypes[Movement],0)),"?")="Yes","Reason",""),"unknown movement"))</f>
        <v>IN   fill: Item  In  </v>
      </c>
      <c r="E346" s="31" t="s">
        <v>143</v>
      </c>
      <c r="F346" s="33" t="n">
        <v>20</v>
      </c>
      <c r="G346" s="33"/>
      <c r="H346" s="33"/>
      <c r="I346" s="31"/>
      <c r="J346" s="31"/>
      <c r="K346" s="31"/>
      <c r="L346" s="31"/>
      <c r="M346" s="34" t="str">
        <f aca="false">IF($E346="","",IFERROR(INDEX(tblItems[Item Code],MATCH($E346,tblItems[Item Name],0)),"?"))</f>
        <v>EG-FG-MNG-11-02-01-01</v>
      </c>
      <c r="N346" s="34" t="str">
        <f aca="false">IF($B346="","",IFERROR(INDEX(tblShipment[Market],MATCH($B346,tblShipment[Shipment No],0)),"?"))</f>
        <v>Qatar</v>
      </c>
      <c r="O346" s="35" t="n">
        <f aca="false">N($F346)+N($G346)</f>
        <v>20</v>
      </c>
      <c r="P346" s="34" t="str">
        <f aca="false">IF($A346="","",IF($L346="Yes","VOID",IF(COUNTIFS(tblMoveTypes[Movement],$C346)=0,"Unknown movement",IF(COUNTIF(tblShipment[Shipment No],$B346)=0,"Unknown shipment",IF(AND(IFERROR(INDEX(tblMoveTypes[Item?],MATCH($C346,tblMoveTypes[Movement],0)),"?")="Yes",$E346=""),"Item needed",IF(AND(IFERROR(INDEX(tblMoveTypes[Item?],MATCH($C346,tblMoveTypes[Movement],0)),"?")="No",$E346&lt;&gt;""),"Leave Item blank",IF(AND(IFERROR(INDEX(tblMoveTypes[In / Out],MATCH($C346,tblMoveTypes[Movement],0)),"?")="IN",$G346&lt;&gt;""),"Use the In column, not Out",IF(AND(IFERROR(INDEX(tblMoveTypes[In / Out],MATCH($C346,tblMoveTypes[Movement],0)),"?")="OUT",$F346&lt;&gt;""),"Use the Out column, not In",IF(AND(IFERROR(INDEX(tblMoveTypes[Qty?],MATCH($C346,tblMoveTypes[Movement],0)),"?")="Yes",N($F346)+N($G346)&lt;=0),"Qty needed",IF(AND(IFERROR(INDEX(tblMoveTypes[Qty?],MATCH($C346,tblMoveTypes[Movement],0)),"?")="No",N($F346)+N($G346)&gt;0),"Leave In and Out blank",IF(AND(IFERROR(INDEX(tblMoveTypes[Courier?],MATCH($C346,tblMoveTypes[Movement],0)),"?")="Yes",$I346=""),"Courier needed",IF(AND(IFERROR(INDEX(tblMoveTypes[Courier?],MATCH($C346,tblMoveTypes[Movement],0)),"?")="No",$I346&lt;&gt;""),"Leave Courier blank",IF(AND(IFERROR(INDEX(tblMoveTypes[Orders?],MATCH($C346,tblMoveTypes[Movement],0)),"?")="Yes",$H346=""),"Orders needed",IF(AND(IFERROR(INDEX(tblMoveTypes[Orders?],MATCH($C346,tblMoveTypes[Movement],0)),"?")="No",$H346&lt;&gt;""),"Leave Orders blank",IF(AND(IFERROR(INDEX(tblMoveTypes[Reason?],MATCH($C346,tblMoveTypes[Movement],0)),"?")="Yes",$J346=""),"Reason needed",IF($A346&lt;_xlfn.MINIFS(tblShipment[Arrival Date],tblShipment[Shipment No],$B346),"Date before arrival",IF(AND($E346&lt;&gt;"",COUNTIFS(tblShipment[Shipment No],$B346,tblShipment[Item Name],$E346)=0),"Item not in this shipment","OK")))))))))))))))))</f>
        <v>OK</v>
      </c>
    </row>
    <row r="347" customFormat="false" ht="15" hidden="false" customHeight="false" outlineLevel="0" collapsed="false">
      <c r="A347" s="32" t="n">
        <v>46250</v>
      </c>
      <c r="B347" s="31" t="s">
        <v>167</v>
      </c>
      <c r="C347" s="31" t="s">
        <v>79</v>
      </c>
      <c r="D347" s="34" t="str">
        <f aca="false">IF($C347="","",IFERROR(IF(IFERROR(INDEX(tblMoveTypes[In / Out],MATCH($C347,tblMoveTypes[Movement],0)),"?")="IN","IN   ",IF(IFERROR(INDEX(tblMoveTypes[In / Out],MATCH($C347,tblMoveTypes[Movement],0)),"?")="OUT","OUT   ","--   "))&amp;"fill: "&amp;IF(IFERROR(INDEX(tblMoveTypes[Item?],MATCH($C347,tblMoveTypes[Movement],0)),"?")="Yes","Item  ","")&amp;IF(AND(IFERROR(INDEX(tblMoveTypes[Qty?],MATCH($C347,tblMoveTypes[Movement],0)),"?")="Yes",IFERROR(INDEX(tblMoveTypes[In / Out],MATCH($C347,tblMoveTypes[Movement],0)),"?")="IN"),"In  ","")&amp;IF(AND(IFERROR(INDEX(tblMoveTypes[Qty?],MATCH($C347,tblMoveTypes[Movement],0)),"?")="Yes",IFERROR(INDEX(tblMoveTypes[In / Out],MATCH($C347,tblMoveTypes[Movement],0)),"?")="OUT"),"Out  ","")&amp;IF(IFERROR(INDEX(tblMoveTypes[Orders?],MATCH($C347,tblMoveTypes[Movement],0)),"?")="Yes","Orders  ","")&amp;IF(IFERROR(INDEX(tblMoveTypes[Courier?],MATCH($C347,tblMoveTypes[Movement],0)),"?")="Yes","Courier  ","")&amp;IF(IFERROR(INDEX(tblMoveTypes[Reason?],MATCH($C347,tblMoveTypes[Movement],0)),"?")="Yes","Reason",""),"unknown movement"))</f>
        <v>IN   fill: Item  In  </v>
      </c>
      <c r="E347" s="31" t="s">
        <v>117</v>
      </c>
      <c r="F347" s="33" t="n">
        <v>20</v>
      </c>
      <c r="G347" s="33"/>
      <c r="H347" s="33"/>
      <c r="I347" s="31"/>
      <c r="J347" s="31"/>
      <c r="K347" s="31"/>
      <c r="L347" s="31"/>
      <c r="M347" s="34" t="str">
        <f aca="false">IF($E347="","",IFERROR(INDEX(tblItems[Item Code],MATCH($E347,tblItems[Item Name],0)),"?"))</f>
        <v>EG-FG-MNG-06-02-01-01</v>
      </c>
      <c r="N347" s="34" t="str">
        <f aca="false">IF($B347="","",IFERROR(INDEX(tblShipment[Market],MATCH($B347,tblShipment[Shipment No],0)),"?"))</f>
        <v>Qatar</v>
      </c>
      <c r="O347" s="35" t="n">
        <f aca="false">N($F347)+N($G347)</f>
        <v>20</v>
      </c>
      <c r="P347" s="34" t="str">
        <f aca="false">IF($A347="","",IF($L347="Yes","VOID",IF(COUNTIFS(tblMoveTypes[Movement],$C347)=0,"Unknown movement",IF(COUNTIF(tblShipment[Shipment No],$B347)=0,"Unknown shipment",IF(AND(IFERROR(INDEX(tblMoveTypes[Item?],MATCH($C347,tblMoveTypes[Movement],0)),"?")="Yes",$E347=""),"Item needed",IF(AND(IFERROR(INDEX(tblMoveTypes[Item?],MATCH($C347,tblMoveTypes[Movement],0)),"?")="No",$E347&lt;&gt;""),"Leave Item blank",IF(AND(IFERROR(INDEX(tblMoveTypes[In / Out],MATCH($C347,tblMoveTypes[Movement],0)),"?")="IN",$G347&lt;&gt;""),"Use the In column, not Out",IF(AND(IFERROR(INDEX(tblMoveTypes[In / Out],MATCH($C347,tblMoveTypes[Movement],0)),"?")="OUT",$F347&lt;&gt;""),"Use the Out column, not In",IF(AND(IFERROR(INDEX(tblMoveTypes[Qty?],MATCH($C347,tblMoveTypes[Movement],0)),"?")="Yes",N($F347)+N($G347)&lt;=0),"Qty needed",IF(AND(IFERROR(INDEX(tblMoveTypes[Qty?],MATCH($C347,tblMoveTypes[Movement],0)),"?")="No",N($F347)+N($G347)&gt;0),"Leave In and Out blank",IF(AND(IFERROR(INDEX(tblMoveTypes[Courier?],MATCH($C347,tblMoveTypes[Movement],0)),"?")="Yes",$I347=""),"Courier needed",IF(AND(IFERROR(INDEX(tblMoveTypes[Courier?],MATCH($C347,tblMoveTypes[Movement],0)),"?")="No",$I347&lt;&gt;""),"Leave Courier blank",IF(AND(IFERROR(INDEX(tblMoveTypes[Orders?],MATCH($C347,tblMoveTypes[Movement],0)),"?")="Yes",$H347=""),"Orders needed",IF(AND(IFERROR(INDEX(tblMoveTypes[Orders?],MATCH($C347,tblMoveTypes[Movement],0)),"?")="No",$H347&lt;&gt;""),"Leave Orders blank",IF(AND(IFERROR(INDEX(tblMoveTypes[Reason?],MATCH($C347,tblMoveTypes[Movement],0)),"?")="Yes",$J347=""),"Reason needed",IF($A347&lt;_xlfn.MINIFS(tblShipment[Arrival Date],tblShipment[Shipment No],$B347),"Date before arrival",IF(AND($E347&lt;&gt;"",COUNTIFS(tblShipment[Shipment No],$B347,tblShipment[Item Name],$E347)=0),"Item not in this shipment","OK")))))))))))))))))</f>
        <v>OK</v>
      </c>
    </row>
    <row r="348" customFormat="false" ht="15" hidden="false" customHeight="false" outlineLevel="0" collapsed="false">
      <c r="A348" s="32" t="n">
        <v>46250</v>
      </c>
      <c r="B348" s="31" t="s">
        <v>167</v>
      </c>
      <c r="C348" s="31" t="s">
        <v>103</v>
      </c>
      <c r="D348" s="34" t="str">
        <f aca="false">IF($C348="","",IFERROR(IF(IFERROR(INDEX(tblMoveTypes[In / Out],MATCH($C348,tblMoveTypes[Movement],0)),"?")="IN","IN   ",IF(IFERROR(INDEX(tblMoveTypes[In / Out],MATCH($C348,tblMoveTypes[Movement],0)),"?")="OUT","OUT   ","--   "))&amp;"fill: "&amp;IF(IFERROR(INDEX(tblMoveTypes[Item?],MATCH($C348,tblMoveTypes[Movement],0)),"?")="Yes","Item  ","")&amp;IF(AND(IFERROR(INDEX(tblMoveTypes[Qty?],MATCH($C348,tblMoveTypes[Movement],0)),"?")="Yes",IFERROR(INDEX(tblMoveTypes[In / Out],MATCH($C348,tblMoveTypes[Movement],0)),"?")="IN"),"In  ","")&amp;IF(AND(IFERROR(INDEX(tblMoveTypes[Qty?],MATCH($C348,tblMoveTypes[Movement],0)),"?")="Yes",IFERROR(INDEX(tblMoveTypes[In / Out],MATCH($C348,tblMoveTypes[Movement],0)),"?")="OUT"),"Out  ","")&amp;IF(IFERROR(INDEX(tblMoveTypes[Orders?],MATCH($C348,tblMoveTypes[Movement],0)),"?")="Yes","Orders  ","")&amp;IF(IFERROR(INDEX(tblMoveTypes[Courier?],MATCH($C348,tblMoveTypes[Movement],0)),"?")="Yes","Courier  ","")&amp;IF(IFERROR(INDEX(tblMoveTypes[Reason?],MATCH($C348,tblMoveTypes[Movement],0)),"?")="Yes","Reason",""),"unknown movement"))</f>
        <v>--   fill: Orders  </v>
      </c>
      <c r="E348" s="31"/>
      <c r="F348" s="33"/>
      <c r="G348" s="33"/>
      <c r="H348" s="33" t="n">
        <v>186</v>
      </c>
      <c r="I348" s="31"/>
      <c r="J348" s="31"/>
      <c r="K348" s="31"/>
      <c r="L348" s="31"/>
      <c r="M348" s="34" t="str">
        <f aca="false">IF($E348="","",IFERROR(INDEX(tblItems[Item Code],MATCH($E348,tblItems[Item Name],0)),"?"))</f>
        <v/>
      </c>
      <c r="N348" s="34" t="str">
        <f aca="false">IF($B348="","",IFERROR(INDEX(tblShipment[Market],MATCH($B348,tblShipment[Shipment No],0)),"?"))</f>
        <v>Qatar</v>
      </c>
      <c r="O348" s="35" t="n">
        <f aca="false">N($F348)+N($G348)</f>
        <v>0</v>
      </c>
      <c r="P348" s="34" t="str">
        <f aca="false">IF($A348="","",IF($L348="Yes","VOID",IF(COUNTIFS(tblMoveTypes[Movement],$C348)=0,"Unknown movement",IF(COUNTIF(tblShipment[Shipment No],$B348)=0,"Unknown shipment",IF(AND(IFERROR(INDEX(tblMoveTypes[Item?],MATCH($C348,tblMoveTypes[Movement],0)),"?")="Yes",$E348=""),"Item needed",IF(AND(IFERROR(INDEX(tblMoveTypes[Item?],MATCH($C348,tblMoveTypes[Movement],0)),"?")="No",$E348&lt;&gt;""),"Leave Item blank",IF(AND(IFERROR(INDEX(tblMoveTypes[In / Out],MATCH($C348,tblMoveTypes[Movement],0)),"?")="IN",$G348&lt;&gt;""),"Use the In column, not Out",IF(AND(IFERROR(INDEX(tblMoveTypes[In / Out],MATCH($C348,tblMoveTypes[Movement],0)),"?")="OUT",$F348&lt;&gt;""),"Use the Out column, not In",IF(AND(IFERROR(INDEX(tblMoveTypes[Qty?],MATCH($C348,tblMoveTypes[Movement],0)),"?")="Yes",N($F348)+N($G348)&lt;=0),"Qty needed",IF(AND(IFERROR(INDEX(tblMoveTypes[Qty?],MATCH($C348,tblMoveTypes[Movement],0)),"?")="No",N($F348)+N($G348)&gt;0),"Leave In and Out blank",IF(AND(IFERROR(INDEX(tblMoveTypes[Courier?],MATCH($C348,tblMoveTypes[Movement],0)),"?")="Yes",$I348=""),"Courier needed",IF(AND(IFERROR(INDEX(tblMoveTypes[Courier?],MATCH($C348,tblMoveTypes[Movement],0)),"?")="No",$I348&lt;&gt;""),"Leave Courier blank",IF(AND(IFERROR(INDEX(tblMoveTypes[Orders?],MATCH($C348,tblMoveTypes[Movement],0)),"?")="Yes",$H348=""),"Orders needed",IF(AND(IFERROR(INDEX(tblMoveTypes[Orders?],MATCH($C348,tblMoveTypes[Movement],0)),"?")="No",$H348&lt;&gt;""),"Leave Orders blank",IF(AND(IFERROR(INDEX(tblMoveTypes[Reason?],MATCH($C348,tblMoveTypes[Movement],0)),"?")="Yes",$J348=""),"Reason needed",IF($A348&lt;_xlfn.MINIFS(tblShipment[Arrival Date],tblShipment[Shipment No],$B348),"Date before arrival",IF(AND($E348&lt;&gt;"",COUNTIFS(tblShipment[Shipment No],$B348,tblShipment[Item Name],$E348)=0),"Item not in this shipment","OK")))))))))))))))))</f>
        <v>OK</v>
      </c>
    </row>
    <row r="349" customFormat="false" ht="15" hidden="false" customHeight="false" outlineLevel="0" collapsed="false">
      <c r="A349" s="32" t="n">
        <v>46250</v>
      </c>
      <c r="B349" s="31" t="s">
        <v>167</v>
      </c>
      <c r="C349" s="31" t="s">
        <v>98</v>
      </c>
      <c r="D349" s="34" t="str">
        <f aca="false">IF($C349="","",IFERROR(IF(IFERROR(INDEX(tblMoveTypes[In / Out],MATCH($C349,tblMoveTypes[Movement],0)),"?")="IN","IN   ",IF(IFERROR(INDEX(tblMoveTypes[In / Out],MATCH($C349,tblMoveTypes[Movement],0)),"?")="OUT","OUT   ","--   "))&amp;"fill: "&amp;IF(IFERROR(INDEX(tblMoveTypes[Item?],MATCH($C349,tblMoveTypes[Movement],0)),"?")="Yes","Item  ","")&amp;IF(AND(IFERROR(INDEX(tblMoveTypes[Qty?],MATCH($C349,tblMoveTypes[Movement],0)),"?")="Yes",IFERROR(INDEX(tblMoveTypes[In / Out],MATCH($C349,tblMoveTypes[Movement],0)),"?")="IN"),"In  ","")&amp;IF(AND(IFERROR(INDEX(tblMoveTypes[Qty?],MATCH($C349,tblMoveTypes[Movement],0)),"?")="Yes",IFERROR(INDEX(tblMoveTypes[In / Out],MATCH($C349,tblMoveTypes[Movement],0)),"?")="OUT"),"Out  ","")&amp;IF(IFERROR(INDEX(tblMoveTypes[Orders?],MATCH($C349,tblMoveTypes[Movement],0)),"?")="Yes","Orders  ","")&amp;IF(IFERROR(INDEX(tblMoveTypes[Courier?],MATCH($C349,tblMoveTypes[Movement],0)),"?")="Yes","Courier  ","")&amp;IF(IFERROR(INDEX(tblMoveTypes[Reason?],MATCH($C349,tblMoveTypes[Movement],0)),"?")="Yes","Reason",""),"unknown movement"))</f>
        <v>OUT   fill: Item  Out  Courier  </v>
      </c>
      <c r="E349" s="31" t="s">
        <v>112</v>
      </c>
      <c r="F349" s="33"/>
      <c r="G349" s="33" t="n">
        <v>22</v>
      </c>
      <c r="H349" s="33"/>
      <c r="I349" s="31" t="s">
        <v>76</v>
      </c>
      <c r="J349" s="31"/>
      <c r="K349" s="31"/>
      <c r="L349" s="31"/>
      <c r="M349" s="34" t="str">
        <f aca="false">IF($E349="","",IFERROR(INDEX(tblItems[Item Code],MATCH($E349,tblItems[Item Name],0)),"?"))</f>
        <v>BOX-TRIO-01</v>
      </c>
      <c r="N349" s="34" t="str">
        <f aca="false">IF($B349="","",IFERROR(INDEX(tblShipment[Market],MATCH($B349,tblShipment[Shipment No],0)),"?"))</f>
        <v>Qatar</v>
      </c>
      <c r="O349" s="35" t="n">
        <f aca="false">N($F349)+N($G349)</f>
        <v>22</v>
      </c>
      <c r="P349" s="34" t="str">
        <f aca="false">IF($A349="","",IF($L349="Yes","VOID",IF(COUNTIFS(tblMoveTypes[Movement],$C349)=0,"Unknown movement",IF(COUNTIF(tblShipment[Shipment No],$B349)=0,"Unknown shipment",IF(AND(IFERROR(INDEX(tblMoveTypes[Item?],MATCH($C349,tblMoveTypes[Movement],0)),"?")="Yes",$E349=""),"Item needed",IF(AND(IFERROR(INDEX(tblMoveTypes[Item?],MATCH($C349,tblMoveTypes[Movement],0)),"?")="No",$E349&lt;&gt;""),"Leave Item blank",IF(AND(IFERROR(INDEX(tblMoveTypes[In / Out],MATCH($C349,tblMoveTypes[Movement],0)),"?")="IN",$G349&lt;&gt;""),"Use the In column, not Out",IF(AND(IFERROR(INDEX(tblMoveTypes[In / Out],MATCH($C349,tblMoveTypes[Movement],0)),"?")="OUT",$F349&lt;&gt;""),"Use the Out column, not In",IF(AND(IFERROR(INDEX(tblMoveTypes[Qty?],MATCH($C349,tblMoveTypes[Movement],0)),"?")="Yes",N($F349)+N($G349)&lt;=0),"Qty needed",IF(AND(IFERROR(INDEX(tblMoveTypes[Qty?],MATCH($C349,tblMoveTypes[Movement],0)),"?")="No",N($F349)+N($G349)&gt;0),"Leave In and Out blank",IF(AND(IFERROR(INDEX(tblMoveTypes[Courier?],MATCH($C349,tblMoveTypes[Movement],0)),"?")="Yes",$I349=""),"Courier needed",IF(AND(IFERROR(INDEX(tblMoveTypes[Courier?],MATCH($C349,tblMoveTypes[Movement],0)),"?")="No",$I349&lt;&gt;""),"Leave Courier blank",IF(AND(IFERROR(INDEX(tblMoveTypes[Orders?],MATCH($C349,tblMoveTypes[Movement],0)),"?")="Yes",$H349=""),"Orders needed",IF(AND(IFERROR(INDEX(tblMoveTypes[Orders?],MATCH($C349,tblMoveTypes[Movement],0)),"?")="No",$H349&lt;&gt;""),"Leave Orders blank",IF(AND(IFERROR(INDEX(tblMoveTypes[Reason?],MATCH($C349,tblMoveTypes[Movement],0)),"?")="Yes",$J349=""),"Reason needed",IF($A349&lt;_xlfn.MINIFS(tblShipment[Arrival Date],tblShipment[Shipment No],$B349),"Date before arrival",IF(AND($E349&lt;&gt;"",COUNTIFS(tblShipment[Shipment No],$B349,tblShipment[Item Name],$E349)=0),"Item not in this shipment","OK")))))))))))))))))</f>
        <v>OK</v>
      </c>
    </row>
    <row r="350" customFormat="false" ht="15" hidden="false" customHeight="false" outlineLevel="0" collapsed="false">
      <c r="A350" s="32" t="n">
        <v>46250</v>
      </c>
      <c r="B350" s="31" t="s">
        <v>167</v>
      </c>
      <c r="C350" s="31" t="s">
        <v>98</v>
      </c>
      <c r="D350" s="34" t="str">
        <f aca="false">IF($C350="","",IFERROR(IF(IFERROR(INDEX(tblMoveTypes[In / Out],MATCH($C350,tblMoveTypes[Movement],0)),"?")="IN","IN   ",IF(IFERROR(INDEX(tblMoveTypes[In / Out],MATCH($C350,tblMoveTypes[Movement],0)),"?")="OUT","OUT   ","--   "))&amp;"fill: "&amp;IF(IFERROR(INDEX(tblMoveTypes[Item?],MATCH($C350,tblMoveTypes[Movement],0)),"?")="Yes","Item  ","")&amp;IF(AND(IFERROR(INDEX(tblMoveTypes[Qty?],MATCH($C350,tblMoveTypes[Movement],0)),"?")="Yes",IFERROR(INDEX(tblMoveTypes[In / Out],MATCH($C350,tblMoveTypes[Movement],0)),"?")="IN"),"In  ","")&amp;IF(AND(IFERROR(INDEX(tblMoveTypes[Qty?],MATCH($C350,tblMoveTypes[Movement],0)),"?")="Yes",IFERROR(INDEX(tblMoveTypes[In / Out],MATCH($C350,tblMoveTypes[Movement],0)),"?")="OUT"),"Out  ","")&amp;IF(IFERROR(INDEX(tblMoveTypes[Orders?],MATCH($C350,tblMoveTypes[Movement],0)),"?")="Yes","Orders  ","")&amp;IF(IFERROR(INDEX(tblMoveTypes[Courier?],MATCH($C350,tblMoveTypes[Movement],0)),"?")="Yes","Courier  ","")&amp;IF(IFERROR(INDEX(tblMoveTypes[Reason?],MATCH($C350,tblMoveTypes[Movement],0)),"?")="Yes","Reason",""),"unknown movement"))</f>
        <v>OUT   fill: Item  Out  Courier  </v>
      </c>
      <c r="E350" s="31" t="s">
        <v>122</v>
      </c>
      <c r="F350" s="33"/>
      <c r="G350" s="33" t="n">
        <v>20</v>
      </c>
      <c r="H350" s="33"/>
      <c r="I350" s="31" t="s">
        <v>76</v>
      </c>
      <c r="J350" s="31"/>
      <c r="K350" s="31"/>
      <c r="L350" s="31"/>
      <c r="M350" s="34" t="str">
        <f aca="false">IF($E350="","",IFERROR(INDEX(tblItems[Item Code],MATCH($E350,tblItems[Item Name],0)),"?"))</f>
        <v>EG-FG-GRP-01-02-01-01</v>
      </c>
      <c r="N350" s="34" t="str">
        <f aca="false">IF($B350="","",IFERROR(INDEX(tblShipment[Market],MATCH($B350,tblShipment[Shipment No],0)),"?"))</f>
        <v>Qatar</v>
      </c>
      <c r="O350" s="35" t="n">
        <f aca="false">N($F350)+N($G350)</f>
        <v>20</v>
      </c>
      <c r="P350" s="34" t="str">
        <f aca="false">IF($A350="","",IF($L350="Yes","VOID",IF(COUNTIFS(tblMoveTypes[Movement],$C350)=0,"Unknown movement",IF(COUNTIF(tblShipment[Shipment No],$B350)=0,"Unknown shipment",IF(AND(IFERROR(INDEX(tblMoveTypes[Item?],MATCH($C350,tblMoveTypes[Movement],0)),"?")="Yes",$E350=""),"Item needed",IF(AND(IFERROR(INDEX(tblMoveTypes[Item?],MATCH($C350,tblMoveTypes[Movement],0)),"?")="No",$E350&lt;&gt;""),"Leave Item blank",IF(AND(IFERROR(INDEX(tblMoveTypes[In / Out],MATCH($C350,tblMoveTypes[Movement],0)),"?")="IN",$G350&lt;&gt;""),"Use the In column, not Out",IF(AND(IFERROR(INDEX(tblMoveTypes[In / Out],MATCH($C350,tblMoveTypes[Movement],0)),"?")="OUT",$F350&lt;&gt;""),"Use the Out column, not In",IF(AND(IFERROR(INDEX(tblMoveTypes[Qty?],MATCH($C350,tblMoveTypes[Movement],0)),"?")="Yes",N($F350)+N($G350)&lt;=0),"Qty needed",IF(AND(IFERROR(INDEX(tblMoveTypes[Qty?],MATCH($C350,tblMoveTypes[Movement],0)),"?")="No",N($F350)+N($G350)&gt;0),"Leave In and Out blank",IF(AND(IFERROR(INDEX(tblMoveTypes[Courier?],MATCH($C350,tblMoveTypes[Movement],0)),"?")="Yes",$I350=""),"Courier needed",IF(AND(IFERROR(INDEX(tblMoveTypes[Courier?],MATCH($C350,tblMoveTypes[Movement],0)),"?")="No",$I350&lt;&gt;""),"Leave Courier blank",IF(AND(IFERROR(INDEX(tblMoveTypes[Orders?],MATCH($C350,tblMoveTypes[Movement],0)),"?")="Yes",$H350=""),"Orders needed",IF(AND(IFERROR(INDEX(tblMoveTypes[Orders?],MATCH($C350,tblMoveTypes[Movement],0)),"?")="No",$H350&lt;&gt;""),"Leave Orders blank",IF(AND(IFERROR(INDEX(tblMoveTypes[Reason?],MATCH($C350,tblMoveTypes[Movement],0)),"?")="Yes",$J350=""),"Reason needed",IF($A350&lt;_xlfn.MINIFS(tblShipment[Arrival Date],tblShipment[Shipment No],$B350),"Date before arrival",IF(AND($E350&lt;&gt;"",COUNTIFS(tblShipment[Shipment No],$B350,tblShipment[Item Name],$E350)=0),"Item not in this shipment","OK")))))))))))))))))</f>
        <v>OK</v>
      </c>
    </row>
    <row r="351" customFormat="false" ht="15" hidden="false" customHeight="false" outlineLevel="0" collapsed="false">
      <c r="A351" s="32" t="n">
        <v>46250</v>
      </c>
      <c r="B351" s="31" t="s">
        <v>167</v>
      </c>
      <c r="C351" s="31" t="s">
        <v>98</v>
      </c>
      <c r="D351" s="34" t="str">
        <f aca="false">IF($C351="","",IFERROR(IF(IFERROR(INDEX(tblMoveTypes[In / Out],MATCH($C351,tblMoveTypes[Movement],0)),"?")="IN","IN   ",IF(IFERROR(INDEX(tblMoveTypes[In / Out],MATCH($C351,tblMoveTypes[Movement],0)),"?")="OUT","OUT   ","--   "))&amp;"fill: "&amp;IF(IFERROR(INDEX(tblMoveTypes[Item?],MATCH($C351,tblMoveTypes[Movement],0)),"?")="Yes","Item  ","")&amp;IF(AND(IFERROR(INDEX(tblMoveTypes[Qty?],MATCH($C351,tblMoveTypes[Movement],0)),"?")="Yes",IFERROR(INDEX(tblMoveTypes[In / Out],MATCH($C351,tblMoveTypes[Movement],0)),"?")="IN"),"In  ","")&amp;IF(AND(IFERROR(INDEX(tblMoveTypes[Qty?],MATCH($C351,tblMoveTypes[Movement],0)),"?")="Yes",IFERROR(INDEX(tblMoveTypes[In / Out],MATCH($C351,tblMoveTypes[Movement],0)),"?")="OUT"),"Out  ","")&amp;IF(IFERROR(INDEX(tblMoveTypes[Orders?],MATCH($C351,tblMoveTypes[Movement],0)),"?")="Yes","Orders  ","")&amp;IF(IFERROR(INDEX(tblMoveTypes[Courier?],MATCH($C351,tblMoveTypes[Movement],0)),"?")="Yes","Courier  ","")&amp;IF(IFERROR(INDEX(tblMoveTypes[Reason?],MATCH($C351,tblMoveTypes[Movement],0)),"?")="Yes","Reason",""),"unknown movement"))</f>
        <v>OUT   fill: Item  Out  Courier  </v>
      </c>
      <c r="E351" s="31" t="s">
        <v>91</v>
      </c>
      <c r="F351" s="33"/>
      <c r="G351" s="33" t="n">
        <v>78</v>
      </c>
      <c r="H351" s="33"/>
      <c r="I351" s="31" t="s">
        <v>76</v>
      </c>
      <c r="J351" s="31"/>
      <c r="K351" s="31"/>
      <c r="L351" s="31"/>
      <c r="M351" s="34" t="str">
        <f aca="false">IF($E351="","",IFERROR(INDEX(tblItems[Item Code],MATCH($E351,tblItems[Item Name],0)),"?"))</f>
        <v>EG-FG-FIG-01-02-01-01</v>
      </c>
      <c r="N351" s="34" t="str">
        <f aca="false">IF($B351="","",IFERROR(INDEX(tblShipment[Market],MATCH($B351,tblShipment[Shipment No],0)),"?"))</f>
        <v>Qatar</v>
      </c>
      <c r="O351" s="35" t="n">
        <f aca="false">N($F351)+N($G351)</f>
        <v>78</v>
      </c>
      <c r="P351" s="34" t="str">
        <f aca="false">IF($A351="","",IF($L351="Yes","VOID",IF(COUNTIFS(tblMoveTypes[Movement],$C351)=0,"Unknown movement",IF(COUNTIF(tblShipment[Shipment No],$B351)=0,"Unknown shipment",IF(AND(IFERROR(INDEX(tblMoveTypes[Item?],MATCH($C351,tblMoveTypes[Movement],0)),"?")="Yes",$E351=""),"Item needed",IF(AND(IFERROR(INDEX(tblMoveTypes[Item?],MATCH($C351,tblMoveTypes[Movement],0)),"?")="No",$E351&lt;&gt;""),"Leave Item blank",IF(AND(IFERROR(INDEX(tblMoveTypes[In / Out],MATCH($C351,tblMoveTypes[Movement],0)),"?")="IN",$G351&lt;&gt;""),"Use the In column, not Out",IF(AND(IFERROR(INDEX(tblMoveTypes[In / Out],MATCH($C351,tblMoveTypes[Movement],0)),"?")="OUT",$F351&lt;&gt;""),"Use the Out column, not In",IF(AND(IFERROR(INDEX(tblMoveTypes[Qty?],MATCH($C351,tblMoveTypes[Movement],0)),"?")="Yes",N($F351)+N($G351)&lt;=0),"Qty needed",IF(AND(IFERROR(INDEX(tblMoveTypes[Qty?],MATCH($C351,tblMoveTypes[Movement],0)),"?")="No",N($F351)+N($G351)&gt;0),"Leave In and Out blank",IF(AND(IFERROR(INDEX(tblMoveTypes[Courier?],MATCH($C351,tblMoveTypes[Movement],0)),"?")="Yes",$I351=""),"Courier needed",IF(AND(IFERROR(INDEX(tblMoveTypes[Courier?],MATCH($C351,tblMoveTypes[Movement],0)),"?")="No",$I351&lt;&gt;""),"Leave Courier blank",IF(AND(IFERROR(INDEX(tblMoveTypes[Orders?],MATCH($C351,tblMoveTypes[Movement],0)),"?")="Yes",$H351=""),"Orders needed",IF(AND(IFERROR(INDEX(tblMoveTypes[Orders?],MATCH($C351,tblMoveTypes[Movement],0)),"?")="No",$H351&lt;&gt;""),"Leave Orders blank",IF(AND(IFERROR(INDEX(tblMoveTypes[Reason?],MATCH($C351,tblMoveTypes[Movement],0)),"?")="Yes",$J351=""),"Reason needed",IF($A351&lt;_xlfn.MINIFS(tblShipment[Arrival Date],tblShipment[Shipment No],$B351),"Date before arrival",IF(AND($E351&lt;&gt;"",COUNTIFS(tblShipment[Shipment No],$B351,tblShipment[Item Name],$E351)=0),"Item not in this shipment","OK")))))))))))))))))</f>
        <v>OK</v>
      </c>
    </row>
    <row r="352" customFormat="false" ht="15" hidden="false" customHeight="false" outlineLevel="0" collapsed="false">
      <c r="A352" s="32" t="n">
        <v>46250</v>
      </c>
      <c r="B352" s="31" t="s">
        <v>167</v>
      </c>
      <c r="C352" s="31" t="s">
        <v>98</v>
      </c>
      <c r="D352" s="34" t="str">
        <f aca="false">IF($C352="","",IFERROR(IF(IFERROR(INDEX(tblMoveTypes[In / Out],MATCH($C352,tblMoveTypes[Movement],0)),"?")="IN","IN   ",IF(IFERROR(INDEX(tblMoveTypes[In / Out],MATCH($C352,tblMoveTypes[Movement],0)),"?")="OUT","OUT   ","--   "))&amp;"fill: "&amp;IF(IFERROR(INDEX(tblMoveTypes[Item?],MATCH($C352,tblMoveTypes[Movement],0)),"?")="Yes","Item  ","")&amp;IF(AND(IFERROR(INDEX(tblMoveTypes[Qty?],MATCH($C352,tblMoveTypes[Movement],0)),"?")="Yes",IFERROR(INDEX(tblMoveTypes[In / Out],MATCH($C352,tblMoveTypes[Movement],0)),"?")="IN"),"In  ","")&amp;IF(AND(IFERROR(INDEX(tblMoveTypes[Qty?],MATCH($C352,tblMoveTypes[Movement],0)),"?")="Yes",IFERROR(INDEX(tblMoveTypes[In / Out],MATCH($C352,tblMoveTypes[Movement],0)),"?")="OUT"),"Out  ","")&amp;IF(IFERROR(INDEX(tblMoveTypes[Orders?],MATCH($C352,tblMoveTypes[Movement],0)),"?")="Yes","Orders  ","")&amp;IF(IFERROR(INDEX(tblMoveTypes[Courier?],MATCH($C352,tblMoveTypes[Movement],0)),"?")="Yes","Courier  ","")&amp;IF(IFERROR(INDEX(tblMoveTypes[Reason?],MATCH($C352,tblMoveTypes[Movement],0)),"?")="Yes","Reason",""),"unknown movement"))</f>
        <v>OUT   fill: Item  Out  Courier  </v>
      </c>
      <c r="E352" s="31" t="s">
        <v>72</v>
      </c>
      <c r="F352" s="33"/>
      <c r="G352" s="33" t="n">
        <v>97</v>
      </c>
      <c r="H352" s="33"/>
      <c r="I352" s="31" t="s">
        <v>76</v>
      </c>
      <c r="J352" s="31"/>
      <c r="K352" s="31"/>
      <c r="L352" s="31"/>
      <c r="M352" s="34" t="str">
        <f aca="false">IF($E352="","",IFERROR(INDEX(tblItems[Item Code],MATCH($E352,tblItems[Item Name],0)),"?"))</f>
        <v>EG-FG-MNG-05-02-01-01</v>
      </c>
      <c r="N352" s="34" t="str">
        <f aca="false">IF($B352="","",IFERROR(INDEX(tblShipment[Market],MATCH($B352,tblShipment[Shipment No],0)),"?"))</f>
        <v>Qatar</v>
      </c>
      <c r="O352" s="35" t="n">
        <f aca="false">N($F352)+N($G352)</f>
        <v>97</v>
      </c>
      <c r="P352" s="34" t="str">
        <f aca="false">IF($A352="","",IF($L352="Yes","VOID",IF(COUNTIFS(tblMoveTypes[Movement],$C352)=0,"Unknown movement",IF(COUNTIF(tblShipment[Shipment No],$B352)=0,"Unknown shipment",IF(AND(IFERROR(INDEX(tblMoveTypes[Item?],MATCH($C352,tblMoveTypes[Movement],0)),"?")="Yes",$E352=""),"Item needed",IF(AND(IFERROR(INDEX(tblMoveTypes[Item?],MATCH($C352,tblMoveTypes[Movement],0)),"?")="No",$E352&lt;&gt;""),"Leave Item blank",IF(AND(IFERROR(INDEX(tblMoveTypes[In / Out],MATCH($C352,tblMoveTypes[Movement],0)),"?")="IN",$G352&lt;&gt;""),"Use the In column, not Out",IF(AND(IFERROR(INDEX(tblMoveTypes[In / Out],MATCH($C352,tblMoveTypes[Movement],0)),"?")="OUT",$F352&lt;&gt;""),"Use the Out column, not In",IF(AND(IFERROR(INDEX(tblMoveTypes[Qty?],MATCH($C352,tblMoveTypes[Movement],0)),"?")="Yes",N($F352)+N($G352)&lt;=0),"Qty needed",IF(AND(IFERROR(INDEX(tblMoveTypes[Qty?],MATCH($C352,tblMoveTypes[Movement],0)),"?")="No",N($F352)+N($G352)&gt;0),"Leave In and Out blank",IF(AND(IFERROR(INDEX(tblMoveTypes[Courier?],MATCH($C352,tblMoveTypes[Movement],0)),"?")="Yes",$I352=""),"Courier needed",IF(AND(IFERROR(INDEX(tblMoveTypes[Courier?],MATCH($C352,tblMoveTypes[Movement],0)),"?")="No",$I352&lt;&gt;""),"Leave Courier blank",IF(AND(IFERROR(INDEX(tblMoveTypes[Orders?],MATCH($C352,tblMoveTypes[Movement],0)),"?")="Yes",$H352=""),"Orders needed",IF(AND(IFERROR(INDEX(tblMoveTypes[Orders?],MATCH($C352,tblMoveTypes[Movement],0)),"?")="No",$H352&lt;&gt;""),"Leave Orders blank",IF(AND(IFERROR(INDEX(tblMoveTypes[Reason?],MATCH($C352,tblMoveTypes[Movement],0)),"?")="Yes",$J352=""),"Reason needed",IF($A352&lt;_xlfn.MINIFS(tblShipment[Arrival Date],tblShipment[Shipment No],$B352),"Date before arrival",IF(AND($E352&lt;&gt;"",COUNTIFS(tblShipment[Shipment No],$B352,tblShipment[Item Name],$E352)=0),"Item not in this shipment","OK")))))))))))))))))</f>
        <v>OK</v>
      </c>
    </row>
    <row r="353" customFormat="false" ht="15" hidden="false" customHeight="false" outlineLevel="0" collapsed="false">
      <c r="A353" s="32" t="n">
        <v>46250</v>
      </c>
      <c r="B353" s="31" t="s">
        <v>167</v>
      </c>
      <c r="C353" s="31" t="s">
        <v>98</v>
      </c>
      <c r="D353" s="34" t="str">
        <f aca="false">IF($C353="","",IFERROR(IF(IFERROR(INDEX(tblMoveTypes[In / Out],MATCH($C353,tblMoveTypes[Movement],0)),"?")="IN","IN   ",IF(IFERROR(INDEX(tblMoveTypes[In / Out],MATCH($C353,tblMoveTypes[Movement],0)),"?")="OUT","OUT   ","--   "))&amp;"fill: "&amp;IF(IFERROR(INDEX(tblMoveTypes[Item?],MATCH($C353,tblMoveTypes[Movement],0)),"?")="Yes","Item  ","")&amp;IF(AND(IFERROR(INDEX(tblMoveTypes[Qty?],MATCH($C353,tblMoveTypes[Movement],0)),"?")="Yes",IFERROR(INDEX(tblMoveTypes[In / Out],MATCH($C353,tblMoveTypes[Movement],0)),"?")="IN"),"In  ","")&amp;IF(AND(IFERROR(INDEX(tblMoveTypes[Qty?],MATCH($C353,tblMoveTypes[Movement],0)),"?")="Yes",IFERROR(INDEX(tblMoveTypes[In / Out],MATCH($C353,tblMoveTypes[Movement],0)),"?")="OUT"),"Out  ","")&amp;IF(IFERROR(INDEX(tblMoveTypes[Orders?],MATCH($C353,tblMoveTypes[Movement],0)),"?")="Yes","Orders  ","")&amp;IF(IFERROR(INDEX(tblMoveTypes[Courier?],MATCH($C353,tblMoveTypes[Movement],0)),"?")="Yes","Courier  ","")&amp;IF(IFERROR(INDEX(tblMoveTypes[Reason?],MATCH($C353,tblMoveTypes[Movement],0)),"?")="Yes","Reason",""),"unknown movement"))</f>
        <v>OUT   fill: Item  Out  Courier  </v>
      </c>
      <c r="E353" s="31" t="s">
        <v>146</v>
      </c>
      <c r="F353" s="33"/>
      <c r="G353" s="33" t="n">
        <v>20</v>
      </c>
      <c r="H353" s="33"/>
      <c r="I353" s="31" t="s">
        <v>76</v>
      </c>
      <c r="J353" s="31"/>
      <c r="K353" s="31"/>
      <c r="L353" s="31"/>
      <c r="M353" s="34" t="str">
        <f aca="false">IF($E353="","",IFERROR(INDEX(tblItems[Item Code],MATCH($E353,tblItems[Item Name],0)),"?"))</f>
        <v>EG-FG-MNG-19-02-01-01</v>
      </c>
      <c r="N353" s="34" t="str">
        <f aca="false">IF($B353="","",IFERROR(INDEX(tblShipment[Market],MATCH($B353,tblShipment[Shipment No],0)),"?"))</f>
        <v>Qatar</v>
      </c>
      <c r="O353" s="35" t="n">
        <f aca="false">N($F353)+N($G353)</f>
        <v>20</v>
      </c>
      <c r="P353" s="34" t="str">
        <f aca="false">IF($A353="","",IF($L353="Yes","VOID",IF(COUNTIFS(tblMoveTypes[Movement],$C353)=0,"Unknown movement",IF(COUNTIF(tblShipment[Shipment No],$B353)=0,"Unknown shipment",IF(AND(IFERROR(INDEX(tblMoveTypes[Item?],MATCH($C353,tblMoveTypes[Movement],0)),"?")="Yes",$E353=""),"Item needed",IF(AND(IFERROR(INDEX(tblMoveTypes[Item?],MATCH($C353,tblMoveTypes[Movement],0)),"?")="No",$E353&lt;&gt;""),"Leave Item blank",IF(AND(IFERROR(INDEX(tblMoveTypes[In / Out],MATCH($C353,tblMoveTypes[Movement],0)),"?")="IN",$G353&lt;&gt;""),"Use the In column, not Out",IF(AND(IFERROR(INDEX(tblMoveTypes[In / Out],MATCH($C353,tblMoveTypes[Movement],0)),"?")="OUT",$F353&lt;&gt;""),"Use the Out column, not In",IF(AND(IFERROR(INDEX(tblMoveTypes[Qty?],MATCH($C353,tblMoveTypes[Movement],0)),"?")="Yes",N($F353)+N($G353)&lt;=0),"Qty needed",IF(AND(IFERROR(INDEX(tblMoveTypes[Qty?],MATCH($C353,tblMoveTypes[Movement],0)),"?")="No",N($F353)+N($G353)&gt;0),"Leave In and Out blank",IF(AND(IFERROR(INDEX(tblMoveTypes[Courier?],MATCH($C353,tblMoveTypes[Movement],0)),"?")="Yes",$I353=""),"Courier needed",IF(AND(IFERROR(INDEX(tblMoveTypes[Courier?],MATCH($C353,tblMoveTypes[Movement],0)),"?")="No",$I353&lt;&gt;""),"Leave Courier blank",IF(AND(IFERROR(INDEX(tblMoveTypes[Orders?],MATCH($C353,tblMoveTypes[Movement],0)),"?")="Yes",$H353=""),"Orders needed",IF(AND(IFERROR(INDEX(tblMoveTypes[Orders?],MATCH($C353,tblMoveTypes[Movement],0)),"?")="No",$H353&lt;&gt;""),"Leave Orders blank",IF(AND(IFERROR(INDEX(tblMoveTypes[Reason?],MATCH($C353,tblMoveTypes[Movement],0)),"?")="Yes",$J353=""),"Reason needed",IF($A353&lt;_xlfn.MINIFS(tblShipment[Arrival Date],tblShipment[Shipment No],$B353),"Date before arrival",IF(AND($E353&lt;&gt;"",COUNTIFS(tblShipment[Shipment No],$B353,tblShipment[Item Name],$E353)=0),"Item not in this shipment","OK")))))))))))))))))</f>
        <v>OK</v>
      </c>
    </row>
    <row r="354" customFormat="false" ht="15" hidden="false" customHeight="false" outlineLevel="0" collapsed="false">
      <c r="A354" s="32" t="n">
        <v>46250</v>
      </c>
      <c r="B354" s="31" t="s">
        <v>167</v>
      </c>
      <c r="C354" s="31" t="s">
        <v>98</v>
      </c>
      <c r="D354" s="34" t="str">
        <f aca="false">IF($C354="","",IFERROR(IF(IFERROR(INDEX(tblMoveTypes[In / Out],MATCH($C354,tblMoveTypes[Movement],0)),"?")="IN","IN   ",IF(IFERROR(INDEX(tblMoveTypes[In / Out],MATCH($C354,tblMoveTypes[Movement],0)),"?")="OUT","OUT   ","--   "))&amp;"fill: "&amp;IF(IFERROR(INDEX(tblMoveTypes[Item?],MATCH($C354,tblMoveTypes[Movement],0)),"?")="Yes","Item  ","")&amp;IF(AND(IFERROR(INDEX(tblMoveTypes[Qty?],MATCH($C354,tblMoveTypes[Movement],0)),"?")="Yes",IFERROR(INDEX(tblMoveTypes[In / Out],MATCH($C354,tblMoveTypes[Movement],0)),"?")="IN"),"In  ","")&amp;IF(AND(IFERROR(INDEX(tblMoveTypes[Qty?],MATCH($C354,tblMoveTypes[Movement],0)),"?")="Yes",IFERROR(INDEX(tblMoveTypes[In / Out],MATCH($C354,tblMoveTypes[Movement],0)),"?")="OUT"),"Out  ","")&amp;IF(IFERROR(INDEX(tblMoveTypes[Orders?],MATCH($C354,tblMoveTypes[Movement],0)),"?")="Yes","Orders  ","")&amp;IF(IFERROR(INDEX(tblMoveTypes[Courier?],MATCH($C354,tblMoveTypes[Movement],0)),"?")="Yes","Courier  ","")&amp;IF(IFERROR(INDEX(tblMoveTypes[Reason?],MATCH($C354,tblMoveTypes[Movement],0)),"?")="Yes","Reason",""),"unknown movement"))</f>
        <v>OUT   fill: Item  Out  Courier  </v>
      </c>
      <c r="E354" s="31" t="s">
        <v>84</v>
      </c>
      <c r="F354" s="33"/>
      <c r="G354" s="33" t="n">
        <v>117</v>
      </c>
      <c r="H354" s="33"/>
      <c r="I354" s="31" t="s">
        <v>76</v>
      </c>
      <c r="J354" s="31"/>
      <c r="K354" s="31"/>
      <c r="L354" s="31"/>
      <c r="M354" s="34" t="str">
        <f aca="false">IF($E354="","",IFERROR(INDEX(tblItems[Item Code],MATCH($E354,tblItems[Item Name],0)),"?"))</f>
        <v>EG-FG-MNG-12-02-01-01</v>
      </c>
      <c r="N354" s="34" t="str">
        <f aca="false">IF($B354="","",IFERROR(INDEX(tblShipment[Market],MATCH($B354,tblShipment[Shipment No],0)),"?"))</f>
        <v>Qatar</v>
      </c>
      <c r="O354" s="35" t="n">
        <f aca="false">N($F354)+N($G354)</f>
        <v>117</v>
      </c>
      <c r="P354" s="34" t="str">
        <f aca="false">IF($A354="","",IF($L354="Yes","VOID",IF(COUNTIFS(tblMoveTypes[Movement],$C354)=0,"Unknown movement",IF(COUNTIF(tblShipment[Shipment No],$B354)=0,"Unknown shipment",IF(AND(IFERROR(INDEX(tblMoveTypes[Item?],MATCH($C354,tblMoveTypes[Movement],0)),"?")="Yes",$E354=""),"Item needed",IF(AND(IFERROR(INDEX(tblMoveTypes[Item?],MATCH($C354,tblMoveTypes[Movement],0)),"?")="No",$E354&lt;&gt;""),"Leave Item blank",IF(AND(IFERROR(INDEX(tblMoveTypes[In / Out],MATCH($C354,tblMoveTypes[Movement],0)),"?")="IN",$G354&lt;&gt;""),"Use the In column, not Out",IF(AND(IFERROR(INDEX(tblMoveTypes[In / Out],MATCH($C354,tblMoveTypes[Movement],0)),"?")="OUT",$F354&lt;&gt;""),"Use the Out column, not In",IF(AND(IFERROR(INDEX(tblMoveTypes[Qty?],MATCH($C354,tblMoveTypes[Movement],0)),"?")="Yes",N($F354)+N($G354)&lt;=0),"Qty needed",IF(AND(IFERROR(INDEX(tblMoveTypes[Qty?],MATCH($C354,tblMoveTypes[Movement],0)),"?")="No",N($F354)+N($G354)&gt;0),"Leave In and Out blank",IF(AND(IFERROR(INDEX(tblMoveTypes[Courier?],MATCH($C354,tblMoveTypes[Movement],0)),"?")="Yes",$I354=""),"Courier needed",IF(AND(IFERROR(INDEX(tblMoveTypes[Courier?],MATCH($C354,tblMoveTypes[Movement],0)),"?")="No",$I354&lt;&gt;""),"Leave Courier blank",IF(AND(IFERROR(INDEX(tblMoveTypes[Orders?],MATCH($C354,tblMoveTypes[Movement],0)),"?")="Yes",$H354=""),"Orders needed",IF(AND(IFERROR(INDEX(tblMoveTypes[Orders?],MATCH($C354,tblMoveTypes[Movement],0)),"?")="No",$H354&lt;&gt;""),"Leave Orders blank",IF(AND(IFERROR(INDEX(tblMoveTypes[Reason?],MATCH($C354,tblMoveTypes[Movement],0)),"?")="Yes",$J354=""),"Reason needed",IF($A354&lt;_xlfn.MINIFS(tblShipment[Arrival Date],tblShipment[Shipment No],$B354),"Date before arrival",IF(AND($E354&lt;&gt;"",COUNTIFS(tblShipment[Shipment No],$B354,tblShipment[Item Name],$E354)=0),"Item not in this shipment","OK")))))))))))))))))</f>
        <v>OK</v>
      </c>
    </row>
    <row r="355" customFormat="false" ht="15" hidden="false" customHeight="false" outlineLevel="0" collapsed="false">
      <c r="A355" s="32" t="n">
        <v>46250</v>
      </c>
      <c r="B355" s="31" t="s">
        <v>167</v>
      </c>
      <c r="C355" s="31" t="s">
        <v>98</v>
      </c>
      <c r="D355" s="34" t="str">
        <f aca="false">IF($C355="","",IFERROR(IF(IFERROR(INDEX(tblMoveTypes[In / Out],MATCH($C355,tblMoveTypes[Movement],0)),"?")="IN","IN   ",IF(IFERROR(INDEX(tblMoveTypes[In / Out],MATCH($C355,tblMoveTypes[Movement],0)),"?")="OUT","OUT   ","--   "))&amp;"fill: "&amp;IF(IFERROR(INDEX(tblMoveTypes[Item?],MATCH($C355,tblMoveTypes[Movement],0)),"?")="Yes","Item  ","")&amp;IF(AND(IFERROR(INDEX(tblMoveTypes[Qty?],MATCH($C355,tblMoveTypes[Movement],0)),"?")="Yes",IFERROR(INDEX(tblMoveTypes[In / Out],MATCH($C355,tblMoveTypes[Movement],0)),"?")="IN"),"In  ","")&amp;IF(AND(IFERROR(INDEX(tblMoveTypes[Qty?],MATCH($C355,tblMoveTypes[Movement],0)),"?")="Yes",IFERROR(INDEX(tblMoveTypes[In / Out],MATCH($C355,tblMoveTypes[Movement],0)),"?")="OUT"),"Out  ","")&amp;IF(IFERROR(INDEX(tblMoveTypes[Orders?],MATCH($C355,tblMoveTypes[Movement],0)),"?")="Yes","Orders  ","")&amp;IF(IFERROR(INDEX(tblMoveTypes[Courier?],MATCH($C355,tblMoveTypes[Movement],0)),"?")="Yes","Courier  ","")&amp;IF(IFERROR(INDEX(tblMoveTypes[Reason?],MATCH($C355,tblMoveTypes[Movement],0)),"?")="Yes","Reason",""),"unknown movement"))</f>
        <v>OUT   fill: Item  Out  Courier  </v>
      </c>
      <c r="E355" s="31" t="s">
        <v>127</v>
      </c>
      <c r="F355" s="33"/>
      <c r="G355" s="33" t="n">
        <v>20</v>
      </c>
      <c r="H355" s="33"/>
      <c r="I355" s="31" t="s">
        <v>76</v>
      </c>
      <c r="J355" s="31"/>
      <c r="K355" s="31"/>
      <c r="L355" s="31"/>
      <c r="M355" s="34" t="str">
        <f aca="false">IF($E355="","",IFERROR(INDEX(tblItems[Item Code],MATCH($E355,tblItems[Item Name],0)),"?"))</f>
        <v>EG-FG-GRP-03-02-01-01</v>
      </c>
      <c r="N355" s="34" t="str">
        <f aca="false">IF($B355="","",IFERROR(INDEX(tblShipment[Market],MATCH($B355,tblShipment[Shipment No],0)),"?"))</f>
        <v>Qatar</v>
      </c>
      <c r="O355" s="35" t="n">
        <f aca="false">N($F355)+N($G355)</f>
        <v>20</v>
      </c>
      <c r="P355" s="34" t="str">
        <f aca="false">IF($A355="","",IF($L355="Yes","VOID",IF(COUNTIFS(tblMoveTypes[Movement],$C355)=0,"Unknown movement",IF(COUNTIF(tblShipment[Shipment No],$B355)=0,"Unknown shipment",IF(AND(IFERROR(INDEX(tblMoveTypes[Item?],MATCH($C355,tblMoveTypes[Movement],0)),"?")="Yes",$E355=""),"Item needed",IF(AND(IFERROR(INDEX(tblMoveTypes[Item?],MATCH($C355,tblMoveTypes[Movement],0)),"?")="No",$E355&lt;&gt;""),"Leave Item blank",IF(AND(IFERROR(INDEX(tblMoveTypes[In / Out],MATCH($C355,tblMoveTypes[Movement],0)),"?")="IN",$G355&lt;&gt;""),"Use the In column, not Out",IF(AND(IFERROR(INDEX(tblMoveTypes[In / Out],MATCH($C355,tblMoveTypes[Movement],0)),"?")="OUT",$F355&lt;&gt;""),"Use the Out column, not In",IF(AND(IFERROR(INDEX(tblMoveTypes[Qty?],MATCH($C355,tblMoveTypes[Movement],0)),"?")="Yes",N($F355)+N($G355)&lt;=0),"Qty needed",IF(AND(IFERROR(INDEX(tblMoveTypes[Qty?],MATCH($C355,tblMoveTypes[Movement],0)),"?")="No",N($F355)+N($G355)&gt;0),"Leave In and Out blank",IF(AND(IFERROR(INDEX(tblMoveTypes[Courier?],MATCH($C355,tblMoveTypes[Movement],0)),"?")="Yes",$I355=""),"Courier needed",IF(AND(IFERROR(INDEX(tblMoveTypes[Courier?],MATCH($C355,tblMoveTypes[Movement],0)),"?")="No",$I355&lt;&gt;""),"Leave Courier blank",IF(AND(IFERROR(INDEX(tblMoveTypes[Orders?],MATCH($C355,tblMoveTypes[Movement],0)),"?")="Yes",$H355=""),"Orders needed",IF(AND(IFERROR(INDEX(tblMoveTypes[Orders?],MATCH($C355,tblMoveTypes[Movement],0)),"?")="No",$H355&lt;&gt;""),"Leave Orders blank",IF(AND(IFERROR(INDEX(tblMoveTypes[Reason?],MATCH($C355,tblMoveTypes[Movement],0)),"?")="Yes",$J355=""),"Reason needed",IF($A355&lt;_xlfn.MINIFS(tblShipment[Arrival Date],tblShipment[Shipment No],$B355),"Date before arrival",IF(AND($E355&lt;&gt;"",COUNTIFS(tblShipment[Shipment No],$B355,tblShipment[Item Name],$E355)=0),"Item not in this shipment","OK")))))))))))))))))</f>
        <v>OK</v>
      </c>
    </row>
    <row r="356" customFormat="false" ht="15" hidden="false" customHeight="false" outlineLevel="0" collapsed="false">
      <c r="A356" s="32" t="n">
        <v>46250</v>
      </c>
      <c r="B356" s="31" t="s">
        <v>167</v>
      </c>
      <c r="C356" s="31" t="s">
        <v>98</v>
      </c>
      <c r="D356" s="34" t="str">
        <f aca="false">IF($C356="","",IFERROR(IF(IFERROR(INDEX(tblMoveTypes[In / Out],MATCH($C356,tblMoveTypes[Movement],0)),"?")="IN","IN   ",IF(IFERROR(INDEX(tblMoveTypes[In / Out],MATCH($C356,tblMoveTypes[Movement],0)),"?")="OUT","OUT   ","--   "))&amp;"fill: "&amp;IF(IFERROR(INDEX(tblMoveTypes[Item?],MATCH($C356,tblMoveTypes[Movement],0)),"?")="Yes","Item  ","")&amp;IF(AND(IFERROR(INDEX(tblMoveTypes[Qty?],MATCH($C356,tblMoveTypes[Movement],0)),"?")="Yes",IFERROR(INDEX(tblMoveTypes[In / Out],MATCH($C356,tblMoveTypes[Movement],0)),"?")="IN"),"In  ","")&amp;IF(AND(IFERROR(INDEX(tblMoveTypes[Qty?],MATCH($C356,tblMoveTypes[Movement],0)),"?")="Yes",IFERROR(INDEX(tblMoveTypes[In / Out],MATCH($C356,tblMoveTypes[Movement],0)),"?")="OUT"),"Out  ","")&amp;IF(IFERROR(INDEX(tblMoveTypes[Orders?],MATCH($C356,tblMoveTypes[Movement],0)),"?")="Yes","Orders  ","")&amp;IF(IFERROR(INDEX(tblMoveTypes[Courier?],MATCH($C356,tblMoveTypes[Movement],0)),"?")="Yes","Courier  ","")&amp;IF(IFERROR(INDEX(tblMoveTypes[Reason?],MATCH($C356,tblMoveTypes[Movement],0)),"?")="Yes","Reason",""),"unknown movement"))</f>
        <v>OUT   fill: Item  Out  Courier  </v>
      </c>
      <c r="E356" s="31" t="s">
        <v>100</v>
      </c>
      <c r="F356" s="33"/>
      <c r="G356" s="33" t="n">
        <v>24</v>
      </c>
      <c r="H356" s="33"/>
      <c r="I356" s="31" t="s">
        <v>76</v>
      </c>
      <c r="J356" s="31"/>
      <c r="K356" s="31"/>
      <c r="L356" s="31"/>
      <c r="M356" s="34" t="str">
        <f aca="false">IF($E356="","",IFERROR(INDEX(tblItems[Item Code],MATCH($E356,tblItems[Item Name],0)),"?"))</f>
        <v>EG-FG-MNG-18-02-01-01</v>
      </c>
      <c r="N356" s="34" t="str">
        <f aca="false">IF($B356="","",IFERROR(INDEX(tblShipment[Market],MATCH($B356,tblShipment[Shipment No],0)),"?"))</f>
        <v>Qatar</v>
      </c>
      <c r="O356" s="35" t="n">
        <f aca="false">N($F356)+N($G356)</f>
        <v>24</v>
      </c>
      <c r="P356" s="34" t="str">
        <f aca="false">IF($A356="","",IF($L356="Yes","VOID",IF(COUNTIFS(tblMoveTypes[Movement],$C356)=0,"Unknown movement",IF(COUNTIF(tblShipment[Shipment No],$B356)=0,"Unknown shipment",IF(AND(IFERROR(INDEX(tblMoveTypes[Item?],MATCH($C356,tblMoveTypes[Movement],0)),"?")="Yes",$E356=""),"Item needed",IF(AND(IFERROR(INDEX(tblMoveTypes[Item?],MATCH($C356,tblMoveTypes[Movement],0)),"?")="No",$E356&lt;&gt;""),"Leave Item blank",IF(AND(IFERROR(INDEX(tblMoveTypes[In / Out],MATCH($C356,tblMoveTypes[Movement],0)),"?")="IN",$G356&lt;&gt;""),"Use the In column, not Out",IF(AND(IFERROR(INDEX(tblMoveTypes[In / Out],MATCH($C356,tblMoveTypes[Movement],0)),"?")="OUT",$F356&lt;&gt;""),"Use the Out column, not In",IF(AND(IFERROR(INDEX(tblMoveTypes[Qty?],MATCH($C356,tblMoveTypes[Movement],0)),"?")="Yes",N($F356)+N($G356)&lt;=0),"Qty needed",IF(AND(IFERROR(INDEX(tblMoveTypes[Qty?],MATCH($C356,tblMoveTypes[Movement],0)),"?")="No",N($F356)+N($G356)&gt;0),"Leave In and Out blank",IF(AND(IFERROR(INDEX(tblMoveTypes[Courier?],MATCH($C356,tblMoveTypes[Movement],0)),"?")="Yes",$I356=""),"Courier needed",IF(AND(IFERROR(INDEX(tblMoveTypes[Courier?],MATCH($C356,tblMoveTypes[Movement],0)),"?")="No",$I356&lt;&gt;""),"Leave Courier blank",IF(AND(IFERROR(INDEX(tblMoveTypes[Orders?],MATCH($C356,tblMoveTypes[Movement],0)),"?")="Yes",$H356=""),"Orders needed",IF(AND(IFERROR(INDEX(tblMoveTypes[Orders?],MATCH($C356,tblMoveTypes[Movement],0)),"?")="No",$H356&lt;&gt;""),"Leave Orders blank",IF(AND(IFERROR(INDEX(tblMoveTypes[Reason?],MATCH($C356,tblMoveTypes[Movement],0)),"?")="Yes",$J356=""),"Reason needed",IF($A356&lt;_xlfn.MINIFS(tblShipment[Arrival Date],tblShipment[Shipment No],$B356),"Date before arrival",IF(AND($E356&lt;&gt;"",COUNTIFS(tblShipment[Shipment No],$B356,tblShipment[Item Name],$E356)=0),"Item not in this shipment","OK")))))))))))))))))</f>
        <v>OK</v>
      </c>
    </row>
    <row r="357" customFormat="false" ht="15" hidden="false" customHeight="false" outlineLevel="0" collapsed="false">
      <c r="A357" s="32" t="n">
        <v>46250</v>
      </c>
      <c r="B357" s="31" t="s">
        <v>167</v>
      </c>
      <c r="C357" s="31" t="s">
        <v>98</v>
      </c>
      <c r="D357" s="34" t="str">
        <f aca="false">IF($C357="","",IFERROR(IF(IFERROR(INDEX(tblMoveTypes[In / Out],MATCH($C357,tblMoveTypes[Movement],0)),"?")="IN","IN   ",IF(IFERROR(INDEX(tblMoveTypes[In / Out],MATCH($C357,tblMoveTypes[Movement],0)),"?")="OUT","OUT   ","--   "))&amp;"fill: "&amp;IF(IFERROR(INDEX(tblMoveTypes[Item?],MATCH($C357,tblMoveTypes[Movement],0)),"?")="Yes","Item  ","")&amp;IF(AND(IFERROR(INDEX(tblMoveTypes[Qty?],MATCH($C357,tblMoveTypes[Movement],0)),"?")="Yes",IFERROR(INDEX(tblMoveTypes[In / Out],MATCH($C357,tblMoveTypes[Movement],0)),"?")="IN"),"In  ","")&amp;IF(AND(IFERROR(INDEX(tblMoveTypes[Qty?],MATCH($C357,tblMoveTypes[Movement],0)),"?")="Yes",IFERROR(INDEX(tblMoveTypes[In / Out],MATCH($C357,tblMoveTypes[Movement],0)),"?")="OUT"),"Out  ","")&amp;IF(IFERROR(INDEX(tblMoveTypes[Orders?],MATCH($C357,tblMoveTypes[Movement],0)),"?")="Yes","Orders  ","")&amp;IF(IFERROR(INDEX(tblMoveTypes[Courier?],MATCH($C357,tblMoveTypes[Movement],0)),"?")="Yes","Courier  ","")&amp;IF(IFERROR(INDEX(tblMoveTypes[Reason?],MATCH($C357,tblMoveTypes[Movement],0)),"?")="Yes","Reason",""),"unknown movement"))</f>
        <v>OUT   fill: Item  Out  Courier  </v>
      </c>
      <c r="E357" s="31" t="s">
        <v>143</v>
      </c>
      <c r="F357" s="33"/>
      <c r="G357" s="33" t="n">
        <v>20</v>
      </c>
      <c r="H357" s="33"/>
      <c r="I357" s="31" t="s">
        <v>76</v>
      </c>
      <c r="J357" s="31"/>
      <c r="K357" s="31"/>
      <c r="L357" s="31"/>
      <c r="M357" s="34" t="str">
        <f aca="false">IF($E357="","",IFERROR(INDEX(tblItems[Item Code],MATCH($E357,tblItems[Item Name],0)),"?"))</f>
        <v>EG-FG-MNG-11-02-01-01</v>
      </c>
      <c r="N357" s="34" t="str">
        <f aca="false">IF($B357="","",IFERROR(INDEX(tblShipment[Market],MATCH($B357,tblShipment[Shipment No],0)),"?"))</f>
        <v>Qatar</v>
      </c>
      <c r="O357" s="35" t="n">
        <f aca="false">N($F357)+N($G357)</f>
        <v>20</v>
      </c>
      <c r="P357" s="34" t="str">
        <f aca="false">IF($A357="","",IF($L357="Yes","VOID",IF(COUNTIFS(tblMoveTypes[Movement],$C357)=0,"Unknown movement",IF(COUNTIF(tblShipment[Shipment No],$B357)=0,"Unknown shipment",IF(AND(IFERROR(INDEX(tblMoveTypes[Item?],MATCH($C357,tblMoveTypes[Movement],0)),"?")="Yes",$E357=""),"Item needed",IF(AND(IFERROR(INDEX(tblMoveTypes[Item?],MATCH($C357,tblMoveTypes[Movement],0)),"?")="No",$E357&lt;&gt;""),"Leave Item blank",IF(AND(IFERROR(INDEX(tblMoveTypes[In / Out],MATCH($C357,tblMoveTypes[Movement],0)),"?")="IN",$G357&lt;&gt;""),"Use the In column, not Out",IF(AND(IFERROR(INDEX(tblMoveTypes[In / Out],MATCH($C357,tblMoveTypes[Movement],0)),"?")="OUT",$F357&lt;&gt;""),"Use the Out column, not In",IF(AND(IFERROR(INDEX(tblMoveTypes[Qty?],MATCH($C357,tblMoveTypes[Movement],0)),"?")="Yes",N($F357)+N($G357)&lt;=0),"Qty needed",IF(AND(IFERROR(INDEX(tblMoveTypes[Qty?],MATCH($C357,tblMoveTypes[Movement],0)),"?")="No",N($F357)+N($G357)&gt;0),"Leave In and Out blank",IF(AND(IFERROR(INDEX(tblMoveTypes[Courier?],MATCH($C357,tblMoveTypes[Movement],0)),"?")="Yes",$I357=""),"Courier needed",IF(AND(IFERROR(INDEX(tblMoveTypes[Courier?],MATCH($C357,tblMoveTypes[Movement],0)),"?")="No",$I357&lt;&gt;""),"Leave Courier blank",IF(AND(IFERROR(INDEX(tblMoveTypes[Orders?],MATCH($C357,tblMoveTypes[Movement],0)),"?")="Yes",$H357=""),"Orders needed",IF(AND(IFERROR(INDEX(tblMoveTypes[Orders?],MATCH($C357,tblMoveTypes[Movement],0)),"?")="No",$H357&lt;&gt;""),"Leave Orders blank",IF(AND(IFERROR(INDEX(tblMoveTypes[Reason?],MATCH($C357,tblMoveTypes[Movement],0)),"?")="Yes",$J357=""),"Reason needed",IF($A357&lt;_xlfn.MINIFS(tblShipment[Arrival Date],tblShipment[Shipment No],$B357),"Date before arrival",IF(AND($E357&lt;&gt;"",COUNTIFS(tblShipment[Shipment No],$B357,tblShipment[Item Name],$E357)=0),"Item not in this shipment","OK")))))))))))))))))</f>
        <v>OK</v>
      </c>
    </row>
    <row r="358" customFormat="false" ht="15" hidden="false" customHeight="false" outlineLevel="0" collapsed="false">
      <c r="A358" s="32" t="n">
        <v>46250</v>
      </c>
      <c r="B358" s="31" t="s">
        <v>167</v>
      </c>
      <c r="C358" s="31" t="s">
        <v>98</v>
      </c>
      <c r="D358" s="34" t="str">
        <f aca="false">IF($C358="","",IFERROR(IF(IFERROR(INDEX(tblMoveTypes[In / Out],MATCH($C358,tblMoveTypes[Movement],0)),"?")="IN","IN   ",IF(IFERROR(INDEX(tblMoveTypes[In / Out],MATCH($C358,tblMoveTypes[Movement],0)),"?")="OUT","OUT   ","--   "))&amp;"fill: "&amp;IF(IFERROR(INDEX(tblMoveTypes[Item?],MATCH($C358,tblMoveTypes[Movement],0)),"?")="Yes","Item  ","")&amp;IF(AND(IFERROR(INDEX(tblMoveTypes[Qty?],MATCH($C358,tblMoveTypes[Movement],0)),"?")="Yes",IFERROR(INDEX(tblMoveTypes[In / Out],MATCH($C358,tblMoveTypes[Movement],0)),"?")="IN"),"In  ","")&amp;IF(AND(IFERROR(INDEX(tblMoveTypes[Qty?],MATCH($C358,tblMoveTypes[Movement],0)),"?")="Yes",IFERROR(INDEX(tblMoveTypes[In / Out],MATCH($C358,tblMoveTypes[Movement],0)),"?")="OUT"),"Out  ","")&amp;IF(IFERROR(INDEX(tblMoveTypes[Orders?],MATCH($C358,tblMoveTypes[Movement],0)),"?")="Yes","Orders  ","")&amp;IF(IFERROR(INDEX(tblMoveTypes[Courier?],MATCH($C358,tblMoveTypes[Movement],0)),"?")="Yes","Courier  ","")&amp;IF(IFERROR(INDEX(tblMoveTypes[Reason?],MATCH($C358,tblMoveTypes[Movement],0)),"?")="Yes","Reason",""),"unknown movement"))</f>
        <v>OUT   fill: Item  Out  Courier  </v>
      </c>
      <c r="E358" s="31" t="s">
        <v>117</v>
      </c>
      <c r="F358" s="33"/>
      <c r="G358" s="33" t="n">
        <v>20</v>
      </c>
      <c r="H358" s="33"/>
      <c r="I358" s="31" t="s">
        <v>76</v>
      </c>
      <c r="J358" s="31"/>
      <c r="K358" s="31"/>
      <c r="L358" s="31"/>
      <c r="M358" s="34" t="str">
        <f aca="false">IF($E358="","",IFERROR(INDEX(tblItems[Item Code],MATCH($E358,tblItems[Item Name],0)),"?"))</f>
        <v>EG-FG-MNG-06-02-01-01</v>
      </c>
      <c r="N358" s="34" t="str">
        <f aca="false">IF($B358="","",IFERROR(INDEX(tblShipment[Market],MATCH($B358,tblShipment[Shipment No],0)),"?"))</f>
        <v>Qatar</v>
      </c>
      <c r="O358" s="35" t="n">
        <f aca="false">N($F358)+N($G358)</f>
        <v>20</v>
      </c>
      <c r="P358" s="34" t="str">
        <f aca="false">IF($A358="","",IF($L358="Yes","VOID",IF(COUNTIFS(tblMoveTypes[Movement],$C358)=0,"Unknown movement",IF(COUNTIF(tblShipment[Shipment No],$B358)=0,"Unknown shipment",IF(AND(IFERROR(INDEX(tblMoveTypes[Item?],MATCH($C358,tblMoveTypes[Movement],0)),"?")="Yes",$E358=""),"Item needed",IF(AND(IFERROR(INDEX(tblMoveTypes[Item?],MATCH($C358,tblMoveTypes[Movement],0)),"?")="No",$E358&lt;&gt;""),"Leave Item blank",IF(AND(IFERROR(INDEX(tblMoveTypes[In / Out],MATCH($C358,tblMoveTypes[Movement],0)),"?")="IN",$G358&lt;&gt;""),"Use the In column, not Out",IF(AND(IFERROR(INDEX(tblMoveTypes[In / Out],MATCH($C358,tblMoveTypes[Movement],0)),"?")="OUT",$F358&lt;&gt;""),"Use the Out column, not In",IF(AND(IFERROR(INDEX(tblMoveTypes[Qty?],MATCH($C358,tblMoveTypes[Movement],0)),"?")="Yes",N($F358)+N($G358)&lt;=0),"Qty needed",IF(AND(IFERROR(INDEX(tblMoveTypes[Qty?],MATCH($C358,tblMoveTypes[Movement],0)),"?")="No",N($F358)+N($G358)&gt;0),"Leave In and Out blank",IF(AND(IFERROR(INDEX(tblMoveTypes[Courier?],MATCH($C358,tblMoveTypes[Movement],0)),"?")="Yes",$I358=""),"Courier needed",IF(AND(IFERROR(INDEX(tblMoveTypes[Courier?],MATCH($C358,tblMoveTypes[Movement],0)),"?")="No",$I358&lt;&gt;""),"Leave Courier blank",IF(AND(IFERROR(INDEX(tblMoveTypes[Orders?],MATCH($C358,tblMoveTypes[Movement],0)),"?")="Yes",$H358=""),"Orders needed",IF(AND(IFERROR(INDEX(tblMoveTypes[Orders?],MATCH($C358,tblMoveTypes[Movement],0)),"?")="No",$H358&lt;&gt;""),"Leave Orders blank",IF(AND(IFERROR(INDEX(tblMoveTypes[Reason?],MATCH($C358,tblMoveTypes[Movement],0)),"?")="Yes",$J358=""),"Reason needed",IF($A358&lt;_xlfn.MINIFS(tblShipment[Arrival Date],tblShipment[Shipment No],$B358),"Date before arrival",IF(AND($E358&lt;&gt;"",COUNTIFS(tblShipment[Shipment No],$B358,tblShipment[Item Name],$E358)=0),"Item not in this shipment","OK")))))))))))))))))</f>
        <v>OK</v>
      </c>
    </row>
    <row r="359" customFormat="false" ht="15" hidden="false" customHeight="false" outlineLevel="0" collapsed="false">
      <c r="A359" s="32" t="n">
        <v>46250</v>
      </c>
      <c r="B359" s="31" t="s">
        <v>167</v>
      </c>
      <c r="C359" s="31" t="s">
        <v>110</v>
      </c>
      <c r="D359" s="34" t="str">
        <f aca="false">IF($C359="","",IFERROR(IF(IFERROR(INDEX(tblMoveTypes[In / Out],MATCH($C359,tblMoveTypes[Movement],0)),"?")="IN","IN   ",IF(IFERROR(INDEX(tblMoveTypes[In / Out],MATCH($C359,tblMoveTypes[Movement],0)),"?")="OUT","OUT   ","--   "))&amp;"fill: "&amp;IF(IFERROR(INDEX(tblMoveTypes[Item?],MATCH($C359,tblMoveTypes[Movement],0)),"?")="Yes","Item  ","")&amp;IF(AND(IFERROR(INDEX(tblMoveTypes[Qty?],MATCH($C359,tblMoveTypes[Movement],0)),"?")="Yes",IFERROR(INDEX(tblMoveTypes[In / Out],MATCH($C359,tblMoveTypes[Movement],0)),"?")="IN"),"In  ","")&amp;IF(AND(IFERROR(INDEX(tblMoveTypes[Qty?],MATCH($C359,tblMoveTypes[Movement],0)),"?")="Yes",IFERROR(INDEX(tblMoveTypes[In / Out],MATCH($C359,tblMoveTypes[Movement],0)),"?")="OUT"),"Out  ","")&amp;IF(IFERROR(INDEX(tblMoveTypes[Orders?],MATCH($C359,tblMoveTypes[Movement],0)),"?")="Yes","Orders  ","")&amp;IF(IFERROR(INDEX(tblMoveTypes[Courier?],MATCH($C359,tblMoveTypes[Movement],0)),"?")="Yes","Courier  ","")&amp;IF(IFERROR(INDEX(tblMoveTypes[Reason?],MATCH($C359,tblMoveTypes[Movement],0)),"?")="Yes","Reason",""),"unknown movement"))</f>
        <v>--   fill: Orders  Courier  </v>
      </c>
      <c r="E359" s="31"/>
      <c r="F359" s="33"/>
      <c r="G359" s="33"/>
      <c r="H359" s="33" t="n">
        <v>177</v>
      </c>
      <c r="I359" s="31" t="s">
        <v>76</v>
      </c>
      <c r="J359" s="31"/>
      <c r="K359" s="31"/>
      <c r="L359" s="31"/>
      <c r="M359" s="34" t="str">
        <f aca="false">IF($E359="","",IFERROR(INDEX(tblItems[Item Code],MATCH($E359,tblItems[Item Name],0)),"?"))</f>
        <v/>
      </c>
      <c r="N359" s="34" t="str">
        <f aca="false">IF($B359="","",IFERROR(INDEX(tblShipment[Market],MATCH($B359,tblShipment[Shipment No],0)),"?"))</f>
        <v>Qatar</v>
      </c>
      <c r="O359" s="35" t="n">
        <f aca="false">N($F359)+N($G359)</f>
        <v>0</v>
      </c>
      <c r="P359" s="34" t="str">
        <f aca="false">IF($A359="","",IF($L359="Yes","VOID",IF(COUNTIFS(tblMoveTypes[Movement],$C359)=0,"Unknown movement",IF(COUNTIF(tblShipment[Shipment No],$B359)=0,"Unknown shipment",IF(AND(IFERROR(INDEX(tblMoveTypes[Item?],MATCH($C359,tblMoveTypes[Movement],0)),"?")="Yes",$E359=""),"Item needed",IF(AND(IFERROR(INDEX(tblMoveTypes[Item?],MATCH($C359,tblMoveTypes[Movement],0)),"?")="No",$E359&lt;&gt;""),"Leave Item blank",IF(AND(IFERROR(INDEX(tblMoveTypes[In / Out],MATCH($C359,tblMoveTypes[Movement],0)),"?")="IN",$G359&lt;&gt;""),"Use the In column, not Out",IF(AND(IFERROR(INDEX(tblMoveTypes[In / Out],MATCH($C359,tblMoveTypes[Movement],0)),"?")="OUT",$F359&lt;&gt;""),"Use the Out column, not In",IF(AND(IFERROR(INDEX(tblMoveTypes[Qty?],MATCH($C359,tblMoveTypes[Movement],0)),"?")="Yes",N($F359)+N($G359)&lt;=0),"Qty needed",IF(AND(IFERROR(INDEX(tblMoveTypes[Qty?],MATCH($C359,tblMoveTypes[Movement],0)),"?")="No",N($F359)+N($G359)&gt;0),"Leave In and Out blank",IF(AND(IFERROR(INDEX(tblMoveTypes[Courier?],MATCH($C359,tblMoveTypes[Movement],0)),"?")="Yes",$I359=""),"Courier needed",IF(AND(IFERROR(INDEX(tblMoveTypes[Courier?],MATCH($C359,tblMoveTypes[Movement],0)),"?")="No",$I359&lt;&gt;""),"Leave Courier blank",IF(AND(IFERROR(INDEX(tblMoveTypes[Orders?],MATCH($C359,tblMoveTypes[Movement],0)),"?")="Yes",$H359=""),"Orders needed",IF(AND(IFERROR(INDEX(tblMoveTypes[Orders?],MATCH($C359,tblMoveTypes[Movement],0)),"?")="No",$H359&lt;&gt;""),"Leave Orders blank",IF(AND(IFERROR(INDEX(tblMoveTypes[Reason?],MATCH($C359,tblMoveTypes[Movement],0)),"?")="Yes",$J359=""),"Reason needed",IF($A359&lt;_xlfn.MINIFS(tblShipment[Arrival Date],tblShipment[Shipment No],$B359),"Date before arrival",IF(AND($E359&lt;&gt;"",COUNTIFS(tblShipment[Shipment No],$B359,tblShipment[Item Name],$E359)=0),"Item not in this shipment","OK")))))))))))))))))</f>
        <v>OK</v>
      </c>
    </row>
    <row r="360" customFormat="false" ht="15" hidden="false" customHeight="false" outlineLevel="0" collapsed="false">
      <c r="A360" s="32" t="n">
        <v>46250</v>
      </c>
      <c r="B360" s="31" t="s">
        <v>167</v>
      </c>
      <c r="C360" s="31" t="s">
        <v>115</v>
      </c>
      <c r="D360" s="34" t="str">
        <f aca="false">IF($C360="","",IFERROR(IF(IFERROR(INDEX(tblMoveTypes[In / Out],MATCH($C360,tblMoveTypes[Movement],0)),"?")="IN","IN   ",IF(IFERROR(INDEX(tblMoveTypes[In / Out],MATCH($C360,tblMoveTypes[Movement],0)),"?")="OUT","OUT   ","--   "))&amp;"fill: "&amp;IF(IFERROR(INDEX(tblMoveTypes[Item?],MATCH($C360,tblMoveTypes[Movement],0)),"?")="Yes","Item  ","")&amp;IF(AND(IFERROR(INDEX(tblMoveTypes[Qty?],MATCH($C360,tblMoveTypes[Movement],0)),"?")="Yes",IFERROR(INDEX(tblMoveTypes[In / Out],MATCH($C360,tblMoveTypes[Movement],0)),"?")="IN"),"In  ","")&amp;IF(AND(IFERROR(INDEX(tblMoveTypes[Qty?],MATCH($C360,tblMoveTypes[Movement],0)),"?")="Yes",IFERROR(INDEX(tblMoveTypes[In / Out],MATCH($C360,tblMoveTypes[Movement],0)),"?")="OUT"),"Out  ","")&amp;IF(IFERROR(INDEX(tblMoveTypes[Orders?],MATCH($C360,tblMoveTypes[Movement],0)),"?")="Yes","Orders  ","")&amp;IF(IFERROR(INDEX(tblMoveTypes[Courier?],MATCH($C360,tblMoveTypes[Movement],0)),"?")="Yes","Courier  ","")&amp;IF(IFERROR(INDEX(tblMoveTypes[Reason?],MATCH($C360,tblMoveTypes[Movement],0)),"?")="Yes","Reason",""),"unknown movement"))</f>
        <v>OUT   fill: Out  Orders  Courier  </v>
      </c>
      <c r="E360" s="31"/>
      <c r="F360" s="33"/>
      <c r="G360" s="33" t="n">
        <v>264</v>
      </c>
      <c r="H360" s="33" t="n">
        <v>107</v>
      </c>
      <c r="I360" s="31" t="s">
        <v>76</v>
      </c>
      <c r="J360" s="31"/>
      <c r="K360" s="31"/>
      <c r="L360" s="31"/>
      <c r="M360" s="34" t="str">
        <f aca="false">IF($E360="","",IFERROR(INDEX(tblItems[Item Code],MATCH($E360,tblItems[Item Name],0)),"?"))</f>
        <v/>
      </c>
      <c r="N360" s="34" t="str">
        <f aca="false">IF($B360="","",IFERROR(INDEX(tblShipment[Market],MATCH($B360,tblShipment[Shipment No],0)),"?"))</f>
        <v>Qatar</v>
      </c>
      <c r="O360" s="35" t="n">
        <f aca="false">N($F360)+N($G360)</f>
        <v>264</v>
      </c>
      <c r="P360" s="34" t="str">
        <f aca="false">IF($A360="","",IF($L360="Yes","VOID",IF(COUNTIFS(tblMoveTypes[Movement],$C360)=0,"Unknown movement",IF(COUNTIF(tblShipment[Shipment No],$B360)=0,"Unknown shipment",IF(AND(IFERROR(INDEX(tblMoveTypes[Item?],MATCH($C360,tblMoveTypes[Movement],0)),"?")="Yes",$E360=""),"Item needed",IF(AND(IFERROR(INDEX(tblMoveTypes[Item?],MATCH($C360,tblMoveTypes[Movement],0)),"?")="No",$E360&lt;&gt;""),"Leave Item blank",IF(AND(IFERROR(INDEX(tblMoveTypes[In / Out],MATCH($C360,tblMoveTypes[Movement],0)),"?")="IN",$G360&lt;&gt;""),"Use the In column, not Out",IF(AND(IFERROR(INDEX(tblMoveTypes[In / Out],MATCH($C360,tblMoveTypes[Movement],0)),"?")="OUT",$F360&lt;&gt;""),"Use the Out column, not In",IF(AND(IFERROR(INDEX(tblMoveTypes[Qty?],MATCH($C360,tblMoveTypes[Movement],0)),"?")="Yes",N($F360)+N($G360)&lt;=0),"Qty needed",IF(AND(IFERROR(INDEX(tblMoveTypes[Qty?],MATCH($C360,tblMoveTypes[Movement],0)),"?")="No",N($F360)+N($G360)&gt;0),"Leave In and Out blank",IF(AND(IFERROR(INDEX(tblMoveTypes[Courier?],MATCH($C360,tblMoveTypes[Movement],0)),"?")="Yes",$I360=""),"Courier needed",IF(AND(IFERROR(INDEX(tblMoveTypes[Courier?],MATCH($C360,tblMoveTypes[Movement],0)),"?")="No",$I360&lt;&gt;""),"Leave Courier blank",IF(AND(IFERROR(INDEX(tblMoveTypes[Orders?],MATCH($C360,tblMoveTypes[Movement],0)),"?")="Yes",$H360=""),"Orders needed",IF(AND(IFERROR(INDEX(tblMoveTypes[Orders?],MATCH($C360,tblMoveTypes[Movement],0)),"?")="No",$H360&lt;&gt;""),"Leave Orders blank",IF(AND(IFERROR(INDEX(tblMoveTypes[Reason?],MATCH($C360,tblMoveTypes[Movement],0)),"?")="Yes",$J360=""),"Reason needed",IF($A360&lt;_xlfn.MINIFS(tblShipment[Arrival Date],tblShipment[Shipment No],$B360),"Date before arrival",IF(AND($E360&lt;&gt;"",COUNTIFS(tblShipment[Shipment No],$B360,tblShipment[Item Name],$E360)=0),"Item not in this shipment","OK")))))))))))))))))</f>
        <v>OK</v>
      </c>
    </row>
    <row r="361" customFormat="false" ht="15" hidden="false" customHeight="false" outlineLevel="0" collapsed="false">
      <c r="A361" s="32" t="n">
        <v>46251</v>
      </c>
      <c r="B361" s="31" t="s">
        <v>167</v>
      </c>
      <c r="C361" s="31" t="s">
        <v>115</v>
      </c>
      <c r="D361" s="34" t="str">
        <f aca="false">IF($C361="","",IFERROR(IF(IFERROR(INDEX(tblMoveTypes[In / Out],MATCH($C361,tblMoveTypes[Movement],0)),"?")="IN","IN   ",IF(IFERROR(INDEX(tblMoveTypes[In / Out],MATCH($C361,tblMoveTypes[Movement],0)),"?")="OUT","OUT   ","--   "))&amp;"fill: "&amp;IF(IFERROR(INDEX(tblMoveTypes[Item?],MATCH($C361,tblMoveTypes[Movement],0)),"?")="Yes","Item  ","")&amp;IF(AND(IFERROR(INDEX(tblMoveTypes[Qty?],MATCH($C361,tblMoveTypes[Movement],0)),"?")="Yes",IFERROR(INDEX(tblMoveTypes[In / Out],MATCH($C361,tblMoveTypes[Movement],0)),"?")="IN"),"In  ","")&amp;IF(AND(IFERROR(INDEX(tblMoveTypes[Qty?],MATCH($C361,tblMoveTypes[Movement],0)),"?")="Yes",IFERROR(INDEX(tblMoveTypes[In / Out],MATCH($C361,tblMoveTypes[Movement],0)),"?")="OUT"),"Out  ","")&amp;IF(IFERROR(INDEX(tblMoveTypes[Orders?],MATCH($C361,tblMoveTypes[Movement],0)),"?")="Yes","Orders  ","")&amp;IF(IFERROR(INDEX(tblMoveTypes[Courier?],MATCH($C361,tblMoveTypes[Movement],0)),"?")="Yes","Courier  ","")&amp;IF(IFERROR(INDEX(tblMoveTypes[Reason?],MATCH($C361,tblMoveTypes[Movement],0)),"?")="Yes","Reason",""),"unknown movement"))</f>
        <v>OUT   fill: Out  Orders  Courier  </v>
      </c>
      <c r="E361" s="31"/>
      <c r="F361" s="33"/>
      <c r="G361" s="33" t="n">
        <v>103</v>
      </c>
      <c r="H361" s="33" t="n">
        <v>42</v>
      </c>
      <c r="I361" s="31" t="s">
        <v>76</v>
      </c>
      <c r="J361" s="31"/>
      <c r="K361" s="31"/>
      <c r="L361" s="31"/>
      <c r="M361" s="34" t="str">
        <f aca="false">IF($E361="","",IFERROR(INDEX(tblItems[Item Code],MATCH($E361,tblItems[Item Name],0)),"?"))</f>
        <v/>
      </c>
      <c r="N361" s="34" t="str">
        <f aca="false">IF($B361="","",IFERROR(INDEX(tblShipment[Market],MATCH($B361,tblShipment[Shipment No],0)),"?"))</f>
        <v>Qatar</v>
      </c>
      <c r="O361" s="35" t="n">
        <f aca="false">N($F361)+N($G361)</f>
        <v>103</v>
      </c>
      <c r="P361" s="34" t="str">
        <f aca="false">IF($A361="","",IF($L361="Yes","VOID",IF(COUNTIFS(tblMoveTypes[Movement],$C361)=0,"Unknown movement",IF(COUNTIF(tblShipment[Shipment No],$B361)=0,"Unknown shipment",IF(AND(IFERROR(INDEX(tblMoveTypes[Item?],MATCH($C361,tblMoveTypes[Movement],0)),"?")="Yes",$E361=""),"Item needed",IF(AND(IFERROR(INDEX(tblMoveTypes[Item?],MATCH($C361,tblMoveTypes[Movement],0)),"?")="No",$E361&lt;&gt;""),"Leave Item blank",IF(AND(IFERROR(INDEX(tblMoveTypes[In / Out],MATCH($C361,tblMoveTypes[Movement],0)),"?")="IN",$G361&lt;&gt;""),"Use the In column, not Out",IF(AND(IFERROR(INDEX(tblMoveTypes[In / Out],MATCH($C361,tblMoveTypes[Movement],0)),"?")="OUT",$F361&lt;&gt;""),"Use the Out column, not In",IF(AND(IFERROR(INDEX(tblMoveTypes[Qty?],MATCH($C361,tblMoveTypes[Movement],0)),"?")="Yes",N($F361)+N($G361)&lt;=0),"Qty needed",IF(AND(IFERROR(INDEX(tblMoveTypes[Qty?],MATCH($C361,tblMoveTypes[Movement],0)),"?")="No",N($F361)+N($G361)&gt;0),"Leave In and Out blank",IF(AND(IFERROR(INDEX(tblMoveTypes[Courier?],MATCH($C361,tblMoveTypes[Movement],0)),"?")="Yes",$I361=""),"Courier needed",IF(AND(IFERROR(INDEX(tblMoveTypes[Courier?],MATCH($C361,tblMoveTypes[Movement],0)),"?")="No",$I361&lt;&gt;""),"Leave Courier blank",IF(AND(IFERROR(INDEX(tblMoveTypes[Orders?],MATCH($C361,tblMoveTypes[Movement],0)),"?")="Yes",$H361=""),"Orders needed",IF(AND(IFERROR(INDEX(tblMoveTypes[Orders?],MATCH($C361,tblMoveTypes[Movement],0)),"?")="No",$H361&lt;&gt;""),"Leave Orders blank",IF(AND(IFERROR(INDEX(tblMoveTypes[Reason?],MATCH($C361,tblMoveTypes[Movement],0)),"?")="Yes",$J361=""),"Reason needed",IF($A361&lt;_xlfn.MINIFS(tblShipment[Arrival Date],tblShipment[Shipment No],$B361),"Date before arrival",IF(AND($E361&lt;&gt;"",COUNTIFS(tblShipment[Shipment No],$B361,tblShipment[Item Name],$E361)=0),"Item not in this shipment","OK")))))))))))))))))</f>
        <v>OK</v>
      </c>
    </row>
    <row r="362" customFormat="false" ht="15" hidden="false" customHeight="false" outlineLevel="0" collapsed="false">
      <c r="A362" s="32" t="n">
        <v>46251</v>
      </c>
      <c r="B362" s="31" t="s">
        <v>167</v>
      </c>
      <c r="C362" s="31" t="s">
        <v>120</v>
      </c>
      <c r="D362" s="34" t="str">
        <f aca="false">IF($C362="","",IFERROR(IF(IFERROR(INDEX(tblMoveTypes[In / Out],MATCH($C362,tblMoveTypes[Movement],0)),"?")="IN","IN   ",IF(IFERROR(INDEX(tblMoveTypes[In / Out],MATCH($C362,tblMoveTypes[Movement],0)),"?")="OUT","OUT   ","--   "))&amp;"fill: "&amp;IF(IFERROR(INDEX(tblMoveTypes[Item?],MATCH($C362,tblMoveTypes[Movement],0)),"?")="Yes","Item  ","")&amp;IF(AND(IFERROR(INDEX(tblMoveTypes[Qty?],MATCH($C362,tblMoveTypes[Movement],0)),"?")="Yes",IFERROR(INDEX(tblMoveTypes[In / Out],MATCH($C362,tblMoveTypes[Movement],0)),"?")="IN"),"In  ","")&amp;IF(AND(IFERROR(INDEX(tblMoveTypes[Qty?],MATCH($C362,tblMoveTypes[Movement],0)),"?")="Yes",IFERROR(INDEX(tblMoveTypes[In / Out],MATCH($C362,tblMoveTypes[Movement],0)),"?")="OUT"),"Out  ","")&amp;IF(IFERROR(INDEX(tblMoveTypes[Orders?],MATCH($C362,tblMoveTypes[Movement],0)),"?")="Yes","Orders  ","")&amp;IF(IFERROR(INDEX(tblMoveTypes[Courier?],MATCH($C362,tblMoveTypes[Movement],0)),"?")="Yes","Courier  ","")&amp;IF(IFERROR(INDEX(tblMoveTypes[Reason?],MATCH($C362,tblMoveTypes[Movement],0)),"?")="Yes","Reason",""),"unknown movement"))</f>
        <v>IN   fill: In  Orders  Courier  Reason</v>
      </c>
      <c r="E362" s="31"/>
      <c r="F362" s="33" t="n">
        <v>7</v>
      </c>
      <c r="G362" s="33"/>
      <c r="H362" s="33" t="n">
        <v>1</v>
      </c>
      <c r="I362" s="31" t="s">
        <v>76</v>
      </c>
      <c r="J362" s="31" t="s">
        <v>114</v>
      </c>
      <c r="K362" s="31"/>
      <c r="L362" s="31"/>
      <c r="M362" s="34" t="str">
        <f aca="false">IF($E362="","",IFERROR(INDEX(tblItems[Item Code],MATCH($E362,tblItems[Item Name],0)),"?"))</f>
        <v/>
      </c>
      <c r="N362" s="34" t="str">
        <f aca="false">IF($B362="","",IFERROR(INDEX(tblShipment[Market],MATCH($B362,tblShipment[Shipment No],0)),"?"))</f>
        <v>Qatar</v>
      </c>
      <c r="O362" s="35" t="n">
        <f aca="false">N($F362)+N($G362)</f>
        <v>7</v>
      </c>
      <c r="P362" s="34" t="str">
        <f aca="false">IF($A362="","",IF($L362="Yes","VOID",IF(COUNTIFS(tblMoveTypes[Movement],$C362)=0,"Unknown movement",IF(COUNTIF(tblShipment[Shipment No],$B362)=0,"Unknown shipment",IF(AND(IFERROR(INDEX(tblMoveTypes[Item?],MATCH($C362,tblMoveTypes[Movement],0)),"?")="Yes",$E362=""),"Item needed",IF(AND(IFERROR(INDEX(tblMoveTypes[Item?],MATCH($C362,tblMoveTypes[Movement],0)),"?")="No",$E362&lt;&gt;""),"Leave Item blank",IF(AND(IFERROR(INDEX(tblMoveTypes[In / Out],MATCH($C362,tblMoveTypes[Movement],0)),"?")="IN",$G362&lt;&gt;""),"Use the In column, not Out",IF(AND(IFERROR(INDEX(tblMoveTypes[In / Out],MATCH($C362,tblMoveTypes[Movement],0)),"?")="OUT",$F362&lt;&gt;""),"Use the Out column, not In",IF(AND(IFERROR(INDEX(tblMoveTypes[Qty?],MATCH($C362,tblMoveTypes[Movement],0)),"?")="Yes",N($F362)+N($G362)&lt;=0),"Qty needed",IF(AND(IFERROR(INDEX(tblMoveTypes[Qty?],MATCH($C362,tblMoveTypes[Movement],0)),"?")="No",N($F362)+N($G362)&gt;0),"Leave In and Out blank",IF(AND(IFERROR(INDEX(tblMoveTypes[Courier?],MATCH($C362,tblMoveTypes[Movement],0)),"?")="Yes",$I362=""),"Courier needed",IF(AND(IFERROR(INDEX(tblMoveTypes[Courier?],MATCH($C362,tblMoveTypes[Movement],0)),"?")="No",$I362&lt;&gt;""),"Leave Courier blank",IF(AND(IFERROR(INDEX(tblMoveTypes[Orders?],MATCH($C362,tblMoveTypes[Movement],0)),"?")="Yes",$H362=""),"Orders needed",IF(AND(IFERROR(INDEX(tblMoveTypes[Orders?],MATCH($C362,tblMoveTypes[Movement],0)),"?")="No",$H362&lt;&gt;""),"Leave Orders blank",IF(AND(IFERROR(INDEX(tblMoveTypes[Reason?],MATCH($C362,tblMoveTypes[Movement],0)),"?")="Yes",$J362=""),"Reason needed",IF($A362&lt;_xlfn.MINIFS(tblShipment[Arrival Date],tblShipment[Shipment No],$B362),"Date before arrival",IF(AND($E362&lt;&gt;"",COUNTIFS(tblShipment[Shipment No],$B362,tblShipment[Item Name],$E362)=0),"Item not in this shipment","OK")))))))))))))))))</f>
        <v>OK</v>
      </c>
    </row>
    <row r="363" customFormat="false" ht="15" hidden="false" customHeight="false" outlineLevel="0" collapsed="false">
      <c r="A363" s="32" t="n">
        <v>46251</v>
      </c>
      <c r="B363" s="31" t="s">
        <v>167</v>
      </c>
      <c r="C363" s="31" t="s">
        <v>125</v>
      </c>
      <c r="D363" s="34" t="str">
        <f aca="false">IF($C363="","",IFERROR(IF(IFERROR(INDEX(tblMoveTypes[In / Out],MATCH($C363,tblMoveTypes[Movement],0)),"?")="IN","IN   ",IF(IFERROR(INDEX(tblMoveTypes[In / Out],MATCH($C363,tblMoveTypes[Movement],0)),"?")="OUT","OUT   ","--   "))&amp;"fill: "&amp;IF(IFERROR(INDEX(tblMoveTypes[Item?],MATCH($C363,tblMoveTypes[Movement],0)),"?")="Yes","Item  ","")&amp;IF(AND(IFERROR(INDEX(tblMoveTypes[Qty?],MATCH($C363,tblMoveTypes[Movement],0)),"?")="Yes",IFERROR(INDEX(tblMoveTypes[In / Out],MATCH($C363,tblMoveTypes[Movement],0)),"?")="IN"),"In  ","")&amp;IF(AND(IFERROR(INDEX(tblMoveTypes[Qty?],MATCH($C363,tblMoveTypes[Movement],0)),"?")="Yes",IFERROR(INDEX(tblMoveTypes[In / Out],MATCH($C363,tblMoveTypes[Movement],0)),"?")="OUT"),"Out  ","")&amp;IF(IFERROR(INDEX(tblMoveTypes[Orders?],MATCH($C363,tblMoveTypes[Movement],0)),"?")="Yes","Orders  ","")&amp;IF(IFERROR(INDEX(tblMoveTypes[Courier?],MATCH($C363,tblMoveTypes[Movement],0)),"?")="Yes","Courier  ","")&amp;IF(IFERROR(INDEX(tblMoveTypes[Reason?],MATCH($C363,tblMoveTypes[Movement],0)),"?")="Yes","Reason",""),"unknown movement"))</f>
        <v>IN   fill: Item  In  </v>
      </c>
      <c r="E363" s="31" t="s">
        <v>127</v>
      </c>
      <c r="F363" s="33" t="n">
        <v>5</v>
      </c>
      <c r="G363" s="33"/>
      <c r="H363" s="33"/>
      <c r="I363" s="31"/>
      <c r="J363" s="31"/>
      <c r="K363" s="31"/>
      <c r="L363" s="31"/>
      <c r="M363" s="34" t="str">
        <f aca="false">IF($E363="","",IFERROR(INDEX(tblItems[Item Code],MATCH($E363,tblItems[Item Name],0)),"?"))</f>
        <v>EG-FG-GRP-03-02-01-01</v>
      </c>
      <c r="N363" s="34" t="str">
        <f aca="false">IF($B363="","",IFERROR(INDEX(tblShipment[Market],MATCH($B363,tblShipment[Shipment No],0)),"?"))</f>
        <v>Qatar</v>
      </c>
      <c r="O363" s="35" t="n">
        <f aca="false">N($F363)+N($G363)</f>
        <v>5</v>
      </c>
      <c r="P363" s="34" t="str">
        <f aca="false">IF($A363="","",IF($L363="Yes","VOID",IF(COUNTIFS(tblMoveTypes[Movement],$C363)=0,"Unknown movement",IF(COUNTIF(tblShipment[Shipment No],$B363)=0,"Unknown shipment",IF(AND(IFERROR(INDEX(tblMoveTypes[Item?],MATCH($C363,tblMoveTypes[Movement],0)),"?")="Yes",$E363=""),"Item needed",IF(AND(IFERROR(INDEX(tblMoveTypes[Item?],MATCH($C363,tblMoveTypes[Movement],0)),"?")="No",$E363&lt;&gt;""),"Leave Item blank",IF(AND(IFERROR(INDEX(tblMoveTypes[In / Out],MATCH($C363,tblMoveTypes[Movement],0)),"?")="IN",$G363&lt;&gt;""),"Use the In column, not Out",IF(AND(IFERROR(INDEX(tblMoveTypes[In / Out],MATCH($C363,tblMoveTypes[Movement],0)),"?")="OUT",$F363&lt;&gt;""),"Use the Out column, not In",IF(AND(IFERROR(INDEX(tblMoveTypes[Qty?],MATCH($C363,tblMoveTypes[Movement],0)),"?")="Yes",N($F363)+N($G363)&lt;=0),"Qty needed",IF(AND(IFERROR(INDEX(tblMoveTypes[Qty?],MATCH($C363,tblMoveTypes[Movement],0)),"?")="No",N($F363)+N($G363)&gt;0),"Leave In and Out blank",IF(AND(IFERROR(INDEX(tblMoveTypes[Courier?],MATCH($C363,tblMoveTypes[Movement],0)),"?")="Yes",$I363=""),"Courier needed",IF(AND(IFERROR(INDEX(tblMoveTypes[Courier?],MATCH($C363,tblMoveTypes[Movement],0)),"?")="No",$I363&lt;&gt;""),"Leave Courier blank",IF(AND(IFERROR(INDEX(tblMoveTypes[Orders?],MATCH($C363,tblMoveTypes[Movement],0)),"?")="Yes",$H363=""),"Orders needed",IF(AND(IFERROR(INDEX(tblMoveTypes[Orders?],MATCH($C363,tblMoveTypes[Movement],0)),"?")="No",$H363&lt;&gt;""),"Leave Orders blank",IF(AND(IFERROR(INDEX(tblMoveTypes[Reason?],MATCH($C363,tblMoveTypes[Movement],0)),"?")="Yes",$J363=""),"Reason needed",IF($A363&lt;_xlfn.MINIFS(tblShipment[Arrival Date],tblShipment[Shipment No],$B363),"Date before arrival",IF(AND($E363&lt;&gt;"",COUNTIFS(tblShipment[Shipment No],$B363,tblShipment[Item Name],$E363)=0),"Item not in this shipment","OK")))))))))))))))))</f>
        <v>OK</v>
      </c>
    </row>
    <row r="364" customFormat="false" ht="15" hidden="false" customHeight="false" outlineLevel="0" collapsed="false">
      <c r="A364" s="32" t="n">
        <v>46251</v>
      </c>
      <c r="B364" s="31" t="s">
        <v>167</v>
      </c>
      <c r="C364" s="31" t="s">
        <v>130</v>
      </c>
      <c r="D364" s="34" t="str">
        <f aca="false">IF($C364="","",IFERROR(IF(IFERROR(INDEX(tblMoveTypes[In / Out],MATCH($C364,tblMoveTypes[Movement],0)),"?")="IN","IN   ",IF(IFERROR(INDEX(tblMoveTypes[In / Out],MATCH($C364,tblMoveTypes[Movement],0)),"?")="OUT","OUT   ","--   "))&amp;"fill: "&amp;IF(IFERROR(INDEX(tblMoveTypes[Item?],MATCH($C364,tblMoveTypes[Movement],0)),"?")="Yes","Item  ","")&amp;IF(AND(IFERROR(INDEX(tblMoveTypes[Qty?],MATCH($C364,tblMoveTypes[Movement],0)),"?")="Yes",IFERROR(INDEX(tblMoveTypes[In / Out],MATCH($C364,tblMoveTypes[Movement],0)),"?")="IN"),"In  ","")&amp;IF(AND(IFERROR(INDEX(tblMoveTypes[Qty?],MATCH($C364,tblMoveTypes[Movement],0)),"?")="Yes",IFERROR(INDEX(tblMoveTypes[In / Out],MATCH($C364,tblMoveTypes[Movement],0)),"?")="OUT"),"Out  ","")&amp;IF(IFERROR(INDEX(tblMoveTypes[Orders?],MATCH($C364,tblMoveTypes[Movement],0)),"?")="Yes","Orders  ","")&amp;IF(IFERROR(INDEX(tblMoveTypes[Courier?],MATCH($C364,tblMoveTypes[Movement],0)),"?")="Yes","Courier  ","")&amp;IF(IFERROR(INDEX(tblMoveTypes[Reason?],MATCH($C364,tblMoveTypes[Movement],0)),"?")="Yes","Reason",""),"unknown movement"))</f>
        <v>OUT   fill: Item  Out  Reason</v>
      </c>
      <c r="E364" s="31" t="s">
        <v>127</v>
      </c>
      <c r="F364" s="33"/>
      <c r="G364" s="33" t="n">
        <v>2</v>
      </c>
      <c r="H364" s="33"/>
      <c r="I364" s="31"/>
      <c r="J364" s="31" t="s">
        <v>77</v>
      </c>
      <c r="K364" s="31"/>
      <c r="L364" s="31"/>
      <c r="M364" s="34" t="str">
        <f aca="false">IF($E364="","",IFERROR(INDEX(tblItems[Item Code],MATCH($E364,tblItems[Item Name],0)),"?"))</f>
        <v>EG-FG-GRP-03-02-01-01</v>
      </c>
      <c r="N364" s="34" t="str">
        <f aca="false">IF($B364="","",IFERROR(INDEX(tblShipment[Market],MATCH($B364,tblShipment[Shipment No],0)),"?"))</f>
        <v>Qatar</v>
      </c>
      <c r="O364" s="35" t="n">
        <f aca="false">N($F364)+N($G364)</f>
        <v>2</v>
      </c>
      <c r="P364" s="34" t="str">
        <f aca="false">IF($A364="","",IF($L364="Yes","VOID",IF(COUNTIFS(tblMoveTypes[Movement],$C364)=0,"Unknown movement",IF(COUNTIF(tblShipment[Shipment No],$B364)=0,"Unknown shipment",IF(AND(IFERROR(INDEX(tblMoveTypes[Item?],MATCH($C364,tblMoveTypes[Movement],0)),"?")="Yes",$E364=""),"Item needed",IF(AND(IFERROR(INDEX(tblMoveTypes[Item?],MATCH($C364,tblMoveTypes[Movement],0)),"?")="No",$E364&lt;&gt;""),"Leave Item blank",IF(AND(IFERROR(INDEX(tblMoveTypes[In / Out],MATCH($C364,tblMoveTypes[Movement],0)),"?")="IN",$G364&lt;&gt;""),"Use the In column, not Out",IF(AND(IFERROR(INDEX(tblMoveTypes[In / Out],MATCH($C364,tblMoveTypes[Movement],0)),"?")="OUT",$F364&lt;&gt;""),"Use the Out column, not In",IF(AND(IFERROR(INDEX(tblMoveTypes[Qty?],MATCH($C364,tblMoveTypes[Movement],0)),"?")="Yes",N($F364)+N($G364)&lt;=0),"Qty needed",IF(AND(IFERROR(INDEX(tblMoveTypes[Qty?],MATCH($C364,tblMoveTypes[Movement],0)),"?")="No",N($F364)+N($G364)&gt;0),"Leave In and Out blank",IF(AND(IFERROR(INDEX(tblMoveTypes[Courier?],MATCH($C364,tblMoveTypes[Movement],0)),"?")="Yes",$I364=""),"Courier needed",IF(AND(IFERROR(INDEX(tblMoveTypes[Courier?],MATCH($C364,tblMoveTypes[Movement],0)),"?")="No",$I364&lt;&gt;""),"Leave Courier blank",IF(AND(IFERROR(INDEX(tblMoveTypes[Orders?],MATCH($C364,tblMoveTypes[Movement],0)),"?")="Yes",$H364=""),"Orders needed",IF(AND(IFERROR(INDEX(tblMoveTypes[Orders?],MATCH($C364,tblMoveTypes[Movement],0)),"?")="No",$H364&lt;&gt;""),"Leave Orders blank",IF(AND(IFERROR(INDEX(tblMoveTypes[Reason?],MATCH($C364,tblMoveTypes[Movement],0)),"?")="Yes",$J364=""),"Reason needed",IF($A364&lt;_xlfn.MINIFS(tblShipment[Arrival Date],tblShipment[Shipment No],$B364),"Date before arrival",IF(AND($E364&lt;&gt;"",COUNTIFS(tblShipment[Shipment No],$B364,tblShipment[Item Name],$E364)=0),"Item not in this shipment","OK")))))))))))))))))</f>
        <v>OK</v>
      </c>
    </row>
    <row r="365" customFormat="false" ht="15" hidden="false" customHeight="false" outlineLevel="0" collapsed="false">
      <c r="A365" s="32" t="n">
        <v>46253</v>
      </c>
      <c r="B365" s="31" t="s">
        <v>167</v>
      </c>
      <c r="C365" s="31" t="s">
        <v>115</v>
      </c>
      <c r="D365" s="34" t="str">
        <f aca="false">IF($C365="","",IFERROR(IF(IFERROR(INDEX(tblMoveTypes[In / Out],MATCH($C365,tblMoveTypes[Movement],0)),"?")="IN","IN   ",IF(IFERROR(INDEX(tblMoveTypes[In / Out],MATCH($C365,tblMoveTypes[Movement],0)),"?")="OUT","OUT   ","--   "))&amp;"fill: "&amp;IF(IFERROR(INDEX(tblMoveTypes[Item?],MATCH($C365,tblMoveTypes[Movement],0)),"?")="Yes","Item  ","")&amp;IF(AND(IFERROR(INDEX(tblMoveTypes[Qty?],MATCH($C365,tblMoveTypes[Movement],0)),"?")="Yes",IFERROR(INDEX(tblMoveTypes[In / Out],MATCH($C365,tblMoveTypes[Movement],0)),"?")="IN"),"In  ","")&amp;IF(AND(IFERROR(INDEX(tblMoveTypes[Qty?],MATCH($C365,tblMoveTypes[Movement],0)),"?")="Yes",IFERROR(INDEX(tblMoveTypes[In / Out],MATCH($C365,tblMoveTypes[Movement],0)),"?")="OUT"),"Out  ","")&amp;IF(IFERROR(INDEX(tblMoveTypes[Orders?],MATCH($C365,tblMoveTypes[Movement],0)),"?")="Yes","Orders  ","")&amp;IF(IFERROR(INDEX(tblMoveTypes[Courier?],MATCH($C365,tblMoveTypes[Movement],0)),"?")="Yes","Courier  ","")&amp;IF(IFERROR(INDEX(tblMoveTypes[Reason?],MATCH($C365,tblMoveTypes[Movement],0)),"?")="Yes","Reason",""),"unknown movement"))</f>
        <v>OUT   fill: Out  Orders  Courier  </v>
      </c>
      <c r="E365" s="31"/>
      <c r="F365" s="33"/>
      <c r="G365" s="33" t="n">
        <v>64</v>
      </c>
      <c r="H365" s="33" t="n">
        <v>26</v>
      </c>
      <c r="I365" s="31" t="s">
        <v>76</v>
      </c>
      <c r="J365" s="31"/>
      <c r="K365" s="31"/>
      <c r="L365" s="31"/>
      <c r="M365" s="34" t="str">
        <f aca="false">IF($E365="","",IFERROR(INDEX(tblItems[Item Code],MATCH($E365,tblItems[Item Name],0)),"?"))</f>
        <v/>
      </c>
      <c r="N365" s="34" t="str">
        <f aca="false">IF($B365="","",IFERROR(INDEX(tblShipment[Market],MATCH($B365,tblShipment[Shipment No],0)),"?"))</f>
        <v>Qatar</v>
      </c>
      <c r="O365" s="35" t="n">
        <f aca="false">N($F365)+N($G365)</f>
        <v>64</v>
      </c>
      <c r="P365" s="34" t="str">
        <f aca="false">IF($A365="","",IF($L365="Yes","VOID",IF(COUNTIFS(tblMoveTypes[Movement],$C365)=0,"Unknown movement",IF(COUNTIF(tblShipment[Shipment No],$B365)=0,"Unknown shipment",IF(AND(IFERROR(INDEX(tblMoveTypes[Item?],MATCH($C365,tblMoveTypes[Movement],0)),"?")="Yes",$E365=""),"Item needed",IF(AND(IFERROR(INDEX(tblMoveTypes[Item?],MATCH($C365,tblMoveTypes[Movement],0)),"?")="No",$E365&lt;&gt;""),"Leave Item blank",IF(AND(IFERROR(INDEX(tblMoveTypes[In / Out],MATCH($C365,tblMoveTypes[Movement],0)),"?")="IN",$G365&lt;&gt;""),"Use the In column, not Out",IF(AND(IFERROR(INDEX(tblMoveTypes[In / Out],MATCH($C365,tblMoveTypes[Movement],0)),"?")="OUT",$F365&lt;&gt;""),"Use the Out column, not In",IF(AND(IFERROR(INDEX(tblMoveTypes[Qty?],MATCH($C365,tblMoveTypes[Movement],0)),"?")="Yes",N($F365)+N($G365)&lt;=0),"Qty needed",IF(AND(IFERROR(INDEX(tblMoveTypes[Qty?],MATCH($C365,tblMoveTypes[Movement],0)),"?")="No",N($F365)+N($G365)&gt;0),"Leave In and Out blank",IF(AND(IFERROR(INDEX(tblMoveTypes[Courier?],MATCH($C365,tblMoveTypes[Movement],0)),"?")="Yes",$I365=""),"Courier needed",IF(AND(IFERROR(INDEX(tblMoveTypes[Courier?],MATCH($C365,tblMoveTypes[Movement],0)),"?")="No",$I365&lt;&gt;""),"Leave Courier blank",IF(AND(IFERROR(INDEX(tblMoveTypes[Orders?],MATCH($C365,tblMoveTypes[Movement],0)),"?")="Yes",$H365=""),"Orders needed",IF(AND(IFERROR(INDEX(tblMoveTypes[Orders?],MATCH($C365,tblMoveTypes[Movement],0)),"?")="No",$H365&lt;&gt;""),"Leave Orders blank",IF(AND(IFERROR(INDEX(tblMoveTypes[Reason?],MATCH($C365,tblMoveTypes[Movement],0)),"?")="Yes",$J365=""),"Reason needed",IF($A365&lt;_xlfn.MINIFS(tblShipment[Arrival Date],tblShipment[Shipment No],$B365),"Date before arrival",IF(AND($E365&lt;&gt;"",COUNTIFS(tblShipment[Shipment No],$B365,tblShipment[Item Name],$E365)=0),"Item not in this shipment","OK")))))))))))))))))</f>
        <v>OK</v>
      </c>
    </row>
    <row r="366" customFormat="false" ht="15" hidden="false" customHeight="false" outlineLevel="0" collapsed="false">
      <c r="A366" s="32" t="n">
        <v>46253</v>
      </c>
      <c r="B366" s="31" t="s">
        <v>168</v>
      </c>
      <c r="C366" s="31" t="s">
        <v>79</v>
      </c>
      <c r="D366" s="34" t="str">
        <f aca="false">IF($C366="","",IFERROR(IF(IFERROR(INDEX(tblMoveTypes[In / Out],MATCH($C366,tblMoveTypes[Movement],0)),"?")="IN","IN   ",IF(IFERROR(INDEX(tblMoveTypes[In / Out],MATCH($C366,tblMoveTypes[Movement],0)),"?")="OUT","OUT   ","--   "))&amp;"fill: "&amp;IF(IFERROR(INDEX(tblMoveTypes[Item?],MATCH($C366,tblMoveTypes[Movement],0)),"?")="Yes","Item  ","")&amp;IF(AND(IFERROR(INDEX(tblMoveTypes[Qty?],MATCH($C366,tblMoveTypes[Movement],0)),"?")="Yes",IFERROR(INDEX(tblMoveTypes[In / Out],MATCH($C366,tblMoveTypes[Movement],0)),"?")="IN"),"In  ","")&amp;IF(AND(IFERROR(INDEX(tblMoveTypes[Qty?],MATCH($C366,tblMoveTypes[Movement],0)),"?")="Yes",IFERROR(INDEX(tblMoveTypes[In / Out],MATCH($C366,tblMoveTypes[Movement],0)),"?")="OUT"),"Out  ","")&amp;IF(IFERROR(INDEX(tblMoveTypes[Orders?],MATCH($C366,tblMoveTypes[Movement],0)),"?")="Yes","Orders  ","")&amp;IF(IFERROR(INDEX(tblMoveTypes[Courier?],MATCH($C366,tblMoveTypes[Movement],0)),"?")="Yes","Courier  ","")&amp;IF(IFERROR(INDEX(tblMoveTypes[Reason?],MATCH($C366,tblMoveTypes[Movement],0)),"?")="Yes","Reason",""),"unknown movement"))</f>
        <v>IN   fill: Item  In  </v>
      </c>
      <c r="E366" s="31" t="s">
        <v>112</v>
      </c>
      <c r="F366" s="33" t="n">
        <v>30</v>
      </c>
      <c r="G366" s="33"/>
      <c r="H366" s="33"/>
      <c r="I366" s="31"/>
      <c r="J366" s="31"/>
      <c r="K366" s="31"/>
      <c r="L366" s="31"/>
      <c r="M366" s="34" t="str">
        <f aca="false">IF($E366="","",IFERROR(INDEX(tblItems[Item Code],MATCH($E366,tblItems[Item Name],0)),"?"))</f>
        <v>BOX-TRIO-01</v>
      </c>
      <c r="N366" s="34" t="str">
        <f aca="false">IF($B366="","",IFERROR(INDEX(tblShipment[Market],MATCH($B366,tblShipment[Shipment No],0)),"?"))</f>
        <v>Qatar</v>
      </c>
      <c r="O366" s="35" t="n">
        <f aca="false">N($F366)+N($G366)</f>
        <v>30</v>
      </c>
      <c r="P366" s="34" t="str">
        <f aca="false">IF($A366="","",IF($L366="Yes","VOID",IF(COUNTIFS(tblMoveTypes[Movement],$C366)=0,"Unknown movement",IF(COUNTIF(tblShipment[Shipment No],$B366)=0,"Unknown shipment",IF(AND(IFERROR(INDEX(tblMoveTypes[Item?],MATCH($C366,tblMoveTypes[Movement],0)),"?")="Yes",$E366=""),"Item needed",IF(AND(IFERROR(INDEX(tblMoveTypes[Item?],MATCH($C366,tblMoveTypes[Movement],0)),"?")="No",$E366&lt;&gt;""),"Leave Item blank",IF(AND(IFERROR(INDEX(tblMoveTypes[In / Out],MATCH($C366,tblMoveTypes[Movement],0)),"?")="IN",$G366&lt;&gt;""),"Use the In column, not Out",IF(AND(IFERROR(INDEX(tblMoveTypes[In / Out],MATCH($C366,tblMoveTypes[Movement],0)),"?")="OUT",$F366&lt;&gt;""),"Use the Out column, not In",IF(AND(IFERROR(INDEX(tblMoveTypes[Qty?],MATCH($C366,tblMoveTypes[Movement],0)),"?")="Yes",N($F366)+N($G366)&lt;=0),"Qty needed",IF(AND(IFERROR(INDEX(tblMoveTypes[Qty?],MATCH($C366,tblMoveTypes[Movement],0)),"?")="No",N($F366)+N($G366)&gt;0),"Leave In and Out blank",IF(AND(IFERROR(INDEX(tblMoveTypes[Courier?],MATCH($C366,tblMoveTypes[Movement],0)),"?")="Yes",$I366=""),"Courier needed",IF(AND(IFERROR(INDEX(tblMoveTypes[Courier?],MATCH($C366,tblMoveTypes[Movement],0)),"?")="No",$I366&lt;&gt;""),"Leave Courier blank",IF(AND(IFERROR(INDEX(tblMoveTypes[Orders?],MATCH($C366,tblMoveTypes[Movement],0)),"?")="Yes",$H366=""),"Orders needed",IF(AND(IFERROR(INDEX(tblMoveTypes[Orders?],MATCH($C366,tblMoveTypes[Movement],0)),"?")="No",$H366&lt;&gt;""),"Leave Orders blank",IF(AND(IFERROR(INDEX(tblMoveTypes[Reason?],MATCH($C366,tblMoveTypes[Movement],0)),"?")="Yes",$J366=""),"Reason needed",IF($A366&lt;_xlfn.MINIFS(tblShipment[Arrival Date],tblShipment[Shipment No],$B366),"Date before arrival",IF(AND($E366&lt;&gt;"",COUNTIFS(tblShipment[Shipment No],$B366,tblShipment[Item Name],$E366)=0),"Item not in this shipment","OK")))))))))))))))))</f>
        <v>OK</v>
      </c>
    </row>
    <row r="367" customFormat="false" ht="15" hidden="false" customHeight="false" outlineLevel="0" collapsed="false">
      <c r="A367" s="32" t="n">
        <v>46253</v>
      </c>
      <c r="B367" s="31" t="s">
        <v>168</v>
      </c>
      <c r="C367" s="31" t="s">
        <v>78</v>
      </c>
      <c r="D367" s="34" t="str">
        <f aca="false">IF($C367="","",IFERROR(IF(IFERROR(INDEX(tblMoveTypes[In / Out],MATCH($C367,tblMoveTypes[Movement],0)),"?")="IN","IN   ",IF(IFERROR(INDEX(tblMoveTypes[In / Out],MATCH($C367,tblMoveTypes[Movement],0)),"?")="OUT","OUT   ","--   "))&amp;"fill: "&amp;IF(IFERROR(INDEX(tblMoveTypes[Item?],MATCH($C367,tblMoveTypes[Movement],0)),"?")="Yes","Item  ","")&amp;IF(AND(IFERROR(INDEX(tblMoveTypes[Qty?],MATCH($C367,tblMoveTypes[Movement],0)),"?")="Yes",IFERROR(INDEX(tblMoveTypes[In / Out],MATCH($C367,tblMoveTypes[Movement],0)),"?")="IN"),"In  ","")&amp;IF(AND(IFERROR(INDEX(tblMoveTypes[Qty?],MATCH($C367,tblMoveTypes[Movement],0)),"?")="Yes",IFERROR(INDEX(tblMoveTypes[In / Out],MATCH($C367,tblMoveTypes[Movement],0)),"?")="OUT"),"Out  ","")&amp;IF(IFERROR(INDEX(tblMoveTypes[Orders?],MATCH($C367,tblMoveTypes[Movement],0)),"?")="Yes","Orders  ","")&amp;IF(IFERROR(INDEX(tblMoveTypes[Courier?],MATCH($C367,tblMoveTypes[Movement],0)),"?")="Yes","Courier  ","")&amp;IF(IFERROR(INDEX(tblMoveTypes[Reason?],MATCH($C367,tblMoveTypes[Movement],0)),"?")="Yes","Reason",""),"unknown movement"))</f>
        <v>OUT   fill: Item  Out  Reason</v>
      </c>
      <c r="E367" s="31" t="s">
        <v>112</v>
      </c>
      <c r="F367" s="33"/>
      <c r="G367" s="33" t="n">
        <v>1</v>
      </c>
      <c r="H367" s="33"/>
      <c r="I367" s="31"/>
      <c r="J367" s="31" t="s">
        <v>77</v>
      </c>
      <c r="K367" s="31"/>
      <c r="L367" s="31"/>
      <c r="M367" s="34" t="str">
        <f aca="false">IF($E367="","",IFERROR(INDEX(tblItems[Item Code],MATCH($E367,tblItems[Item Name],0)),"?"))</f>
        <v>BOX-TRIO-01</v>
      </c>
      <c r="N367" s="34" t="str">
        <f aca="false">IF($B367="","",IFERROR(INDEX(tblShipment[Market],MATCH($B367,tblShipment[Shipment No],0)),"?"))</f>
        <v>Qatar</v>
      </c>
      <c r="O367" s="35" t="n">
        <f aca="false">N($F367)+N($G367)</f>
        <v>1</v>
      </c>
      <c r="P367" s="34" t="str">
        <f aca="false">IF($A367="","",IF($L367="Yes","VOID",IF(COUNTIFS(tblMoveTypes[Movement],$C367)=0,"Unknown movement",IF(COUNTIF(tblShipment[Shipment No],$B367)=0,"Unknown shipment",IF(AND(IFERROR(INDEX(tblMoveTypes[Item?],MATCH($C367,tblMoveTypes[Movement],0)),"?")="Yes",$E367=""),"Item needed",IF(AND(IFERROR(INDEX(tblMoveTypes[Item?],MATCH($C367,tblMoveTypes[Movement],0)),"?")="No",$E367&lt;&gt;""),"Leave Item blank",IF(AND(IFERROR(INDEX(tblMoveTypes[In / Out],MATCH($C367,tblMoveTypes[Movement],0)),"?")="IN",$G367&lt;&gt;""),"Use the In column, not Out",IF(AND(IFERROR(INDEX(tblMoveTypes[In / Out],MATCH($C367,tblMoveTypes[Movement],0)),"?")="OUT",$F367&lt;&gt;""),"Use the Out column, not In",IF(AND(IFERROR(INDEX(tblMoveTypes[Qty?],MATCH($C367,tblMoveTypes[Movement],0)),"?")="Yes",N($F367)+N($G367)&lt;=0),"Qty needed",IF(AND(IFERROR(INDEX(tblMoveTypes[Qty?],MATCH($C367,tblMoveTypes[Movement],0)),"?")="No",N($F367)+N($G367)&gt;0),"Leave In and Out blank",IF(AND(IFERROR(INDEX(tblMoveTypes[Courier?],MATCH($C367,tblMoveTypes[Movement],0)),"?")="Yes",$I367=""),"Courier needed",IF(AND(IFERROR(INDEX(tblMoveTypes[Courier?],MATCH($C367,tblMoveTypes[Movement],0)),"?")="No",$I367&lt;&gt;""),"Leave Courier blank",IF(AND(IFERROR(INDEX(tblMoveTypes[Orders?],MATCH($C367,tblMoveTypes[Movement],0)),"?")="Yes",$H367=""),"Orders needed",IF(AND(IFERROR(INDEX(tblMoveTypes[Orders?],MATCH($C367,tblMoveTypes[Movement],0)),"?")="No",$H367&lt;&gt;""),"Leave Orders blank",IF(AND(IFERROR(INDEX(tblMoveTypes[Reason?],MATCH($C367,tblMoveTypes[Movement],0)),"?")="Yes",$J367=""),"Reason needed",IF($A367&lt;_xlfn.MINIFS(tblShipment[Arrival Date],tblShipment[Shipment No],$B367),"Date before arrival",IF(AND($E367&lt;&gt;"",COUNTIFS(tblShipment[Shipment No],$B367,tblShipment[Item Name],$E367)=0),"Item not in this shipment","OK")))))))))))))))))</f>
        <v>OK</v>
      </c>
    </row>
    <row r="368" customFormat="false" ht="15" hidden="false" customHeight="false" outlineLevel="0" collapsed="false">
      <c r="A368" s="32" t="n">
        <v>46253</v>
      </c>
      <c r="B368" s="31" t="s">
        <v>168</v>
      </c>
      <c r="C368" s="31" t="s">
        <v>79</v>
      </c>
      <c r="D368" s="34" t="str">
        <f aca="false">IF($C368="","",IFERROR(IF(IFERROR(INDEX(tblMoveTypes[In / Out],MATCH($C368,tblMoveTypes[Movement],0)),"?")="IN","IN   ",IF(IFERROR(INDEX(tblMoveTypes[In / Out],MATCH($C368,tblMoveTypes[Movement],0)),"?")="OUT","OUT   ","--   "))&amp;"fill: "&amp;IF(IFERROR(INDEX(tblMoveTypes[Item?],MATCH($C368,tblMoveTypes[Movement],0)),"?")="Yes","Item  ","")&amp;IF(AND(IFERROR(INDEX(tblMoveTypes[Qty?],MATCH($C368,tblMoveTypes[Movement],0)),"?")="Yes",IFERROR(INDEX(tblMoveTypes[In / Out],MATCH($C368,tblMoveTypes[Movement],0)),"?")="IN"),"In  ","")&amp;IF(AND(IFERROR(INDEX(tblMoveTypes[Qty?],MATCH($C368,tblMoveTypes[Movement],0)),"?")="Yes",IFERROR(INDEX(tblMoveTypes[In / Out],MATCH($C368,tblMoveTypes[Movement],0)),"?")="OUT"),"Out  ","")&amp;IF(IFERROR(INDEX(tblMoveTypes[Orders?],MATCH($C368,tblMoveTypes[Movement],0)),"?")="Yes","Orders  ","")&amp;IF(IFERROR(INDEX(tblMoveTypes[Courier?],MATCH($C368,tblMoveTypes[Movement],0)),"?")="Yes","Courier  ","")&amp;IF(IFERROR(INDEX(tblMoveTypes[Reason?],MATCH($C368,tblMoveTypes[Movement],0)),"?")="Yes","Reason",""),"unknown movement"))</f>
        <v>IN   fill: Item  In  </v>
      </c>
      <c r="E368" s="31" t="s">
        <v>91</v>
      </c>
      <c r="F368" s="33" t="n">
        <v>85</v>
      </c>
      <c r="G368" s="33"/>
      <c r="H368" s="33"/>
      <c r="I368" s="31"/>
      <c r="J368" s="31"/>
      <c r="K368" s="31"/>
      <c r="L368" s="31"/>
      <c r="M368" s="34" t="str">
        <f aca="false">IF($E368="","",IFERROR(INDEX(tblItems[Item Code],MATCH($E368,tblItems[Item Name],0)),"?"))</f>
        <v>EG-FG-FIG-01-02-01-01</v>
      </c>
      <c r="N368" s="34" t="str">
        <f aca="false">IF($B368="","",IFERROR(INDEX(tblShipment[Market],MATCH($B368,tblShipment[Shipment No],0)),"?"))</f>
        <v>Qatar</v>
      </c>
      <c r="O368" s="35" t="n">
        <f aca="false">N($F368)+N($G368)</f>
        <v>85</v>
      </c>
      <c r="P368" s="34" t="str">
        <f aca="false">IF($A368="","",IF($L368="Yes","VOID",IF(COUNTIFS(tblMoveTypes[Movement],$C368)=0,"Unknown movement",IF(COUNTIF(tblShipment[Shipment No],$B368)=0,"Unknown shipment",IF(AND(IFERROR(INDEX(tblMoveTypes[Item?],MATCH($C368,tblMoveTypes[Movement],0)),"?")="Yes",$E368=""),"Item needed",IF(AND(IFERROR(INDEX(tblMoveTypes[Item?],MATCH($C368,tblMoveTypes[Movement],0)),"?")="No",$E368&lt;&gt;""),"Leave Item blank",IF(AND(IFERROR(INDEX(tblMoveTypes[In / Out],MATCH($C368,tblMoveTypes[Movement],0)),"?")="IN",$G368&lt;&gt;""),"Use the In column, not Out",IF(AND(IFERROR(INDEX(tblMoveTypes[In / Out],MATCH($C368,tblMoveTypes[Movement],0)),"?")="OUT",$F368&lt;&gt;""),"Use the Out column, not In",IF(AND(IFERROR(INDEX(tblMoveTypes[Qty?],MATCH($C368,tblMoveTypes[Movement],0)),"?")="Yes",N($F368)+N($G368)&lt;=0),"Qty needed",IF(AND(IFERROR(INDEX(tblMoveTypes[Qty?],MATCH($C368,tblMoveTypes[Movement],0)),"?")="No",N($F368)+N($G368)&gt;0),"Leave In and Out blank",IF(AND(IFERROR(INDEX(tblMoveTypes[Courier?],MATCH($C368,tblMoveTypes[Movement],0)),"?")="Yes",$I368=""),"Courier needed",IF(AND(IFERROR(INDEX(tblMoveTypes[Courier?],MATCH($C368,tblMoveTypes[Movement],0)),"?")="No",$I368&lt;&gt;""),"Leave Courier blank",IF(AND(IFERROR(INDEX(tblMoveTypes[Orders?],MATCH($C368,tblMoveTypes[Movement],0)),"?")="Yes",$H368=""),"Orders needed",IF(AND(IFERROR(INDEX(tblMoveTypes[Orders?],MATCH($C368,tblMoveTypes[Movement],0)),"?")="No",$H368&lt;&gt;""),"Leave Orders blank",IF(AND(IFERROR(INDEX(tblMoveTypes[Reason?],MATCH($C368,tblMoveTypes[Movement],0)),"?")="Yes",$J368=""),"Reason needed",IF($A368&lt;_xlfn.MINIFS(tblShipment[Arrival Date],tblShipment[Shipment No],$B368),"Date before arrival",IF(AND($E368&lt;&gt;"",COUNTIFS(tblShipment[Shipment No],$B368,tblShipment[Item Name],$E368)=0),"Item not in this shipment","OK")))))))))))))))))</f>
        <v>OK</v>
      </c>
    </row>
    <row r="369" customFormat="false" ht="15" hidden="false" customHeight="false" outlineLevel="0" collapsed="false">
      <c r="A369" s="32" t="n">
        <v>46253</v>
      </c>
      <c r="B369" s="31" t="s">
        <v>168</v>
      </c>
      <c r="C369" s="31" t="s">
        <v>78</v>
      </c>
      <c r="D369" s="34" t="str">
        <f aca="false">IF($C369="","",IFERROR(IF(IFERROR(INDEX(tblMoveTypes[In / Out],MATCH($C369,tblMoveTypes[Movement],0)),"?")="IN","IN   ",IF(IFERROR(INDEX(tblMoveTypes[In / Out],MATCH($C369,tblMoveTypes[Movement],0)),"?")="OUT","OUT   ","--   "))&amp;"fill: "&amp;IF(IFERROR(INDEX(tblMoveTypes[Item?],MATCH($C369,tblMoveTypes[Movement],0)),"?")="Yes","Item  ","")&amp;IF(AND(IFERROR(INDEX(tblMoveTypes[Qty?],MATCH($C369,tblMoveTypes[Movement],0)),"?")="Yes",IFERROR(INDEX(tblMoveTypes[In / Out],MATCH($C369,tblMoveTypes[Movement],0)),"?")="IN"),"In  ","")&amp;IF(AND(IFERROR(INDEX(tblMoveTypes[Qty?],MATCH($C369,tblMoveTypes[Movement],0)),"?")="Yes",IFERROR(INDEX(tblMoveTypes[In / Out],MATCH($C369,tblMoveTypes[Movement],0)),"?")="OUT"),"Out  ","")&amp;IF(IFERROR(INDEX(tblMoveTypes[Orders?],MATCH($C369,tblMoveTypes[Movement],0)),"?")="Yes","Orders  ","")&amp;IF(IFERROR(INDEX(tblMoveTypes[Courier?],MATCH($C369,tblMoveTypes[Movement],0)),"?")="Yes","Courier  ","")&amp;IF(IFERROR(INDEX(tblMoveTypes[Reason?],MATCH($C369,tblMoveTypes[Movement],0)),"?")="Yes","Reason",""),"unknown movement"))</f>
        <v>OUT   fill: Item  Out  Reason</v>
      </c>
      <c r="E369" s="31" t="s">
        <v>91</v>
      </c>
      <c r="F369" s="33"/>
      <c r="G369" s="33" t="n">
        <v>1</v>
      </c>
      <c r="H369" s="33"/>
      <c r="I369" s="31"/>
      <c r="J369" s="31" t="s">
        <v>77</v>
      </c>
      <c r="K369" s="31"/>
      <c r="L369" s="31"/>
      <c r="M369" s="34" t="str">
        <f aca="false">IF($E369="","",IFERROR(INDEX(tblItems[Item Code],MATCH($E369,tblItems[Item Name],0)),"?"))</f>
        <v>EG-FG-FIG-01-02-01-01</v>
      </c>
      <c r="N369" s="34" t="str">
        <f aca="false">IF($B369="","",IFERROR(INDEX(tblShipment[Market],MATCH($B369,tblShipment[Shipment No],0)),"?"))</f>
        <v>Qatar</v>
      </c>
      <c r="O369" s="35" t="n">
        <f aca="false">N($F369)+N($G369)</f>
        <v>1</v>
      </c>
      <c r="P369" s="34" t="str">
        <f aca="false">IF($A369="","",IF($L369="Yes","VOID",IF(COUNTIFS(tblMoveTypes[Movement],$C369)=0,"Unknown movement",IF(COUNTIF(tblShipment[Shipment No],$B369)=0,"Unknown shipment",IF(AND(IFERROR(INDEX(tblMoveTypes[Item?],MATCH($C369,tblMoveTypes[Movement],0)),"?")="Yes",$E369=""),"Item needed",IF(AND(IFERROR(INDEX(tblMoveTypes[Item?],MATCH($C369,tblMoveTypes[Movement],0)),"?")="No",$E369&lt;&gt;""),"Leave Item blank",IF(AND(IFERROR(INDEX(tblMoveTypes[In / Out],MATCH($C369,tblMoveTypes[Movement],0)),"?")="IN",$G369&lt;&gt;""),"Use the In column, not Out",IF(AND(IFERROR(INDEX(tblMoveTypes[In / Out],MATCH($C369,tblMoveTypes[Movement],0)),"?")="OUT",$F369&lt;&gt;""),"Use the Out column, not In",IF(AND(IFERROR(INDEX(tblMoveTypes[Qty?],MATCH($C369,tblMoveTypes[Movement],0)),"?")="Yes",N($F369)+N($G369)&lt;=0),"Qty needed",IF(AND(IFERROR(INDEX(tblMoveTypes[Qty?],MATCH($C369,tblMoveTypes[Movement],0)),"?")="No",N($F369)+N($G369)&gt;0),"Leave In and Out blank",IF(AND(IFERROR(INDEX(tblMoveTypes[Courier?],MATCH($C369,tblMoveTypes[Movement],0)),"?")="Yes",$I369=""),"Courier needed",IF(AND(IFERROR(INDEX(tblMoveTypes[Courier?],MATCH($C369,tblMoveTypes[Movement],0)),"?")="No",$I369&lt;&gt;""),"Leave Courier blank",IF(AND(IFERROR(INDEX(tblMoveTypes[Orders?],MATCH($C369,tblMoveTypes[Movement],0)),"?")="Yes",$H369=""),"Orders needed",IF(AND(IFERROR(INDEX(tblMoveTypes[Orders?],MATCH($C369,tblMoveTypes[Movement],0)),"?")="No",$H369&lt;&gt;""),"Leave Orders blank",IF(AND(IFERROR(INDEX(tblMoveTypes[Reason?],MATCH($C369,tblMoveTypes[Movement],0)),"?")="Yes",$J369=""),"Reason needed",IF($A369&lt;_xlfn.MINIFS(tblShipment[Arrival Date],tblShipment[Shipment No],$B369),"Date before arrival",IF(AND($E369&lt;&gt;"",COUNTIFS(tblShipment[Shipment No],$B369,tblShipment[Item Name],$E369)=0),"Item not in this shipment","OK")))))))))))))))))</f>
        <v>OK</v>
      </c>
    </row>
    <row r="370" customFormat="false" ht="15" hidden="false" customHeight="false" outlineLevel="0" collapsed="false">
      <c r="A370" s="32" t="n">
        <v>46253</v>
      </c>
      <c r="B370" s="31" t="s">
        <v>168</v>
      </c>
      <c r="C370" s="31" t="s">
        <v>79</v>
      </c>
      <c r="D370" s="34" t="str">
        <f aca="false">IF($C370="","",IFERROR(IF(IFERROR(INDEX(tblMoveTypes[In / Out],MATCH($C370,tblMoveTypes[Movement],0)),"?")="IN","IN   ",IF(IFERROR(INDEX(tblMoveTypes[In / Out],MATCH($C370,tblMoveTypes[Movement],0)),"?")="OUT","OUT   ","--   "))&amp;"fill: "&amp;IF(IFERROR(INDEX(tblMoveTypes[Item?],MATCH($C370,tblMoveTypes[Movement],0)),"?")="Yes","Item  ","")&amp;IF(AND(IFERROR(INDEX(tblMoveTypes[Qty?],MATCH($C370,tblMoveTypes[Movement],0)),"?")="Yes",IFERROR(INDEX(tblMoveTypes[In / Out],MATCH($C370,tblMoveTypes[Movement],0)),"?")="IN"),"In  ","")&amp;IF(AND(IFERROR(INDEX(tblMoveTypes[Qty?],MATCH($C370,tblMoveTypes[Movement],0)),"?")="Yes",IFERROR(INDEX(tblMoveTypes[In / Out],MATCH($C370,tblMoveTypes[Movement],0)),"?")="OUT"),"Out  ","")&amp;IF(IFERROR(INDEX(tblMoveTypes[Orders?],MATCH($C370,tblMoveTypes[Movement],0)),"?")="Yes","Orders  ","")&amp;IF(IFERROR(INDEX(tblMoveTypes[Courier?],MATCH($C370,tblMoveTypes[Movement],0)),"?")="Yes","Courier  ","")&amp;IF(IFERROR(INDEX(tblMoveTypes[Reason?],MATCH($C370,tblMoveTypes[Movement],0)),"?")="Yes","Reason",""),"unknown movement"))</f>
        <v>IN   fill: Item  In  </v>
      </c>
      <c r="E370" s="31" t="s">
        <v>72</v>
      </c>
      <c r="F370" s="33" t="n">
        <v>140</v>
      </c>
      <c r="G370" s="33"/>
      <c r="H370" s="33"/>
      <c r="I370" s="31"/>
      <c r="J370" s="31"/>
      <c r="K370" s="31"/>
      <c r="L370" s="31"/>
      <c r="M370" s="34" t="str">
        <f aca="false">IF($E370="","",IFERROR(INDEX(tblItems[Item Code],MATCH($E370,tblItems[Item Name],0)),"?"))</f>
        <v>EG-FG-MNG-05-02-01-01</v>
      </c>
      <c r="N370" s="34" t="str">
        <f aca="false">IF($B370="","",IFERROR(INDEX(tblShipment[Market],MATCH($B370,tblShipment[Shipment No],0)),"?"))</f>
        <v>Qatar</v>
      </c>
      <c r="O370" s="35" t="n">
        <f aca="false">N($F370)+N($G370)</f>
        <v>140</v>
      </c>
      <c r="P370" s="34" t="str">
        <f aca="false">IF($A370="","",IF($L370="Yes","VOID",IF(COUNTIFS(tblMoveTypes[Movement],$C370)=0,"Unknown movement",IF(COUNTIF(tblShipment[Shipment No],$B370)=0,"Unknown shipment",IF(AND(IFERROR(INDEX(tblMoveTypes[Item?],MATCH($C370,tblMoveTypes[Movement],0)),"?")="Yes",$E370=""),"Item needed",IF(AND(IFERROR(INDEX(tblMoveTypes[Item?],MATCH($C370,tblMoveTypes[Movement],0)),"?")="No",$E370&lt;&gt;""),"Leave Item blank",IF(AND(IFERROR(INDEX(tblMoveTypes[In / Out],MATCH($C370,tblMoveTypes[Movement],0)),"?")="IN",$G370&lt;&gt;""),"Use the In column, not Out",IF(AND(IFERROR(INDEX(tblMoveTypes[In / Out],MATCH($C370,tblMoveTypes[Movement],0)),"?")="OUT",$F370&lt;&gt;""),"Use the Out column, not In",IF(AND(IFERROR(INDEX(tblMoveTypes[Qty?],MATCH($C370,tblMoveTypes[Movement],0)),"?")="Yes",N($F370)+N($G370)&lt;=0),"Qty needed",IF(AND(IFERROR(INDEX(tblMoveTypes[Qty?],MATCH($C370,tblMoveTypes[Movement],0)),"?")="No",N($F370)+N($G370)&gt;0),"Leave In and Out blank",IF(AND(IFERROR(INDEX(tblMoveTypes[Courier?],MATCH($C370,tblMoveTypes[Movement],0)),"?")="Yes",$I370=""),"Courier needed",IF(AND(IFERROR(INDEX(tblMoveTypes[Courier?],MATCH($C370,tblMoveTypes[Movement],0)),"?")="No",$I370&lt;&gt;""),"Leave Courier blank",IF(AND(IFERROR(INDEX(tblMoveTypes[Orders?],MATCH($C370,tblMoveTypes[Movement],0)),"?")="Yes",$H370=""),"Orders needed",IF(AND(IFERROR(INDEX(tblMoveTypes[Orders?],MATCH($C370,tblMoveTypes[Movement],0)),"?")="No",$H370&lt;&gt;""),"Leave Orders blank",IF(AND(IFERROR(INDEX(tblMoveTypes[Reason?],MATCH($C370,tblMoveTypes[Movement],0)),"?")="Yes",$J370=""),"Reason needed",IF($A370&lt;_xlfn.MINIFS(tblShipment[Arrival Date],tblShipment[Shipment No],$B370),"Date before arrival",IF(AND($E370&lt;&gt;"",COUNTIFS(tblShipment[Shipment No],$B370,tblShipment[Item Name],$E370)=0),"Item not in this shipment","OK")))))))))))))))))</f>
        <v>OK</v>
      </c>
    </row>
    <row r="371" customFormat="false" ht="15" hidden="false" customHeight="false" outlineLevel="0" collapsed="false">
      <c r="A371" s="32" t="n">
        <v>46253</v>
      </c>
      <c r="B371" s="31" t="s">
        <v>168</v>
      </c>
      <c r="C371" s="31" t="s">
        <v>78</v>
      </c>
      <c r="D371" s="34" t="str">
        <f aca="false">IF($C371="","",IFERROR(IF(IFERROR(INDEX(tblMoveTypes[In / Out],MATCH($C371,tblMoveTypes[Movement],0)),"?")="IN","IN   ",IF(IFERROR(INDEX(tblMoveTypes[In / Out],MATCH($C371,tblMoveTypes[Movement],0)),"?")="OUT","OUT   ","--   "))&amp;"fill: "&amp;IF(IFERROR(INDEX(tblMoveTypes[Item?],MATCH($C371,tblMoveTypes[Movement],0)),"?")="Yes","Item  ","")&amp;IF(AND(IFERROR(INDEX(tblMoveTypes[Qty?],MATCH($C371,tblMoveTypes[Movement],0)),"?")="Yes",IFERROR(INDEX(tblMoveTypes[In / Out],MATCH($C371,tblMoveTypes[Movement],0)),"?")="IN"),"In  ","")&amp;IF(AND(IFERROR(INDEX(tblMoveTypes[Qty?],MATCH($C371,tblMoveTypes[Movement],0)),"?")="Yes",IFERROR(INDEX(tblMoveTypes[In / Out],MATCH($C371,tblMoveTypes[Movement],0)),"?")="OUT"),"Out  ","")&amp;IF(IFERROR(INDEX(tblMoveTypes[Orders?],MATCH($C371,tblMoveTypes[Movement],0)),"?")="Yes","Orders  ","")&amp;IF(IFERROR(INDEX(tblMoveTypes[Courier?],MATCH($C371,tblMoveTypes[Movement],0)),"?")="Yes","Courier  ","")&amp;IF(IFERROR(INDEX(tblMoveTypes[Reason?],MATCH($C371,tblMoveTypes[Movement],0)),"?")="Yes","Reason",""),"unknown movement"))</f>
        <v>OUT   fill: Item  Out  Reason</v>
      </c>
      <c r="E371" s="31" t="s">
        <v>72</v>
      </c>
      <c r="F371" s="33"/>
      <c r="G371" s="33" t="n">
        <v>3</v>
      </c>
      <c r="H371" s="33"/>
      <c r="I371" s="31"/>
      <c r="J371" s="31" t="s">
        <v>77</v>
      </c>
      <c r="K371" s="31"/>
      <c r="L371" s="31"/>
      <c r="M371" s="34" t="str">
        <f aca="false">IF($E371="","",IFERROR(INDEX(tblItems[Item Code],MATCH($E371,tblItems[Item Name],0)),"?"))</f>
        <v>EG-FG-MNG-05-02-01-01</v>
      </c>
      <c r="N371" s="34" t="str">
        <f aca="false">IF($B371="","",IFERROR(INDEX(tblShipment[Market],MATCH($B371,tblShipment[Shipment No],0)),"?"))</f>
        <v>Qatar</v>
      </c>
      <c r="O371" s="35" t="n">
        <f aca="false">N($F371)+N($G371)</f>
        <v>3</v>
      </c>
      <c r="P371" s="34" t="str">
        <f aca="false">IF($A371="","",IF($L371="Yes","VOID",IF(COUNTIFS(tblMoveTypes[Movement],$C371)=0,"Unknown movement",IF(COUNTIF(tblShipment[Shipment No],$B371)=0,"Unknown shipment",IF(AND(IFERROR(INDEX(tblMoveTypes[Item?],MATCH($C371,tblMoveTypes[Movement],0)),"?")="Yes",$E371=""),"Item needed",IF(AND(IFERROR(INDEX(tblMoveTypes[Item?],MATCH($C371,tblMoveTypes[Movement],0)),"?")="No",$E371&lt;&gt;""),"Leave Item blank",IF(AND(IFERROR(INDEX(tblMoveTypes[In / Out],MATCH($C371,tblMoveTypes[Movement],0)),"?")="IN",$G371&lt;&gt;""),"Use the In column, not Out",IF(AND(IFERROR(INDEX(tblMoveTypes[In / Out],MATCH($C371,tblMoveTypes[Movement],0)),"?")="OUT",$F371&lt;&gt;""),"Use the Out column, not In",IF(AND(IFERROR(INDEX(tblMoveTypes[Qty?],MATCH($C371,tblMoveTypes[Movement],0)),"?")="Yes",N($F371)+N($G371)&lt;=0),"Qty needed",IF(AND(IFERROR(INDEX(tblMoveTypes[Qty?],MATCH($C371,tblMoveTypes[Movement],0)),"?")="No",N($F371)+N($G371)&gt;0),"Leave In and Out blank",IF(AND(IFERROR(INDEX(tblMoveTypes[Courier?],MATCH($C371,tblMoveTypes[Movement],0)),"?")="Yes",$I371=""),"Courier needed",IF(AND(IFERROR(INDEX(tblMoveTypes[Courier?],MATCH($C371,tblMoveTypes[Movement],0)),"?")="No",$I371&lt;&gt;""),"Leave Courier blank",IF(AND(IFERROR(INDEX(tblMoveTypes[Orders?],MATCH($C371,tblMoveTypes[Movement],0)),"?")="Yes",$H371=""),"Orders needed",IF(AND(IFERROR(INDEX(tblMoveTypes[Orders?],MATCH($C371,tblMoveTypes[Movement],0)),"?")="No",$H371&lt;&gt;""),"Leave Orders blank",IF(AND(IFERROR(INDEX(tblMoveTypes[Reason?],MATCH($C371,tblMoveTypes[Movement],0)),"?")="Yes",$J371=""),"Reason needed",IF($A371&lt;_xlfn.MINIFS(tblShipment[Arrival Date],tblShipment[Shipment No],$B371),"Date before arrival",IF(AND($E371&lt;&gt;"",COUNTIFS(tblShipment[Shipment No],$B371,tblShipment[Item Name],$E371)=0),"Item not in this shipment","OK")))))))))))))))))</f>
        <v>OK</v>
      </c>
    </row>
    <row r="372" customFormat="false" ht="15" hidden="false" customHeight="false" outlineLevel="0" collapsed="false">
      <c r="A372" s="32" t="n">
        <v>46253</v>
      </c>
      <c r="B372" s="31" t="s">
        <v>168</v>
      </c>
      <c r="C372" s="31" t="s">
        <v>79</v>
      </c>
      <c r="D372" s="34" t="str">
        <f aca="false">IF($C372="","",IFERROR(IF(IFERROR(INDEX(tblMoveTypes[In / Out],MATCH($C372,tblMoveTypes[Movement],0)),"?")="IN","IN   ",IF(IFERROR(INDEX(tblMoveTypes[In / Out],MATCH($C372,tblMoveTypes[Movement],0)),"?")="OUT","OUT   ","--   "))&amp;"fill: "&amp;IF(IFERROR(INDEX(tblMoveTypes[Item?],MATCH($C372,tblMoveTypes[Movement],0)),"?")="Yes","Item  ","")&amp;IF(AND(IFERROR(INDEX(tblMoveTypes[Qty?],MATCH($C372,tblMoveTypes[Movement],0)),"?")="Yes",IFERROR(INDEX(tblMoveTypes[In / Out],MATCH($C372,tblMoveTypes[Movement],0)),"?")="IN"),"In  ","")&amp;IF(AND(IFERROR(INDEX(tblMoveTypes[Qty?],MATCH($C372,tblMoveTypes[Movement],0)),"?")="Yes",IFERROR(INDEX(tblMoveTypes[In / Out],MATCH($C372,tblMoveTypes[Movement],0)),"?")="OUT"),"Out  ","")&amp;IF(IFERROR(INDEX(tblMoveTypes[Orders?],MATCH($C372,tblMoveTypes[Movement],0)),"?")="Yes","Orders  ","")&amp;IF(IFERROR(INDEX(tblMoveTypes[Courier?],MATCH($C372,tblMoveTypes[Movement],0)),"?")="Yes","Courier  ","")&amp;IF(IFERROR(INDEX(tblMoveTypes[Reason?],MATCH($C372,tblMoveTypes[Movement],0)),"?")="Yes","Reason",""),"unknown movement"))</f>
        <v>IN   fill: Item  In  </v>
      </c>
      <c r="E372" s="31" t="s">
        <v>106</v>
      </c>
      <c r="F372" s="33" t="n">
        <v>25</v>
      </c>
      <c r="G372" s="33"/>
      <c r="H372" s="33"/>
      <c r="I372" s="31"/>
      <c r="J372" s="31"/>
      <c r="K372" s="31"/>
      <c r="L372" s="31"/>
      <c r="M372" s="34" t="str">
        <f aca="false">IF($E372="","",IFERROR(INDEX(tblItems[Item Code],MATCH($E372,tblItems[Item Name],0)),"?"))</f>
        <v>EG-FG-DAT-01-02-01-01</v>
      </c>
      <c r="N372" s="34" t="str">
        <f aca="false">IF($B372="","",IFERROR(INDEX(tblShipment[Market],MATCH($B372,tblShipment[Shipment No],0)),"?"))</f>
        <v>Qatar</v>
      </c>
      <c r="O372" s="35" t="n">
        <f aca="false">N($F372)+N($G372)</f>
        <v>25</v>
      </c>
      <c r="P372" s="34" t="str">
        <f aca="false">IF($A372="","",IF($L372="Yes","VOID",IF(COUNTIFS(tblMoveTypes[Movement],$C372)=0,"Unknown movement",IF(COUNTIF(tblShipment[Shipment No],$B372)=0,"Unknown shipment",IF(AND(IFERROR(INDEX(tblMoveTypes[Item?],MATCH($C372,tblMoveTypes[Movement],0)),"?")="Yes",$E372=""),"Item needed",IF(AND(IFERROR(INDEX(tblMoveTypes[Item?],MATCH($C372,tblMoveTypes[Movement],0)),"?")="No",$E372&lt;&gt;""),"Leave Item blank",IF(AND(IFERROR(INDEX(tblMoveTypes[In / Out],MATCH($C372,tblMoveTypes[Movement],0)),"?")="IN",$G372&lt;&gt;""),"Use the In column, not Out",IF(AND(IFERROR(INDEX(tblMoveTypes[In / Out],MATCH($C372,tblMoveTypes[Movement],0)),"?")="OUT",$F372&lt;&gt;""),"Use the Out column, not In",IF(AND(IFERROR(INDEX(tblMoveTypes[Qty?],MATCH($C372,tblMoveTypes[Movement],0)),"?")="Yes",N($F372)+N($G372)&lt;=0),"Qty needed",IF(AND(IFERROR(INDEX(tblMoveTypes[Qty?],MATCH($C372,tblMoveTypes[Movement],0)),"?")="No",N($F372)+N($G372)&gt;0),"Leave In and Out blank",IF(AND(IFERROR(INDEX(tblMoveTypes[Courier?],MATCH($C372,tblMoveTypes[Movement],0)),"?")="Yes",$I372=""),"Courier needed",IF(AND(IFERROR(INDEX(tblMoveTypes[Courier?],MATCH($C372,tblMoveTypes[Movement],0)),"?")="No",$I372&lt;&gt;""),"Leave Courier blank",IF(AND(IFERROR(INDEX(tblMoveTypes[Orders?],MATCH($C372,tblMoveTypes[Movement],0)),"?")="Yes",$H372=""),"Orders needed",IF(AND(IFERROR(INDEX(tblMoveTypes[Orders?],MATCH($C372,tblMoveTypes[Movement],0)),"?")="No",$H372&lt;&gt;""),"Leave Orders blank",IF(AND(IFERROR(INDEX(tblMoveTypes[Reason?],MATCH($C372,tblMoveTypes[Movement],0)),"?")="Yes",$J372=""),"Reason needed",IF($A372&lt;_xlfn.MINIFS(tblShipment[Arrival Date],tblShipment[Shipment No],$B372),"Date before arrival",IF(AND($E372&lt;&gt;"",COUNTIFS(tblShipment[Shipment No],$B372,tblShipment[Item Name],$E372)=0),"Item not in this shipment","OK")))))))))))))))))</f>
        <v>OK</v>
      </c>
    </row>
    <row r="373" customFormat="false" ht="15" hidden="false" customHeight="false" outlineLevel="0" collapsed="false">
      <c r="A373" s="32" t="n">
        <v>46253</v>
      </c>
      <c r="B373" s="31" t="s">
        <v>168</v>
      </c>
      <c r="C373" s="31" t="s">
        <v>79</v>
      </c>
      <c r="D373" s="34" t="str">
        <f aca="false">IF($C373="","",IFERROR(IF(IFERROR(INDEX(tblMoveTypes[In / Out],MATCH($C373,tblMoveTypes[Movement],0)),"?")="IN","IN   ",IF(IFERROR(INDEX(tblMoveTypes[In / Out],MATCH($C373,tblMoveTypes[Movement],0)),"?")="OUT","OUT   ","--   "))&amp;"fill: "&amp;IF(IFERROR(INDEX(tblMoveTypes[Item?],MATCH($C373,tblMoveTypes[Movement],0)),"?")="Yes","Item  ","")&amp;IF(AND(IFERROR(INDEX(tblMoveTypes[Qty?],MATCH($C373,tblMoveTypes[Movement],0)),"?")="Yes",IFERROR(INDEX(tblMoveTypes[In / Out],MATCH($C373,tblMoveTypes[Movement],0)),"?")="IN"),"In  ","")&amp;IF(AND(IFERROR(INDEX(tblMoveTypes[Qty?],MATCH($C373,tblMoveTypes[Movement],0)),"?")="Yes",IFERROR(INDEX(tblMoveTypes[In / Out],MATCH($C373,tblMoveTypes[Movement],0)),"?")="OUT"),"Out  ","")&amp;IF(IFERROR(INDEX(tblMoveTypes[Orders?],MATCH($C373,tblMoveTypes[Movement],0)),"?")="Yes","Orders  ","")&amp;IF(IFERROR(INDEX(tblMoveTypes[Courier?],MATCH($C373,tblMoveTypes[Movement],0)),"?")="Yes","Courier  ","")&amp;IF(IFERROR(INDEX(tblMoveTypes[Reason?],MATCH($C373,tblMoveTypes[Movement],0)),"?")="Yes","Reason",""),"unknown movement"))</f>
        <v>IN   fill: Item  In  </v>
      </c>
      <c r="E373" s="31" t="s">
        <v>84</v>
      </c>
      <c r="F373" s="33" t="n">
        <v>95</v>
      </c>
      <c r="G373" s="33"/>
      <c r="H373" s="33"/>
      <c r="I373" s="31"/>
      <c r="J373" s="31"/>
      <c r="K373" s="31"/>
      <c r="L373" s="31"/>
      <c r="M373" s="34" t="str">
        <f aca="false">IF($E373="","",IFERROR(INDEX(tblItems[Item Code],MATCH($E373,tblItems[Item Name],0)),"?"))</f>
        <v>EG-FG-MNG-12-02-01-01</v>
      </c>
      <c r="N373" s="34" t="str">
        <f aca="false">IF($B373="","",IFERROR(INDEX(tblShipment[Market],MATCH($B373,tblShipment[Shipment No],0)),"?"))</f>
        <v>Qatar</v>
      </c>
      <c r="O373" s="35" t="n">
        <f aca="false">N($F373)+N($G373)</f>
        <v>95</v>
      </c>
      <c r="P373" s="34" t="str">
        <f aca="false">IF($A373="","",IF($L373="Yes","VOID",IF(COUNTIFS(tblMoveTypes[Movement],$C373)=0,"Unknown movement",IF(COUNTIF(tblShipment[Shipment No],$B373)=0,"Unknown shipment",IF(AND(IFERROR(INDEX(tblMoveTypes[Item?],MATCH($C373,tblMoveTypes[Movement],0)),"?")="Yes",$E373=""),"Item needed",IF(AND(IFERROR(INDEX(tblMoveTypes[Item?],MATCH($C373,tblMoveTypes[Movement],0)),"?")="No",$E373&lt;&gt;""),"Leave Item blank",IF(AND(IFERROR(INDEX(tblMoveTypes[In / Out],MATCH($C373,tblMoveTypes[Movement],0)),"?")="IN",$G373&lt;&gt;""),"Use the In column, not Out",IF(AND(IFERROR(INDEX(tblMoveTypes[In / Out],MATCH($C373,tblMoveTypes[Movement],0)),"?")="OUT",$F373&lt;&gt;""),"Use the Out column, not In",IF(AND(IFERROR(INDEX(tblMoveTypes[Qty?],MATCH($C373,tblMoveTypes[Movement],0)),"?")="Yes",N($F373)+N($G373)&lt;=0),"Qty needed",IF(AND(IFERROR(INDEX(tblMoveTypes[Qty?],MATCH($C373,tblMoveTypes[Movement],0)),"?")="No",N($F373)+N($G373)&gt;0),"Leave In and Out blank",IF(AND(IFERROR(INDEX(tblMoveTypes[Courier?],MATCH($C373,tblMoveTypes[Movement],0)),"?")="Yes",$I373=""),"Courier needed",IF(AND(IFERROR(INDEX(tblMoveTypes[Courier?],MATCH($C373,tblMoveTypes[Movement],0)),"?")="No",$I373&lt;&gt;""),"Leave Courier blank",IF(AND(IFERROR(INDEX(tblMoveTypes[Orders?],MATCH($C373,tblMoveTypes[Movement],0)),"?")="Yes",$H373=""),"Orders needed",IF(AND(IFERROR(INDEX(tblMoveTypes[Orders?],MATCH($C373,tblMoveTypes[Movement],0)),"?")="No",$H373&lt;&gt;""),"Leave Orders blank",IF(AND(IFERROR(INDEX(tblMoveTypes[Reason?],MATCH($C373,tblMoveTypes[Movement],0)),"?")="Yes",$J373=""),"Reason needed",IF($A373&lt;_xlfn.MINIFS(tblShipment[Arrival Date],tblShipment[Shipment No],$B373),"Date before arrival",IF(AND($E373&lt;&gt;"",COUNTIFS(tblShipment[Shipment No],$B373,tblShipment[Item Name],$E373)=0),"Item not in this shipment","OK")))))))))))))))))</f>
        <v>OK</v>
      </c>
    </row>
    <row r="374" customFormat="false" ht="15" hidden="false" customHeight="false" outlineLevel="0" collapsed="false">
      <c r="A374" s="32" t="n">
        <v>46253</v>
      </c>
      <c r="B374" s="31" t="s">
        <v>168</v>
      </c>
      <c r="C374" s="31" t="s">
        <v>78</v>
      </c>
      <c r="D374" s="34" t="str">
        <f aca="false">IF($C374="","",IFERROR(IF(IFERROR(INDEX(tblMoveTypes[In / Out],MATCH($C374,tblMoveTypes[Movement],0)),"?")="IN","IN   ",IF(IFERROR(INDEX(tblMoveTypes[In / Out],MATCH($C374,tblMoveTypes[Movement],0)),"?")="OUT","OUT   ","--   "))&amp;"fill: "&amp;IF(IFERROR(INDEX(tblMoveTypes[Item?],MATCH($C374,tblMoveTypes[Movement],0)),"?")="Yes","Item  ","")&amp;IF(AND(IFERROR(INDEX(tblMoveTypes[Qty?],MATCH($C374,tblMoveTypes[Movement],0)),"?")="Yes",IFERROR(INDEX(tblMoveTypes[In / Out],MATCH($C374,tblMoveTypes[Movement],0)),"?")="IN"),"In  ","")&amp;IF(AND(IFERROR(INDEX(tblMoveTypes[Qty?],MATCH($C374,tblMoveTypes[Movement],0)),"?")="Yes",IFERROR(INDEX(tblMoveTypes[In / Out],MATCH($C374,tblMoveTypes[Movement],0)),"?")="OUT"),"Out  ","")&amp;IF(IFERROR(INDEX(tblMoveTypes[Orders?],MATCH($C374,tblMoveTypes[Movement],0)),"?")="Yes","Orders  ","")&amp;IF(IFERROR(INDEX(tblMoveTypes[Courier?],MATCH($C374,tblMoveTypes[Movement],0)),"?")="Yes","Courier  ","")&amp;IF(IFERROR(INDEX(tblMoveTypes[Reason?],MATCH($C374,tblMoveTypes[Movement],0)),"?")="Yes","Reason",""),"unknown movement"))</f>
        <v>OUT   fill: Item  Out  Reason</v>
      </c>
      <c r="E374" s="31" t="s">
        <v>84</v>
      </c>
      <c r="F374" s="33"/>
      <c r="G374" s="33" t="n">
        <v>1</v>
      </c>
      <c r="H374" s="33"/>
      <c r="I374" s="31"/>
      <c r="J374" s="31" t="s">
        <v>77</v>
      </c>
      <c r="K374" s="31"/>
      <c r="L374" s="31"/>
      <c r="M374" s="34" t="str">
        <f aca="false">IF($E374="","",IFERROR(INDEX(tblItems[Item Code],MATCH($E374,tblItems[Item Name],0)),"?"))</f>
        <v>EG-FG-MNG-12-02-01-01</v>
      </c>
      <c r="N374" s="34" t="str">
        <f aca="false">IF($B374="","",IFERROR(INDEX(tblShipment[Market],MATCH($B374,tblShipment[Shipment No],0)),"?"))</f>
        <v>Qatar</v>
      </c>
      <c r="O374" s="35" t="n">
        <f aca="false">N($F374)+N($G374)</f>
        <v>1</v>
      </c>
      <c r="P374" s="34" t="str">
        <f aca="false">IF($A374="","",IF($L374="Yes","VOID",IF(COUNTIFS(tblMoveTypes[Movement],$C374)=0,"Unknown movement",IF(COUNTIF(tblShipment[Shipment No],$B374)=0,"Unknown shipment",IF(AND(IFERROR(INDEX(tblMoveTypes[Item?],MATCH($C374,tblMoveTypes[Movement],0)),"?")="Yes",$E374=""),"Item needed",IF(AND(IFERROR(INDEX(tblMoveTypes[Item?],MATCH($C374,tblMoveTypes[Movement],0)),"?")="No",$E374&lt;&gt;""),"Leave Item blank",IF(AND(IFERROR(INDEX(tblMoveTypes[In / Out],MATCH($C374,tblMoveTypes[Movement],0)),"?")="IN",$G374&lt;&gt;""),"Use the In column, not Out",IF(AND(IFERROR(INDEX(tblMoveTypes[In / Out],MATCH($C374,tblMoveTypes[Movement],0)),"?")="OUT",$F374&lt;&gt;""),"Use the Out column, not In",IF(AND(IFERROR(INDEX(tblMoveTypes[Qty?],MATCH($C374,tblMoveTypes[Movement],0)),"?")="Yes",N($F374)+N($G374)&lt;=0),"Qty needed",IF(AND(IFERROR(INDEX(tblMoveTypes[Qty?],MATCH($C374,tblMoveTypes[Movement],0)),"?")="No",N($F374)+N($G374)&gt;0),"Leave In and Out blank",IF(AND(IFERROR(INDEX(tblMoveTypes[Courier?],MATCH($C374,tblMoveTypes[Movement],0)),"?")="Yes",$I374=""),"Courier needed",IF(AND(IFERROR(INDEX(tblMoveTypes[Courier?],MATCH($C374,tblMoveTypes[Movement],0)),"?")="No",$I374&lt;&gt;""),"Leave Courier blank",IF(AND(IFERROR(INDEX(tblMoveTypes[Orders?],MATCH($C374,tblMoveTypes[Movement],0)),"?")="Yes",$H374=""),"Orders needed",IF(AND(IFERROR(INDEX(tblMoveTypes[Orders?],MATCH($C374,tblMoveTypes[Movement],0)),"?")="No",$H374&lt;&gt;""),"Leave Orders blank",IF(AND(IFERROR(INDEX(tblMoveTypes[Reason?],MATCH($C374,tblMoveTypes[Movement],0)),"?")="Yes",$J374=""),"Reason needed",IF($A374&lt;_xlfn.MINIFS(tblShipment[Arrival Date],tblShipment[Shipment No],$B374),"Date before arrival",IF(AND($E374&lt;&gt;"",COUNTIFS(tblShipment[Shipment No],$B374,tblShipment[Item Name],$E374)=0),"Item not in this shipment","OK")))))))))))))))))</f>
        <v>OK</v>
      </c>
    </row>
    <row r="375" customFormat="false" ht="15" hidden="false" customHeight="false" outlineLevel="0" collapsed="false">
      <c r="A375" s="32" t="n">
        <v>46253</v>
      </c>
      <c r="B375" s="31" t="s">
        <v>168</v>
      </c>
      <c r="C375" s="31" t="s">
        <v>79</v>
      </c>
      <c r="D375" s="34" t="str">
        <f aca="false">IF($C375="","",IFERROR(IF(IFERROR(INDEX(tblMoveTypes[In / Out],MATCH($C375,tblMoveTypes[Movement],0)),"?")="IN","IN   ",IF(IFERROR(INDEX(tblMoveTypes[In / Out],MATCH($C375,tblMoveTypes[Movement],0)),"?")="OUT","OUT   ","--   "))&amp;"fill: "&amp;IF(IFERROR(INDEX(tblMoveTypes[Item?],MATCH($C375,tblMoveTypes[Movement],0)),"?")="Yes","Item  ","")&amp;IF(AND(IFERROR(INDEX(tblMoveTypes[Qty?],MATCH($C375,tblMoveTypes[Movement],0)),"?")="Yes",IFERROR(INDEX(tblMoveTypes[In / Out],MATCH($C375,tblMoveTypes[Movement],0)),"?")="IN"),"In  ","")&amp;IF(AND(IFERROR(INDEX(tblMoveTypes[Qty?],MATCH($C375,tblMoveTypes[Movement],0)),"?")="Yes",IFERROR(INDEX(tblMoveTypes[In / Out],MATCH($C375,tblMoveTypes[Movement],0)),"?")="OUT"),"Out  ","")&amp;IF(IFERROR(INDEX(tblMoveTypes[Orders?],MATCH($C375,tblMoveTypes[Movement],0)),"?")="Yes","Orders  ","")&amp;IF(IFERROR(INDEX(tblMoveTypes[Courier?],MATCH($C375,tblMoveTypes[Movement],0)),"?")="Yes","Courier  ","")&amp;IF(IFERROR(INDEX(tblMoveTypes[Reason?],MATCH($C375,tblMoveTypes[Movement],0)),"?")="Yes","Reason",""),"unknown movement"))</f>
        <v>IN   fill: Item  In  </v>
      </c>
      <c r="E375" s="31" t="s">
        <v>95</v>
      </c>
      <c r="F375" s="33" t="n">
        <v>40</v>
      </c>
      <c r="G375" s="33"/>
      <c r="H375" s="33"/>
      <c r="I375" s="31"/>
      <c r="J375" s="31"/>
      <c r="K375" s="31"/>
      <c r="L375" s="31"/>
      <c r="M375" s="34" t="str">
        <f aca="false">IF($E375="","",IFERROR(INDEX(tblItems[Item Code],MATCH($E375,tblItems[Item Name],0)),"?"))</f>
        <v>EG-FG-GUV-01-02-01-01</v>
      </c>
      <c r="N375" s="34" t="str">
        <f aca="false">IF($B375="","",IFERROR(INDEX(tblShipment[Market],MATCH($B375,tblShipment[Shipment No],0)),"?"))</f>
        <v>Qatar</v>
      </c>
      <c r="O375" s="35" t="n">
        <f aca="false">N($F375)+N($G375)</f>
        <v>40</v>
      </c>
      <c r="P375" s="34" t="str">
        <f aca="false">IF($A375="","",IF($L375="Yes","VOID",IF(COUNTIFS(tblMoveTypes[Movement],$C375)=0,"Unknown movement",IF(COUNTIF(tblShipment[Shipment No],$B375)=0,"Unknown shipment",IF(AND(IFERROR(INDEX(tblMoveTypes[Item?],MATCH($C375,tblMoveTypes[Movement],0)),"?")="Yes",$E375=""),"Item needed",IF(AND(IFERROR(INDEX(tblMoveTypes[Item?],MATCH($C375,tblMoveTypes[Movement],0)),"?")="No",$E375&lt;&gt;""),"Leave Item blank",IF(AND(IFERROR(INDEX(tblMoveTypes[In / Out],MATCH($C375,tblMoveTypes[Movement],0)),"?")="IN",$G375&lt;&gt;""),"Use the In column, not Out",IF(AND(IFERROR(INDEX(tblMoveTypes[In / Out],MATCH($C375,tblMoveTypes[Movement],0)),"?")="OUT",$F375&lt;&gt;""),"Use the Out column, not In",IF(AND(IFERROR(INDEX(tblMoveTypes[Qty?],MATCH($C375,tblMoveTypes[Movement],0)),"?")="Yes",N($F375)+N($G375)&lt;=0),"Qty needed",IF(AND(IFERROR(INDEX(tblMoveTypes[Qty?],MATCH($C375,tblMoveTypes[Movement],0)),"?")="No",N($F375)+N($G375)&gt;0),"Leave In and Out blank",IF(AND(IFERROR(INDEX(tblMoveTypes[Courier?],MATCH($C375,tblMoveTypes[Movement],0)),"?")="Yes",$I375=""),"Courier needed",IF(AND(IFERROR(INDEX(tblMoveTypes[Courier?],MATCH($C375,tblMoveTypes[Movement],0)),"?")="No",$I375&lt;&gt;""),"Leave Courier blank",IF(AND(IFERROR(INDEX(tblMoveTypes[Orders?],MATCH($C375,tblMoveTypes[Movement],0)),"?")="Yes",$H375=""),"Orders needed",IF(AND(IFERROR(INDEX(tblMoveTypes[Orders?],MATCH($C375,tblMoveTypes[Movement],0)),"?")="No",$H375&lt;&gt;""),"Leave Orders blank",IF(AND(IFERROR(INDEX(tblMoveTypes[Reason?],MATCH($C375,tblMoveTypes[Movement],0)),"?")="Yes",$J375=""),"Reason needed",IF($A375&lt;_xlfn.MINIFS(tblShipment[Arrival Date],tblShipment[Shipment No],$B375),"Date before arrival",IF(AND($E375&lt;&gt;"",COUNTIFS(tblShipment[Shipment No],$B375,tblShipment[Item Name],$E375)=0),"Item not in this shipment","OK")))))))))))))))))</f>
        <v>OK</v>
      </c>
    </row>
    <row r="376" customFormat="false" ht="15" hidden="false" customHeight="false" outlineLevel="0" collapsed="false">
      <c r="A376" s="32" t="n">
        <v>46253</v>
      </c>
      <c r="B376" s="31" t="s">
        <v>168</v>
      </c>
      <c r="C376" s="31" t="s">
        <v>79</v>
      </c>
      <c r="D376" s="34" t="str">
        <f aca="false">IF($C376="","",IFERROR(IF(IFERROR(INDEX(tblMoveTypes[In / Out],MATCH($C376,tblMoveTypes[Movement],0)),"?")="IN","IN   ",IF(IFERROR(INDEX(tblMoveTypes[In / Out],MATCH($C376,tblMoveTypes[Movement],0)),"?")="OUT","OUT   ","--   "))&amp;"fill: "&amp;IF(IFERROR(INDEX(tblMoveTypes[Item?],MATCH($C376,tblMoveTypes[Movement],0)),"?")="Yes","Item  ","")&amp;IF(AND(IFERROR(INDEX(tblMoveTypes[Qty?],MATCH($C376,tblMoveTypes[Movement],0)),"?")="Yes",IFERROR(INDEX(tblMoveTypes[In / Out],MATCH($C376,tblMoveTypes[Movement],0)),"?")="IN"),"In  ","")&amp;IF(AND(IFERROR(INDEX(tblMoveTypes[Qty?],MATCH($C376,tblMoveTypes[Movement],0)),"?")="Yes",IFERROR(INDEX(tblMoveTypes[In / Out],MATCH($C376,tblMoveTypes[Movement],0)),"?")="OUT"),"Out  ","")&amp;IF(IFERROR(INDEX(tblMoveTypes[Orders?],MATCH($C376,tblMoveTypes[Movement],0)),"?")="Yes","Orders  ","")&amp;IF(IFERROR(INDEX(tblMoveTypes[Courier?],MATCH($C376,tblMoveTypes[Movement],0)),"?")="Yes","Courier  ","")&amp;IF(IFERROR(INDEX(tblMoveTypes[Reason?],MATCH($C376,tblMoveTypes[Movement],0)),"?")="Yes","Reason",""),"unknown movement"))</f>
        <v>IN   fill: Item  In  </v>
      </c>
      <c r="E376" s="31" t="s">
        <v>100</v>
      </c>
      <c r="F376" s="33" t="n">
        <v>30</v>
      </c>
      <c r="G376" s="33"/>
      <c r="H376" s="33"/>
      <c r="I376" s="31"/>
      <c r="J376" s="31"/>
      <c r="K376" s="31"/>
      <c r="L376" s="31"/>
      <c r="M376" s="34" t="str">
        <f aca="false">IF($E376="","",IFERROR(INDEX(tblItems[Item Code],MATCH($E376,tblItems[Item Name],0)),"?"))</f>
        <v>EG-FG-MNG-18-02-01-01</v>
      </c>
      <c r="N376" s="34" t="str">
        <f aca="false">IF($B376="","",IFERROR(INDEX(tblShipment[Market],MATCH($B376,tblShipment[Shipment No],0)),"?"))</f>
        <v>Qatar</v>
      </c>
      <c r="O376" s="35" t="n">
        <f aca="false">N($F376)+N($G376)</f>
        <v>30</v>
      </c>
      <c r="P376" s="34" t="str">
        <f aca="false">IF($A376="","",IF($L376="Yes","VOID",IF(COUNTIFS(tblMoveTypes[Movement],$C376)=0,"Unknown movement",IF(COUNTIF(tblShipment[Shipment No],$B376)=0,"Unknown shipment",IF(AND(IFERROR(INDEX(tblMoveTypes[Item?],MATCH($C376,tblMoveTypes[Movement],0)),"?")="Yes",$E376=""),"Item needed",IF(AND(IFERROR(INDEX(tblMoveTypes[Item?],MATCH($C376,tblMoveTypes[Movement],0)),"?")="No",$E376&lt;&gt;""),"Leave Item blank",IF(AND(IFERROR(INDEX(tblMoveTypes[In / Out],MATCH($C376,tblMoveTypes[Movement],0)),"?")="IN",$G376&lt;&gt;""),"Use the In column, not Out",IF(AND(IFERROR(INDEX(tblMoveTypes[In / Out],MATCH($C376,tblMoveTypes[Movement],0)),"?")="OUT",$F376&lt;&gt;""),"Use the Out column, not In",IF(AND(IFERROR(INDEX(tblMoveTypes[Qty?],MATCH($C376,tblMoveTypes[Movement],0)),"?")="Yes",N($F376)+N($G376)&lt;=0),"Qty needed",IF(AND(IFERROR(INDEX(tblMoveTypes[Qty?],MATCH($C376,tblMoveTypes[Movement],0)),"?")="No",N($F376)+N($G376)&gt;0),"Leave In and Out blank",IF(AND(IFERROR(INDEX(tblMoveTypes[Courier?],MATCH($C376,tblMoveTypes[Movement],0)),"?")="Yes",$I376=""),"Courier needed",IF(AND(IFERROR(INDEX(tblMoveTypes[Courier?],MATCH($C376,tblMoveTypes[Movement],0)),"?")="No",$I376&lt;&gt;""),"Leave Courier blank",IF(AND(IFERROR(INDEX(tblMoveTypes[Orders?],MATCH($C376,tblMoveTypes[Movement],0)),"?")="Yes",$H376=""),"Orders needed",IF(AND(IFERROR(INDEX(tblMoveTypes[Orders?],MATCH($C376,tblMoveTypes[Movement],0)),"?")="No",$H376&lt;&gt;""),"Leave Orders blank",IF(AND(IFERROR(INDEX(tblMoveTypes[Reason?],MATCH($C376,tblMoveTypes[Movement],0)),"?")="Yes",$J376=""),"Reason needed",IF($A376&lt;_xlfn.MINIFS(tblShipment[Arrival Date],tblShipment[Shipment No],$B376),"Date before arrival",IF(AND($E376&lt;&gt;"",COUNTIFS(tblShipment[Shipment No],$B376,tblShipment[Item Name],$E376)=0),"Item not in this shipment","OK")))))))))))))))))</f>
        <v>OK</v>
      </c>
    </row>
    <row r="377" customFormat="false" ht="15" hidden="false" customHeight="false" outlineLevel="0" collapsed="false">
      <c r="A377" s="32" t="n">
        <v>46253</v>
      </c>
      <c r="B377" s="31" t="s">
        <v>168</v>
      </c>
      <c r="C377" s="31" t="s">
        <v>79</v>
      </c>
      <c r="D377" s="34" t="str">
        <f aca="false">IF($C377="","",IFERROR(IF(IFERROR(INDEX(tblMoveTypes[In / Out],MATCH($C377,tblMoveTypes[Movement],0)),"?")="IN","IN   ",IF(IFERROR(INDEX(tblMoveTypes[In / Out],MATCH($C377,tblMoveTypes[Movement],0)),"?")="OUT","OUT   ","--   "))&amp;"fill: "&amp;IF(IFERROR(INDEX(tblMoveTypes[Item?],MATCH($C377,tblMoveTypes[Movement],0)),"?")="Yes","Item  ","")&amp;IF(AND(IFERROR(INDEX(tblMoveTypes[Qty?],MATCH($C377,tblMoveTypes[Movement],0)),"?")="Yes",IFERROR(INDEX(tblMoveTypes[In / Out],MATCH($C377,tblMoveTypes[Movement],0)),"?")="IN"),"In  ","")&amp;IF(AND(IFERROR(INDEX(tblMoveTypes[Qty?],MATCH($C377,tblMoveTypes[Movement],0)),"?")="Yes",IFERROR(INDEX(tblMoveTypes[In / Out],MATCH($C377,tblMoveTypes[Movement],0)),"?")="OUT"),"Out  ","")&amp;IF(IFERROR(INDEX(tblMoveTypes[Orders?],MATCH($C377,tblMoveTypes[Movement],0)),"?")="Yes","Orders  ","")&amp;IF(IFERROR(INDEX(tblMoveTypes[Courier?],MATCH($C377,tblMoveTypes[Movement],0)),"?")="Yes","Courier  ","")&amp;IF(IFERROR(INDEX(tblMoveTypes[Reason?],MATCH($C377,tblMoveTypes[Movement],0)),"?")="Yes","Reason",""),"unknown movement"))</f>
        <v>IN   fill: Item  In  </v>
      </c>
      <c r="E377" s="31" t="s">
        <v>127</v>
      </c>
      <c r="F377" s="33" t="n">
        <v>20</v>
      </c>
      <c r="G377" s="33"/>
      <c r="H377" s="33"/>
      <c r="I377" s="31"/>
      <c r="J377" s="31"/>
      <c r="K377" s="31"/>
      <c r="L377" s="31"/>
      <c r="M377" s="34" t="str">
        <f aca="false">IF($E377="","",IFERROR(INDEX(tblItems[Item Code],MATCH($E377,tblItems[Item Name],0)),"?"))</f>
        <v>EG-FG-GRP-03-02-01-01</v>
      </c>
      <c r="N377" s="34" t="str">
        <f aca="false">IF($B377="","",IFERROR(INDEX(tblShipment[Market],MATCH($B377,tblShipment[Shipment No],0)),"?"))</f>
        <v>Qatar</v>
      </c>
      <c r="O377" s="35" t="n">
        <f aca="false">N($F377)+N($G377)</f>
        <v>20</v>
      </c>
      <c r="P377" s="34" t="str">
        <f aca="false">IF($A377="","",IF($L377="Yes","VOID",IF(COUNTIFS(tblMoveTypes[Movement],$C377)=0,"Unknown movement",IF(COUNTIF(tblShipment[Shipment No],$B377)=0,"Unknown shipment",IF(AND(IFERROR(INDEX(tblMoveTypes[Item?],MATCH($C377,tblMoveTypes[Movement],0)),"?")="Yes",$E377=""),"Item needed",IF(AND(IFERROR(INDEX(tblMoveTypes[Item?],MATCH($C377,tblMoveTypes[Movement],0)),"?")="No",$E377&lt;&gt;""),"Leave Item blank",IF(AND(IFERROR(INDEX(tblMoveTypes[In / Out],MATCH($C377,tblMoveTypes[Movement],0)),"?")="IN",$G377&lt;&gt;""),"Use the In column, not Out",IF(AND(IFERROR(INDEX(tblMoveTypes[In / Out],MATCH($C377,tblMoveTypes[Movement],0)),"?")="OUT",$F377&lt;&gt;""),"Use the Out column, not In",IF(AND(IFERROR(INDEX(tblMoveTypes[Qty?],MATCH($C377,tblMoveTypes[Movement],0)),"?")="Yes",N($F377)+N($G377)&lt;=0),"Qty needed",IF(AND(IFERROR(INDEX(tblMoveTypes[Qty?],MATCH($C377,tblMoveTypes[Movement],0)),"?")="No",N($F377)+N($G377)&gt;0),"Leave In and Out blank",IF(AND(IFERROR(INDEX(tblMoveTypes[Courier?],MATCH($C377,tblMoveTypes[Movement],0)),"?")="Yes",$I377=""),"Courier needed",IF(AND(IFERROR(INDEX(tblMoveTypes[Courier?],MATCH($C377,tblMoveTypes[Movement],0)),"?")="No",$I377&lt;&gt;""),"Leave Courier blank",IF(AND(IFERROR(INDEX(tblMoveTypes[Orders?],MATCH($C377,tblMoveTypes[Movement],0)),"?")="Yes",$H377=""),"Orders needed",IF(AND(IFERROR(INDEX(tblMoveTypes[Orders?],MATCH($C377,tblMoveTypes[Movement],0)),"?")="No",$H377&lt;&gt;""),"Leave Orders blank",IF(AND(IFERROR(INDEX(tblMoveTypes[Reason?],MATCH($C377,tblMoveTypes[Movement],0)),"?")="Yes",$J377=""),"Reason needed",IF($A377&lt;_xlfn.MINIFS(tblShipment[Arrival Date],tblShipment[Shipment No],$B377),"Date before arrival",IF(AND($E377&lt;&gt;"",COUNTIFS(tblShipment[Shipment No],$B377,tblShipment[Item Name],$E377)=0),"Item not in this shipment","OK")))))))))))))))))</f>
        <v>OK</v>
      </c>
    </row>
    <row r="378" customFormat="false" ht="15" hidden="false" customHeight="false" outlineLevel="0" collapsed="false">
      <c r="A378" s="32" t="n">
        <v>46253</v>
      </c>
      <c r="B378" s="31" t="s">
        <v>168</v>
      </c>
      <c r="C378" s="31" t="s">
        <v>79</v>
      </c>
      <c r="D378" s="34" t="str">
        <f aca="false">IF($C378="","",IFERROR(IF(IFERROR(INDEX(tblMoveTypes[In / Out],MATCH($C378,tblMoveTypes[Movement],0)),"?")="IN","IN   ",IF(IFERROR(INDEX(tblMoveTypes[In / Out],MATCH($C378,tblMoveTypes[Movement],0)),"?")="OUT","OUT   ","--   "))&amp;"fill: "&amp;IF(IFERROR(INDEX(tblMoveTypes[Item?],MATCH($C378,tblMoveTypes[Movement],0)),"?")="Yes","Item  ","")&amp;IF(AND(IFERROR(INDEX(tblMoveTypes[Qty?],MATCH($C378,tblMoveTypes[Movement],0)),"?")="Yes",IFERROR(INDEX(tblMoveTypes[In / Out],MATCH($C378,tblMoveTypes[Movement],0)),"?")="IN"),"In  ","")&amp;IF(AND(IFERROR(INDEX(tblMoveTypes[Qty?],MATCH($C378,tblMoveTypes[Movement],0)),"?")="Yes",IFERROR(INDEX(tblMoveTypes[In / Out],MATCH($C378,tblMoveTypes[Movement],0)),"?")="OUT"),"Out  ","")&amp;IF(IFERROR(INDEX(tblMoveTypes[Orders?],MATCH($C378,tblMoveTypes[Movement],0)),"?")="Yes","Orders  ","")&amp;IF(IFERROR(INDEX(tblMoveTypes[Courier?],MATCH($C378,tblMoveTypes[Movement],0)),"?")="Yes","Courier  ","")&amp;IF(IFERROR(INDEX(tblMoveTypes[Reason?],MATCH($C378,tblMoveTypes[Movement],0)),"?")="Yes","Reason",""),"unknown movement"))</f>
        <v>IN   fill: Item  In  </v>
      </c>
      <c r="E378" s="31" t="s">
        <v>141</v>
      </c>
      <c r="F378" s="33" t="n">
        <v>20</v>
      </c>
      <c r="G378" s="33"/>
      <c r="H378" s="33"/>
      <c r="I378" s="31"/>
      <c r="J378" s="31"/>
      <c r="K378" s="31"/>
      <c r="L378" s="31"/>
      <c r="M378" s="34" t="str">
        <f aca="false">IF($E378="","",IFERROR(INDEX(tblItems[Item Code],MATCH($E378,tblItems[Item Name],0)),"?"))</f>
        <v>EG-FG-CAN-01-02-01-01</v>
      </c>
      <c r="N378" s="34" t="str">
        <f aca="false">IF($B378="","",IFERROR(INDEX(tblShipment[Market],MATCH($B378,tblShipment[Shipment No],0)),"?"))</f>
        <v>Qatar</v>
      </c>
      <c r="O378" s="35" t="n">
        <f aca="false">N($F378)+N($G378)</f>
        <v>20</v>
      </c>
      <c r="P378" s="34" t="str">
        <f aca="false">IF($A378="","",IF($L378="Yes","VOID",IF(COUNTIFS(tblMoveTypes[Movement],$C378)=0,"Unknown movement",IF(COUNTIF(tblShipment[Shipment No],$B378)=0,"Unknown shipment",IF(AND(IFERROR(INDEX(tblMoveTypes[Item?],MATCH($C378,tblMoveTypes[Movement],0)),"?")="Yes",$E378=""),"Item needed",IF(AND(IFERROR(INDEX(tblMoveTypes[Item?],MATCH($C378,tblMoveTypes[Movement],0)),"?")="No",$E378&lt;&gt;""),"Leave Item blank",IF(AND(IFERROR(INDEX(tblMoveTypes[In / Out],MATCH($C378,tblMoveTypes[Movement],0)),"?")="IN",$G378&lt;&gt;""),"Use the In column, not Out",IF(AND(IFERROR(INDEX(tblMoveTypes[In / Out],MATCH($C378,tblMoveTypes[Movement],0)),"?")="OUT",$F378&lt;&gt;""),"Use the Out column, not In",IF(AND(IFERROR(INDEX(tblMoveTypes[Qty?],MATCH($C378,tblMoveTypes[Movement],0)),"?")="Yes",N($F378)+N($G378)&lt;=0),"Qty needed",IF(AND(IFERROR(INDEX(tblMoveTypes[Qty?],MATCH($C378,tblMoveTypes[Movement],0)),"?")="No",N($F378)+N($G378)&gt;0),"Leave In and Out blank",IF(AND(IFERROR(INDEX(tblMoveTypes[Courier?],MATCH($C378,tblMoveTypes[Movement],0)),"?")="Yes",$I378=""),"Courier needed",IF(AND(IFERROR(INDEX(tblMoveTypes[Courier?],MATCH($C378,tblMoveTypes[Movement],0)),"?")="No",$I378&lt;&gt;""),"Leave Courier blank",IF(AND(IFERROR(INDEX(tblMoveTypes[Orders?],MATCH($C378,tblMoveTypes[Movement],0)),"?")="Yes",$H378=""),"Orders needed",IF(AND(IFERROR(INDEX(tblMoveTypes[Orders?],MATCH($C378,tblMoveTypes[Movement],0)),"?")="No",$H378&lt;&gt;""),"Leave Orders blank",IF(AND(IFERROR(INDEX(tblMoveTypes[Reason?],MATCH($C378,tblMoveTypes[Movement],0)),"?")="Yes",$J378=""),"Reason needed",IF($A378&lt;_xlfn.MINIFS(tblShipment[Arrival Date],tblShipment[Shipment No],$B378),"Date before arrival",IF(AND($E378&lt;&gt;"",COUNTIFS(tblShipment[Shipment No],$B378,tblShipment[Item Name],$E378)=0),"Item not in this shipment","OK")))))))))))))))))</f>
        <v>OK</v>
      </c>
    </row>
    <row r="379" customFormat="false" ht="15" hidden="false" customHeight="false" outlineLevel="0" collapsed="false">
      <c r="A379" s="32" t="n">
        <v>46253</v>
      </c>
      <c r="B379" s="31" t="s">
        <v>168</v>
      </c>
      <c r="C379" s="31" t="s">
        <v>79</v>
      </c>
      <c r="D379" s="34" t="str">
        <f aca="false">IF($C379="","",IFERROR(IF(IFERROR(INDEX(tblMoveTypes[In / Out],MATCH($C379,tblMoveTypes[Movement],0)),"?")="IN","IN   ",IF(IFERROR(INDEX(tblMoveTypes[In / Out],MATCH($C379,tblMoveTypes[Movement],0)),"?")="OUT","OUT   ","--   "))&amp;"fill: "&amp;IF(IFERROR(INDEX(tblMoveTypes[Item?],MATCH($C379,tblMoveTypes[Movement],0)),"?")="Yes","Item  ","")&amp;IF(AND(IFERROR(INDEX(tblMoveTypes[Qty?],MATCH($C379,tblMoveTypes[Movement],0)),"?")="Yes",IFERROR(INDEX(tblMoveTypes[In / Out],MATCH($C379,tblMoveTypes[Movement],0)),"?")="IN"),"In  ","")&amp;IF(AND(IFERROR(INDEX(tblMoveTypes[Qty?],MATCH($C379,tblMoveTypes[Movement],0)),"?")="Yes",IFERROR(INDEX(tblMoveTypes[In / Out],MATCH($C379,tblMoveTypes[Movement],0)),"?")="OUT"),"Out  ","")&amp;IF(IFERROR(INDEX(tblMoveTypes[Orders?],MATCH($C379,tblMoveTypes[Movement],0)),"?")="Yes","Orders  ","")&amp;IF(IFERROR(INDEX(tblMoveTypes[Courier?],MATCH($C379,tblMoveTypes[Movement],0)),"?")="Yes","Courier  ","")&amp;IF(IFERROR(INDEX(tblMoveTypes[Reason?],MATCH($C379,tblMoveTypes[Movement],0)),"?")="Yes","Reason",""),"unknown movement"))</f>
        <v>IN   fill: Item  In  </v>
      </c>
      <c r="E379" s="31" t="s">
        <v>117</v>
      </c>
      <c r="F379" s="33" t="n">
        <v>20</v>
      </c>
      <c r="G379" s="33"/>
      <c r="H379" s="33"/>
      <c r="I379" s="31"/>
      <c r="J379" s="31"/>
      <c r="K379" s="31"/>
      <c r="L379" s="31"/>
      <c r="M379" s="34" t="str">
        <f aca="false">IF($E379="","",IFERROR(INDEX(tblItems[Item Code],MATCH($E379,tblItems[Item Name],0)),"?"))</f>
        <v>EG-FG-MNG-06-02-01-01</v>
      </c>
      <c r="N379" s="34" t="str">
        <f aca="false">IF($B379="","",IFERROR(INDEX(tblShipment[Market],MATCH($B379,tblShipment[Shipment No],0)),"?"))</f>
        <v>Qatar</v>
      </c>
      <c r="O379" s="35" t="n">
        <f aca="false">N($F379)+N($G379)</f>
        <v>20</v>
      </c>
      <c r="P379" s="34" t="str">
        <f aca="false">IF($A379="","",IF($L379="Yes","VOID",IF(COUNTIFS(tblMoveTypes[Movement],$C379)=0,"Unknown movement",IF(COUNTIF(tblShipment[Shipment No],$B379)=0,"Unknown shipment",IF(AND(IFERROR(INDEX(tblMoveTypes[Item?],MATCH($C379,tblMoveTypes[Movement],0)),"?")="Yes",$E379=""),"Item needed",IF(AND(IFERROR(INDEX(tblMoveTypes[Item?],MATCH($C379,tblMoveTypes[Movement],0)),"?")="No",$E379&lt;&gt;""),"Leave Item blank",IF(AND(IFERROR(INDEX(tblMoveTypes[In / Out],MATCH($C379,tblMoveTypes[Movement],0)),"?")="IN",$G379&lt;&gt;""),"Use the In column, not Out",IF(AND(IFERROR(INDEX(tblMoveTypes[In / Out],MATCH($C379,tblMoveTypes[Movement],0)),"?")="OUT",$F379&lt;&gt;""),"Use the Out column, not In",IF(AND(IFERROR(INDEX(tblMoveTypes[Qty?],MATCH($C379,tblMoveTypes[Movement],0)),"?")="Yes",N($F379)+N($G379)&lt;=0),"Qty needed",IF(AND(IFERROR(INDEX(tblMoveTypes[Qty?],MATCH($C379,tblMoveTypes[Movement],0)),"?")="No",N($F379)+N($G379)&gt;0),"Leave In and Out blank",IF(AND(IFERROR(INDEX(tblMoveTypes[Courier?],MATCH($C379,tblMoveTypes[Movement],0)),"?")="Yes",$I379=""),"Courier needed",IF(AND(IFERROR(INDEX(tblMoveTypes[Courier?],MATCH($C379,tblMoveTypes[Movement],0)),"?")="No",$I379&lt;&gt;""),"Leave Courier blank",IF(AND(IFERROR(INDEX(tblMoveTypes[Orders?],MATCH($C379,tblMoveTypes[Movement],0)),"?")="Yes",$H379=""),"Orders needed",IF(AND(IFERROR(INDEX(tblMoveTypes[Orders?],MATCH($C379,tblMoveTypes[Movement],0)),"?")="No",$H379&lt;&gt;""),"Leave Orders blank",IF(AND(IFERROR(INDEX(tblMoveTypes[Reason?],MATCH($C379,tblMoveTypes[Movement],0)),"?")="Yes",$J379=""),"Reason needed",IF($A379&lt;_xlfn.MINIFS(tblShipment[Arrival Date],tblShipment[Shipment No],$B379),"Date before arrival",IF(AND($E379&lt;&gt;"",COUNTIFS(tblShipment[Shipment No],$B379,tblShipment[Item Name],$E379)=0),"Item not in this shipment","OK")))))))))))))))))</f>
        <v>OK</v>
      </c>
    </row>
    <row r="380" customFormat="false" ht="15" hidden="false" customHeight="false" outlineLevel="0" collapsed="false">
      <c r="A380" s="32" t="n">
        <v>46253</v>
      </c>
      <c r="B380" s="31" t="s">
        <v>168</v>
      </c>
      <c r="C380" s="31" t="s">
        <v>103</v>
      </c>
      <c r="D380" s="34" t="str">
        <f aca="false">IF($C380="","",IFERROR(IF(IFERROR(INDEX(tblMoveTypes[In / Out],MATCH($C380,tblMoveTypes[Movement],0)),"?")="IN","IN   ",IF(IFERROR(INDEX(tblMoveTypes[In / Out],MATCH($C380,tblMoveTypes[Movement],0)),"?")="OUT","OUT   ","--   "))&amp;"fill: "&amp;IF(IFERROR(INDEX(tblMoveTypes[Item?],MATCH($C380,tblMoveTypes[Movement],0)),"?")="Yes","Item  ","")&amp;IF(AND(IFERROR(INDEX(tblMoveTypes[Qty?],MATCH($C380,tblMoveTypes[Movement],0)),"?")="Yes",IFERROR(INDEX(tblMoveTypes[In / Out],MATCH($C380,tblMoveTypes[Movement],0)),"?")="IN"),"In  ","")&amp;IF(AND(IFERROR(INDEX(tblMoveTypes[Qty?],MATCH($C380,tblMoveTypes[Movement],0)),"?")="Yes",IFERROR(INDEX(tblMoveTypes[In / Out],MATCH($C380,tblMoveTypes[Movement],0)),"?")="OUT"),"Out  ","")&amp;IF(IFERROR(INDEX(tblMoveTypes[Orders?],MATCH($C380,tblMoveTypes[Movement],0)),"?")="Yes","Orders  ","")&amp;IF(IFERROR(INDEX(tblMoveTypes[Courier?],MATCH($C380,tblMoveTypes[Movement],0)),"?")="Yes","Courier  ","")&amp;IF(IFERROR(INDEX(tblMoveTypes[Reason?],MATCH($C380,tblMoveTypes[Movement],0)),"?")="Yes","Reason",""),"unknown movement"))</f>
        <v>--   fill: Orders  </v>
      </c>
      <c r="E380" s="31"/>
      <c r="F380" s="33"/>
      <c r="G380" s="33"/>
      <c r="H380" s="33" t="n">
        <v>210</v>
      </c>
      <c r="I380" s="31"/>
      <c r="J380" s="31"/>
      <c r="K380" s="31"/>
      <c r="L380" s="31"/>
      <c r="M380" s="34" t="str">
        <f aca="false">IF($E380="","",IFERROR(INDEX(tblItems[Item Code],MATCH($E380,tblItems[Item Name],0)),"?"))</f>
        <v/>
      </c>
      <c r="N380" s="34" t="str">
        <f aca="false">IF($B380="","",IFERROR(INDEX(tblShipment[Market],MATCH($B380,tblShipment[Shipment No],0)),"?"))</f>
        <v>Qatar</v>
      </c>
      <c r="O380" s="35" t="n">
        <f aca="false">N($F380)+N($G380)</f>
        <v>0</v>
      </c>
      <c r="P380" s="34" t="str">
        <f aca="false">IF($A380="","",IF($L380="Yes","VOID",IF(COUNTIFS(tblMoveTypes[Movement],$C380)=0,"Unknown movement",IF(COUNTIF(tblShipment[Shipment No],$B380)=0,"Unknown shipment",IF(AND(IFERROR(INDEX(tblMoveTypes[Item?],MATCH($C380,tblMoveTypes[Movement],0)),"?")="Yes",$E380=""),"Item needed",IF(AND(IFERROR(INDEX(tblMoveTypes[Item?],MATCH($C380,tblMoveTypes[Movement],0)),"?")="No",$E380&lt;&gt;""),"Leave Item blank",IF(AND(IFERROR(INDEX(tblMoveTypes[In / Out],MATCH($C380,tblMoveTypes[Movement],0)),"?")="IN",$G380&lt;&gt;""),"Use the In column, not Out",IF(AND(IFERROR(INDEX(tblMoveTypes[In / Out],MATCH($C380,tblMoveTypes[Movement],0)),"?")="OUT",$F380&lt;&gt;""),"Use the Out column, not In",IF(AND(IFERROR(INDEX(tblMoveTypes[Qty?],MATCH($C380,tblMoveTypes[Movement],0)),"?")="Yes",N($F380)+N($G380)&lt;=0),"Qty needed",IF(AND(IFERROR(INDEX(tblMoveTypes[Qty?],MATCH($C380,tblMoveTypes[Movement],0)),"?")="No",N($F380)+N($G380)&gt;0),"Leave In and Out blank",IF(AND(IFERROR(INDEX(tblMoveTypes[Courier?],MATCH($C380,tblMoveTypes[Movement],0)),"?")="Yes",$I380=""),"Courier needed",IF(AND(IFERROR(INDEX(tblMoveTypes[Courier?],MATCH($C380,tblMoveTypes[Movement],0)),"?")="No",$I380&lt;&gt;""),"Leave Courier blank",IF(AND(IFERROR(INDEX(tblMoveTypes[Orders?],MATCH($C380,tblMoveTypes[Movement],0)),"?")="Yes",$H380=""),"Orders needed",IF(AND(IFERROR(INDEX(tblMoveTypes[Orders?],MATCH($C380,tblMoveTypes[Movement],0)),"?")="No",$H380&lt;&gt;""),"Leave Orders blank",IF(AND(IFERROR(INDEX(tblMoveTypes[Reason?],MATCH($C380,tblMoveTypes[Movement],0)),"?")="Yes",$J380=""),"Reason needed",IF($A380&lt;_xlfn.MINIFS(tblShipment[Arrival Date],tblShipment[Shipment No],$B380),"Date before arrival",IF(AND($E380&lt;&gt;"",COUNTIFS(tblShipment[Shipment No],$B380,tblShipment[Item Name],$E380)=0),"Item not in this shipment","OK")))))))))))))))))</f>
        <v>OK</v>
      </c>
    </row>
    <row r="381" customFormat="false" ht="15" hidden="false" customHeight="false" outlineLevel="0" collapsed="false">
      <c r="A381" s="32" t="n">
        <v>46253</v>
      </c>
      <c r="B381" s="31" t="s">
        <v>168</v>
      </c>
      <c r="C381" s="31" t="s">
        <v>98</v>
      </c>
      <c r="D381" s="34" t="str">
        <f aca="false">IF($C381="","",IFERROR(IF(IFERROR(INDEX(tblMoveTypes[In / Out],MATCH($C381,tblMoveTypes[Movement],0)),"?")="IN","IN   ",IF(IFERROR(INDEX(tblMoveTypes[In / Out],MATCH($C381,tblMoveTypes[Movement],0)),"?")="OUT","OUT   ","--   "))&amp;"fill: "&amp;IF(IFERROR(INDEX(tblMoveTypes[Item?],MATCH($C381,tblMoveTypes[Movement],0)),"?")="Yes","Item  ","")&amp;IF(AND(IFERROR(INDEX(tblMoveTypes[Qty?],MATCH($C381,tblMoveTypes[Movement],0)),"?")="Yes",IFERROR(INDEX(tblMoveTypes[In / Out],MATCH($C381,tblMoveTypes[Movement],0)),"?")="IN"),"In  ","")&amp;IF(AND(IFERROR(INDEX(tblMoveTypes[Qty?],MATCH($C381,tblMoveTypes[Movement],0)),"?")="Yes",IFERROR(INDEX(tblMoveTypes[In / Out],MATCH($C381,tblMoveTypes[Movement],0)),"?")="OUT"),"Out  ","")&amp;IF(IFERROR(INDEX(tblMoveTypes[Orders?],MATCH($C381,tblMoveTypes[Movement],0)),"?")="Yes","Orders  ","")&amp;IF(IFERROR(INDEX(tblMoveTypes[Courier?],MATCH($C381,tblMoveTypes[Movement],0)),"?")="Yes","Courier  ","")&amp;IF(IFERROR(INDEX(tblMoveTypes[Reason?],MATCH($C381,tblMoveTypes[Movement],0)),"?")="Yes","Reason",""),"unknown movement"))</f>
        <v>OUT   fill: Item  Out  Courier  </v>
      </c>
      <c r="E381" s="31" t="s">
        <v>112</v>
      </c>
      <c r="F381" s="33"/>
      <c r="G381" s="33" t="n">
        <v>23</v>
      </c>
      <c r="H381" s="33"/>
      <c r="I381" s="31" t="s">
        <v>76</v>
      </c>
      <c r="J381" s="31"/>
      <c r="K381" s="31"/>
      <c r="L381" s="31"/>
      <c r="M381" s="34" t="str">
        <f aca="false">IF($E381="","",IFERROR(INDEX(tblItems[Item Code],MATCH($E381,tblItems[Item Name],0)),"?"))</f>
        <v>BOX-TRIO-01</v>
      </c>
      <c r="N381" s="34" t="str">
        <f aca="false">IF($B381="","",IFERROR(INDEX(tblShipment[Market],MATCH($B381,tblShipment[Shipment No],0)),"?"))</f>
        <v>Qatar</v>
      </c>
      <c r="O381" s="35" t="n">
        <f aca="false">N($F381)+N($G381)</f>
        <v>23</v>
      </c>
      <c r="P381" s="34" t="str">
        <f aca="false">IF($A381="","",IF($L381="Yes","VOID",IF(COUNTIFS(tblMoveTypes[Movement],$C381)=0,"Unknown movement",IF(COUNTIF(tblShipment[Shipment No],$B381)=0,"Unknown shipment",IF(AND(IFERROR(INDEX(tblMoveTypes[Item?],MATCH($C381,tblMoveTypes[Movement],0)),"?")="Yes",$E381=""),"Item needed",IF(AND(IFERROR(INDEX(tblMoveTypes[Item?],MATCH($C381,tblMoveTypes[Movement],0)),"?")="No",$E381&lt;&gt;""),"Leave Item blank",IF(AND(IFERROR(INDEX(tblMoveTypes[In / Out],MATCH($C381,tblMoveTypes[Movement],0)),"?")="IN",$G381&lt;&gt;""),"Use the In column, not Out",IF(AND(IFERROR(INDEX(tblMoveTypes[In / Out],MATCH($C381,tblMoveTypes[Movement],0)),"?")="OUT",$F381&lt;&gt;""),"Use the Out column, not In",IF(AND(IFERROR(INDEX(tblMoveTypes[Qty?],MATCH($C381,tblMoveTypes[Movement],0)),"?")="Yes",N($F381)+N($G381)&lt;=0),"Qty needed",IF(AND(IFERROR(INDEX(tblMoveTypes[Qty?],MATCH($C381,tblMoveTypes[Movement],0)),"?")="No",N($F381)+N($G381)&gt;0),"Leave In and Out blank",IF(AND(IFERROR(INDEX(tblMoveTypes[Courier?],MATCH($C381,tblMoveTypes[Movement],0)),"?")="Yes",$I381=""),"Courier needed",IF(AND(IFERROR(INDEX(tblMoveTypes[Courier?],MATCH($C381,tblMoveTypes[Movement],0)),"?")="No",$I381&lt;&gt;""),"Leave Courier blank",IF(AND(IFERROR(INDEX(tblMoveTypes[Orders?],MATCH($C381,tblMoveTypes[Movement],0)),"?")="Yes",$H381=""),"Orders needed",IF(AND(IFERROR(INDEX(tblMoveTypes[Orders?],MATCH($C381,tblMoveTypes[Movement],0)),"?")="No",$H381&lt;&gt;""),"Leave Orders blank",IF(AND(IFERROR(INDEX(tblMoveTypes[Reason?],MATCH($C381,tblMoveTypes[Movement],0)),"?")="Yes",$J381=""),"Reason needed",IF($A381&lt;_xlfn.MINIFS(tblShipment[Arrival Date],tblShipment[Shipment No],$B381),"Date before arrival",IF(AND($E381&lt;&gt;"",COUNTIFS(tblShipment[Shipment No],$B381,tblShipment[Item Name],$E381)=0),"Item not in this shipment","OK")))))))))))))))))</f>
        <v>OK</v>
      </c>
    </row>
    <row r="382" customFormat="false" ht="15" hidden="false" customHeight="false" outlineLevel="0" collapsed="false">
      <c r="A382" s="32" t="n">
        <v>46253</v>
      </c>
      <c r="B382" s="31" t="s">
        <v>168</v>
      </c>
      <c r="C382" s="31" t="s">
        <v>98</v>
      </c>
      <c r="D382" s="34" t="str">
        <f aca="false">IF($C382="","",IFERROR(IF(IFERROR(INDEX(tblMoveTypes[In / Out],MATCH($C382,tblMoveTypes[Movement],0)),"?")="IN","IN   ",IF(IFERROR(INDEX(tblMoveTypes[In / Out],MATCH($C382,tblMoveTypes[Movement],0)),"?")="OUT","OUT   ","--   "))&amp;"fill: "&amp;IF(IFERROR(INDEX(tblMoveTypes[Item?],MATCH($C382,tblMoveTypes[Movement],0)),"?")="Yes","Item  ","")&amp;IF(AND(IFERROR(INDEX(tblMoveTypes[Qty?],MATCH($C382,tblMoveTypes[Movement],0)),"?")="Yes",IFERROR(INDEX(tblMoveTypes[In / Out],MATCH($C382,tblMoveTypes[Movement],0)),"?")="IN"),"In  ","")&amp;IF(AND(IFERROR(INDEX(tblMoveTypes[Qty?],MATCH($C382,tblMoveTypes[Movement],0)),"?")="Yes",IFERROR(INDEX(tblMoveTypes[In / Out],MATCH($C382,tblMoveTypes[Movement],0)),"?")="OUT"),"Out  ","")&amp;IF(IFERROR(INDEX(tblMoveTypes[Orders?],MATCH($C382,tblMoveTypes[Movement],0)),"?")="Yes","Orders  ","")&amp;IF(IFERROR(INDEX(tblMoveTypes[Courier?],MATCH($C382,tblMoveTypes[Movement],0)),"?")="Yes","Courier  ","")&amp;IF(IFERROR(INDEX(tblMoveTypes[Reason?],MATCH($C382,tblMoveTypes[Movement],0)),"?")="Yes","Reason",""),"unknown movement"))</f>
        <v>OUT   fill: Item  Out  Courier  </v>
      </c>
      <c r="E382" s="31" t="s">
        <v>91</v>
      </c>
      <c r="F382" s="33"/>
      <c r="G382" s="33" t="n">
        <v>67</v>
      </c>
      <c r="H382" s="33"/>
      <c r="I382" s="31" t="s">
        <v>76</v>
      </c>
      <c r="J382" s="31"/>
      <c r="K382" s="31"/>
      <c r="L382" s="31"/>
      <c r="M382" s="34" t="str">
        <f aca="false">IF($E382="","",IFERROR(INDEX(tblItems[Item Code],MATCH($E382,tblItems[Item Name],0)),"?"))</f>
        <v>EG-FG-FIG-01-02-01-01</v>
      </c>
      <c r="N382" s="34" t="str">
        <f aca="false">IF($B382="","",IFERROR(INDEX(tblShipment[Market],MATCH($B382,tblShipment[Shipment No],0)),"?"))</f>
        <v>Qatar</v>
      </c>
      <c r="O382" s="35" t="n">
        <f aca="false">N($F382)+N($G382)</f>
        <v>67</v>
      </c>
      <c r="P382" s="34" t="str">
        <f aca="false">IF($A382="","",IF($L382="Yes","VOID",IF(COUNTIFS(tblMoveTypes[Movement],$C382)=0,"Unknown movement",IF(COUNTIF(tblShipment[Shipment No],$B382)=0,"Unknown shipment",IF(AND(IFERROR(INDEX(tblMoveTypes[Item?],MATCH($C382,tblMoveTypes[Movement],0)),"?")="Yes",$E382=""),"Item needed",IF(AND(IFERROR(INDEX(tblMoveTypes[Item?],MATCH($C382,tblMoveTypes[Movement],0)),"?")="No",$E382&lt;&gt;""),"Leave Item blank",IF(AND(IFERROR(INDEX(tblMoveTypes[In / Out],MATCH($C382,tblMoveTypes[Movement],0)),"?")="IN",$G382&lt;&gt;""),"Use the In column, not Out",IF(AND(IFERROR(INDEX(tblMoveTypes[In / Out],MATCH($C382,tblMoveTypes[Movement],0)),"?")="OUT",$F382&lt;&gt;""),"Use the Out column, not In",IF(AND(IFERROR(INDEX(tblMoveTypes[Qty?],MATCH($C382,tblMoveTypes[Movement],0)),"?")="Yes",N($F382)+N($G382)&lt;=0),"Qty needed",IF(AND(IFERROR(INDEX(tblMoveTypes[Qty?],MATCH($C382,tblMoveTypes[Movement],0)),"?")="No",N($F382)+N($G382)&gt;0),"Leave In and Out blank",IF(AND(IFERROR(INDEX(tblMoveTypes[Courier?],MATCH($C382,tblMoveTypes[Movement],0)),"?")="Yes",$I382=""),"Courier needed",IF(AND(IFERROR(INDEX(tblMoveTypes[Courier?],MATCH($C382,tblMoveTypes[Movement],0)),"?")="No",$I382&lt;&gt;""),"Leave Courier blank",IF(AND(IFERROR(INDEX(tblMoveTypes[Orders?],MATCH($C382,tblMoveTypes[Movement],0)),"?")="Yes",$H382=""),"Orders needed",IF(AND(IFERROR(INDEX(tblMoveTypes[Orders?],MATCH($C382,tblMoveTypes[Movement],0)),"?")="No",$H382&lt;&gt;""),"Leave Orders blank",IF(AND(IFERROR(INDEX(tblMoveTypes[Reason?],MATCH($C382,tblMoveTypes[Movement],0)),"?")="Yes",$J382=""),"Reason needed",IF($A382&lt;_xlfn.MINIFS(tblShipment[Arrival Date],tblShipment[Shipment No],$B382),"Date before arrival",IF(AND($E382&lt;&gt;"",COUNTIFS(tblShipment[Shipment No],$B382,tblShipment[Item Name],$E382)=0),"Item not in this shipment","OK")))))))))))))))))</f>
        <v>OK</v>
      </c>
    </row>
    <row r="383" customFormat="false" ht="15" hidden="false" customHeight="false" outlineLevel="0" collapsed="false">
      <c r="A383" s="32" t="n">
        <v>46253</v>
      </c>
      <c r="B383" s="31" t="s">
        <v>168</v>
      </c>
      <c r="C383" s="31" t="s">
        <v>98</v>
      </c>
      <c r="D383" s="34" t="str">
        <f aca="false">IF($C383="","",IFERROR(IF(IFERROR(INDEX(tblMoveTypes[In / Out],MATCH($C383,tblMoveTypes[Movement],0)),"?")="IN","IN   ",IF(IFERROR(INDEX(tblMoveTypes[In / Out],MATCH($C383,tblMoveTypes[Movement],0)),"?")="OUT","OUT   ","--   "))&amp;"fill: "&amp;IF(IFERROR(INDEX(tblMoveTypes[Item?],MATCH($C383,tblMoveTypes[Movement],0)),"?")="Yes","Item  ","")&amp;IF(AND(IFERROR(INDEX(tblMoveTypes[Qty?],MATCH($C383,tblMoveTypes[Movement],0)),"?")="Yes",IFERROR(INDEX(tblMoveTypes[In / Out],MATCH($C383,tblMoveTypes[Movement],0)),"?")="IN"),"In  ","")&amp;IF(AND(IFERROR(INDEX(tblMoveTypes[Qty?],MATCH($C383,tblMoveTypes[Movement],0)),"?")="Yes",IFERROR(INDEX(tblMoveTypes[In / Out],MATCH($C383,tblMoveTypes[Movement],0)),"?")="OUT"),"Out  ","")&amp;IF(IFERROR(INDEX(tblMoveTypes[Orders?],MATCH($C383,tblMoveTypes[Movement],0)),"?")="Yes","Orders  ","")&amp;IF(IFERROR(INDEX(tblMoveTypes[Courier?],MATCH($C383,tblMoveTypes[Movement],0)),"?")="Yes","Courier  ","")&amp;IF(IFERROR(INDEX(tblMoveTypes[Reason?],MATCH($C383,tblMoveTypes[Movement],0)),"?")="Yes","Reason",""),"unknown movement"))</f>
        <v>OUT   fill: Item  Out  Courier  </v>
      </c>
      <c r="E383" s="31" t="s">
        <v>72</v>
      </c>
      <c r="F383" s="33"/>
      <c r="G383" s="33" t="n">
        <v>109</v>
      </c>
      <c r="H383" s="33"/>
      <c r="I383" s="31" t="s">
        <v>76</v>
      </c>
      <c r="J383" s="31"/>
      <c r="K383" s="31"/>
      <c r="L383" s="31"/>
      <c r="M383" s="34" t="str">
        <f aca="false">IF($E383="","",IFERROR(INDEX(tblItems[Item Code],MATCH($E383,tblItems[Item Name],0)),"?"))</f>
        <v>EG-FG-MNG-05-02-01-01</v>
      </c>
      <c r="N383" s="34" t="str">
        <f aca="false">IF($B383="","",IFERROR(INDEX(tblShipment[Market],MATCH($B383,tblShipment[Shipment No],0)),"?"))</f>
        <v>Qatar</v>
      </c>
      <c r="O383" s="35" t="n">
        <f aca="false">N($F383)+N($G383)</f>
        <v>109</v>
      </c>
      <c r="P383" s="34" t="str">
        <f aca="false">IF($A383="","",IF($L383="Yes","VOID",IF(COUNTIFS(tblMoveTypes[Movement],$C383)=0,"Unknown movement",IF(COUNTIF(tblShipment[Shipment No],$B383)=0,"Unknown shipment",IF(AND(IFERROR(INDEX(tblMoveTypes[Item?],MATCH($C383,tblMoveTypes[Movement],0)),"?")="Yes",$E383=""),"Item needed",IF(AND(IFERROR(INDEX(tblMoveTypes[Item?],MATCH($C383,tblMoveTypes[Movement],0)),"?")="No",$E383&lt;&gt;""),"Leave Item blank",IF(AND(IFERROR(INDEX(tblMoveTypes[In / Out],MATCH($C383,tblMoveTypes[Movement],0)),"?")="IN",$G383&lt;&gt;""),"Use the In column, not Out",IF(AND(IFERROR(INDEX(tblMoveTypes[In / Out],MATCH($C383,tblMoveTypes[Movement],0)),"?")="OUT",$F383&lt;&gt;""),"Use the Out column, not In",IF(AND(IFERROR(INDEX(tblMoveTypes[Qty?],MATCH($C383,tblMoveTypes[Movement],0)),"?")="Yes",N($F383)+N($G383)&lt;=0),"Qty needed",IF(AND(IFERROR(INDEX(tblMoveTypes[Qty?],MATCH($C383,tblMoveTypes[Movement],0)),"?")="No",N($F383)+N($G383)&gt;0),"Leave In and Out blank",IF(AND(IFERROR(INDEX(tblMoveTypes[Courier?],MATCH($C383,tblMoveTypes[Movement],0)),"?")="Yes",$I383=""),"Courier needed",IF(AND(IFERROR(INDEX(tblMoveTypes[Courier?],MATCH($C383,tblMoveTypes[Movement],0)),"?")="No",$I383&lt;&gt;""),"Leave Courier blank",IF(AND(IFERROR(INDEX(tblMoveTypes[Orders?],MATCH($C383,tblMoveTypes[Movement],0)),"?")="Yes",$H383=""),"Orders needed",IF(AND(IFERROR(INDEX(tblMoveTypes[Orders?],MATCH($C383,tblMoveTypes[Movement],0)),"?")="No",$H383&lt;&gt;""),"Leave Orders blank",IF(AND(IFERROR(INDEX(tblMoveTypes[Reason?],MATCH($C383,tblMoveTypes[Movement],0)),"?")="Yes",$J383=""),"Reason needed",IF($A383&lt;_xlfn.MINIFS(tblShipment[Arrival Date],tblShipment[Shipment No],$B383),"Date before arrival",IF(AND($E383&lt;&gt;"",COUNTIFS(tblShipment[Shipment No],$B383,tblShipment[Item Name],$E383)=0),"Item not in this shipment","OK")))))))))))))))))</f>
        <v>OK</v>
      </c>
    </row>
    <row r="384" customFormat="false" ht="15" hidden="false" customHeight="false" outlineLevel="0" collapsed="false">
      <c r="A384" s="32" t="n">
        <v>46253</v>
      </c>
      <c r="B384" s="31" t="s">
        <v>168</v>
      </c>
      <c r="C384" s="31" t="s">
        <v>98</v>
      </c>
      <c r="D384" s="34" t="str">
        <f aca="false">IF($C384="","",IFERROR(IF(IFERROR(INDEX(tblMoveTypes[In / Out],MATCH($C384,tblMoveTypes[Movement],0)),"?")="IN","IN   ",IF(IFERROR(INDEX(tblMoveTypes[In / Out],MATCH($C384,tblMoveTypes[Movement],0)),"?")="OUT","OUT   ","--   "))&amp;"fill: "&amp;IF(IFERROR(INDEX(tblMoveTypes[Item?],MATCH($C384,tblMoveTypes[Movement],0)),"?")="Yes","Item  ","")&amp;IF(AND(IFERROR(INDEX(tblMoveTypes[Qty?],MATCH($C384,tblMoveTypes[Movement],0)),"?")="Yes",IFERROR(INDEX(tblMoveTypes[In / Out],MATCH($C384,tblMoveTypes[Movement],0)),"?")="IN"),"In  ","")&amp;IF(AND(IFERROR(INDEX(tblMoveTypes[Qty?],MATCH($C384,tblMoveTypes[Movement],0)),"?")="Yes",IFERROR(INDEX(tblMoveTypes[In / Out],MATCH($C384,tblMoveTypes[Movement],0)),"?")="OUT"),"Out  ","")&amp;IF(IFERROR(INDEX(tblMoveTypes[Orders?],MATCH($C384,tblMoveTypes[Movement],0)),"?")="Yes","Orders  ","")&amp;IF(IFERROR(INDEX(tblMoveTypes[Courier?],MATCH($C384,tblMoveTypes[Movement],0)),"?")="Yes","Courier  ","")&amp;IF(IFERROR(INDEX(tblMoveTypes[Reason?],MATCH($C384,tblMoveTypes[Movement],0)),"?")="Yes","Reason",""),"unknown movement"))</f>
        <v>OUT   fill: Item  Out  Courier  </v>
      </c>
      <c r="E384" s="31" t="s">
        <v>106</v>
      </c>
      <c r="F384" s="33"/>
      <c r="G384" s="33" t="n">
        <v>20</v>
      </c>
      <c r="H384" s="33"/>
      <c r="I384" s="31" t="s">
        <v>76</v>
      </c>
      <c r="J384" s="31"/>
      <c r="K384" s="31"/>
      <c r="L384" s="31"/>
      <c r="M384" s="34" t="str">
        <f aca="false">IF($E384="","",IFERROR(INDEX(tblItems[Item Code],MATCH($E384,tblItems[Item Name],0)),"?"))</f>
        <v>EG-FG-DAT-01-02-01-01</v>
      </c>
      <c r="N384" s="34" t="str">
        <f aca="false">IF($B384="","",IFERROR(INDEX(tblShipment[Market],MATCH($B384,tblShipment[Shipment No],0)),"?"))</f>
        <v>Qatar</v>
      </c>
      <c r="O384" s="35" t="n">
        <f aca="false">N($F384)+N($G384)</f>
        <v>20</v>
      </c>
      <c r="P384" s="34" t="str">
        <f aca="false">IF($A384="","",IF($L384="Yes","VOID",IF(COUNTIFS(tblMoveTypes[Movement],$C384)=0,"Unknown movement",IF(COUNTIF(tblShipment[Shipment No],$B384)=0,"Unknown shipment",IF(AND(IFERROR(INDEX(tblMoveTypes[Item?],MATCH($C384,tblMoveTypes[Movement],0)),"?")="Yes",$E384=""),"Item needed",IF(AND(IFERROR(INDEX(tblMoveTypes[Item?],MATCH($C384,tblMoveTypes[Movement],0)),"?")="No",$E384&lt;&gt;""),"Leave Item blank",IF(AND(IFERROR(INDEX(tblMoveTypes[In / Out],MATCH($C384,tblMoveTypes[Movement],0)),"?")="IN",$G384&lt;&gt;""),"Use the In column, not Out",IF(AND(IFERROR(INDEX(tblMoveTypes[In / Out],MATCH($C384,tblMoveTypes[Movement],0)),"?")="OUT",$F384&lt;&gt;""),"Use the Out column, not In",IF(AND(IFERROR(INDEX(tblMoveTypes[Qty?],MATCH($C384,tblMoveTypes[Movement],0)),"?")="Yes",N($F384)+N($G384)&lt;=0),"Qty needed",IF(AND(IFERROR(INDEX(tblMoveTypes[Qty?],MATCH($C384,tblMoveTypes[Movement],0)),"?")="No",N($F384)+N($G384)&gt;0),"Leave In and Out blank",IF(AND(IFERROR(INDEX(tblMoveTypes[Courier?],MATCH($C384,tblMoveTypes[Movement],0)),"?")="Yes",$I384=""),"Courier needed",IF(AND(IFERROR(INDEX(tblMoveTypes[Courier?],MATCH($C384,tblMoveTypes[Movement],0)),"?")="No",$I384&lt;&gt;""),"Leave Courier blank",IF(AND(IFERROR(INDEX(tblMoveTypes[Orders?],MATCH($C384,tblMoveTypes[Movement],0)),"?")="Yes",$H384=""),"Orders needed",IF(AND(IFERROR(INDEX(tblMoveTypes[Orders?],MATCH($C384,tblMoveTypes[Movement],0)),"?")="No",$H384&lt;&gt;""),"Leave Orders blank",IF(AND(IFERROR(INDEX(tblMoveTypes[Reason?],MATCH($C384,tblMoveTypes[Movement],0)),"?")="Yes",$J384=""),"Reason needed",IF($A384&lt;_xlfn.MINIFS(tblShipment[Arrival Date],tblShipment[Shipment No],$B384),"Date before arrival",IF(AND($E384&lt;&gt;"",COUNTIFS(tblShipment[Shipment No],$B384,tblShipment[Item Name],$E384)=0),"Item not in this shipment","OK")))))))))))))))))</f>
        <v>OK</v>
      </c>
    </row>
    <row r="385" customFormat="false" ht="15" hidden="false" customHeight="false" outlineLevel="0" collapsed="false">
      <c r="A385" s="32" t="n">
        <v>46253</v>
      </c>
      <c r="B385" s="31" t="s">
        <v>168</v>
      </c>
      <c r="C385" s="31" t="s">
        <v>98</v>
      </c>
      <c r="D385" s="34" t="str">
        <f aca="false">IF($C385="","",IFERROR(IF(IFERROR(INDEX(tblMoveTypes[In / Out],MATCH($C385,tblMoveTypes[Movement],0)),"?")="IN","IN   ",IF(IFERROR(INDEX(tblMoveTypes[In / Out],MATCH($C385,tblMoveTypes[Movement],0)),"?")="OUT","OUT   ","--   "))&amp;"fill: "&amp;IF(IFERROR(INDEX(tblMoveTypes[Item?],MATCH($C385,tblMoveTypes[Movement],0)),"?")="Yes","Item  ","")&amp;IF(AND(IFERROR(INDEX(tblMoveTypes[Qty?],MATCH($C385,tblMoveTypes[Movement],0)),"?")="Yes",IFERROR(INDEX(tblMoveTypes[In / Out],MATCH($C385,tblMoveTypes[Movement],0)),"?")="IN"),"In  ","")&amp;IF(AND(IFERROR(INDEX(tblMoveTypes[Qty?],MATCH($C385,tblMoveTypes[Movement],0)),"?")="Yes",IFERROR(INDEX(tblMoveTypes[In / Out],MATCH($C385,tblMoveTypes[Movement],0)),"?")="OUT"),"Out  ","")&amp;IF(IFERROR(INDEX(tblMoveTypes[Orders?],MATCH($C385,tblMoveTypes[Movement],0)),"?")="Yes","Orders  ","")&amp;IF(IFERROR(INDEX(tblMoveTypes[Courier?],MATCH($C385,tblMoveTypes[Movement],0)),"?")="Yes","Courier  ","")&amp;IF(IFERROR(INDEX(tblMoveTypes[Reason?],MATCH($C385,tblMoveTypes[Movement],0)),"?")="Yes","Reason",""),"unknown movement"))</f>
        <v>OUT   fill: Item  Out  Courier  </v>
      </c>
      <c r="E385" s="31" t="s">
        <v>84</v>
      </c>
      <c r="F385" s="33"/>
      <c r="G385" s="33" t="n">
        <v>75</v>
      </c>
      <c r="H385" s="33"/>
      <c r="I385" s="31" t="s">
        <v>76</v>
      </c>
      <c r="J385" s="31"/>
      <c r="K385" s="31"/>
      <c r="L385" s="31"/>
      <c r="M385" s="34" t="str">
        <f aca="false">IF($E385="","",IFERROR(INDEX(tblItems[Item Code],MATCH($E385,tblItems[Item Name],0)),"?"))</f>
        <v>EG-FG-MNG-12-02-01-01</v>
      </c>
      <c r="N385" s="34" t="str">
        <f aca="false">IF($B385="","",IFERROR(INDEX(tblShipment[Market],MATCH($B385,tblShipment[Shipment No],0)),"?"))</f>
        <v>Qatar</v>
      </c>
      <c r="O385" s="35" t="n">
        <f aca="false">N($F385)+N($G385)</f>
        <v>75</v>
      </c>
      <c r="P385" s="34" t="str">
        <f aca="false">IF($A385="","",IF($L385="Yes","VOID",IF(COUNTIFS(tblMoveTypes[Movement],$C385)=0,"Unknown movement",IF(COUNTIF(tblShipment[Shipment No],$B385)=0,"Unknown shipment",IF(AND(IFERROR(INDEX(tblMoveTypes[Item?],MATCH($C385,tblMoveTypes[Movement],0)),"?")="Yes",$E385=""),"Item needed",IF(AND(IFERROR(INDEX(tblMoveTypes[Item?],MATCH($C385,tblMoveTypes[Movement],0)),"?")="No",$E385&lt;&gt;""),"Leave Item blank",IF(AND(IFERROR(INDEX(tblMoveTypes[In / Out],MATCH($C385,tblMoveTypes[Movement],0)),"?")="IN",$G385&lt;&gt;""),"Use the In column, not Out",IF(AND(IFERROR(INDEX(tblMoveTypes[In / Out],MATCH($C385,tblMoveTypes[Movement],0)),"?")="OUT",$F385&lt;&gt;""),"Use the Out column, not In",IF(AND(IFERROR(INDEX(tblMoveTypes[Qty?],MATCH($C385,tblMoveTypes[Movement],0)),"?")="Yes",N($F385)+N($G385)&lt;=0),"Qty needed",IF(AND(IFERROR(INDEX(tblMoveTypes[Qty?],MATCH($C385,tblMoveTypes[Movement],0)),"?")="No",N($F385)+N($G385)&gt;0),"Leave In and Out blank",IF(AND(IFERROR(INDEX(tblMoveTypes[Courier?],MATCH($C385,tblMoveTypes[Movement],0)),"?")="Yes",$I385=""),"Courier needed",IF(AND(IFERROR(INDEX(tblMoveTypes[Courier?],MATCH($C385,tblMoveTypes[Movement],0)),"?")="No",$I385&lt;&gt;""),"Leave Courier blank",IF(AND(IFERROR(INDEX(tblMoveTypes[Orders?],MATCH($C385,tblMoveTypes[Movement],0)),"?")="Yes",$H385=""),"Orders needed",IF(AND(IFERROR(INDEX(tblMoveTypes[Orders?],MATCH($C385,tblMoveTypes[Movement],0)),"?")="No",$H385&lt;&gt;""),"Leave Orders blank",IF(AND(IFERROR(INDEX(tblMoveTypes[Reason?],MATCH($C385,tblMoveTypes[Movement],0)),"?")="Yes",$J385=""),"Reason needed",IF($A385&lt;_xlfn.MINIFS(tblShipment[Arrival Date],tblShipment[Shipment No],$B385),"Date before arrival",IF(AND($E385&lt;&gt;"",COUNTIFS(tblShipment[Shipment No],$B385,tblShipment[Item Name],$E385)=0),"Item not in this shipment","OK")))))))))))))))))</f>
        <v>OK</v>
      </c>
    </row>
    <row r="386" customFormat="false" ht="15" hidden="false" customHeight="false" outlineLevel="0" collapsed="false">
      <c r="A386" s="32" t="n">
        <v>46253</v>
      </c>
      <c r="B386" s="31" t="s">
        <v>168</v>
      </c>
      <c r="C386" s="31" t="s">
        <v>98</v>
      </c>
      <c r="D386" s="34" t="str">
        <f aca="false">IF($C386="","",IFERROR(IF(IFERROR(INDEX(tblMoveTypes[In / Out],MATCH($C386,tblMoveTypes[Movement],0)),"?")="IN","IN   ",IF(IFERROR(INDEX(tblMoveTypes[In / Out],MATCH($C386,tblMoveTypes[Movement],0)),"?")="OUT","OUT   ","--   "))&amp;"fill: "&amp;IF(IFERROR(INDEX(tblMoveTypes[Item?],MATCH($C386,tblMoveTypes[Movement],0)),"?")="Yes","Item  ","")&amp;IF(AND(IFERROR(INDEX(tblMoveTypes[Qty?],MATCH($C386,tblMoveTypes[Movement],0)),"?")="Yes",IFERROR(INDEX(tblMoveTypes[In / Out],MATCH($C386,tblMoveTypes[Movement],0)),"?")="IN"),"In  ","")&amp;IF(AND(IFERROR(INDEX(tblMoveTypes[Qty?],MATCH($C386,tblMoveTypes[Movement],0)),"?")="Yes",IFERROR(INDEX(tblMoveTypes[In / Out],MATCH($C386,tblMoveTypes[Movement],0)),"?")="OUT"),"Out  ","")&amp;IF(IFERROR(INDEX(tblMoveTypes[Orders?],MATCH($C386,tblMoveTypes[Movement],0)),"?")="Yes","Orders  ","")&amp;IF(IFERROR(INDEX(tblMoveTypes[Courier?],MATCH($C386,tblMoveTypes[Movement],0)),"?")="Yes","Courier  ","")&amp;IF(IFERROR(INDEX(tblMoveTypes[Reason?],MATCH($C386,tblMoveTypes[Movement],0)),"?")="Yes","Reason",""),"unknown movement"))</f>
        <v>OUT   fill: Item  Out  Courier  </v>
      </c>
      <c r="E386" s="31" t="s">
        <v>95</v>
      </c>
      <c r="F386" s="33"/>
      <c r="G386" s="33" t="n">
        <v>32</v>
      </c>
      <c r="H386" s="33"/>
      <c r="I386" s="31" t="s">
        <v>76</v>
      </c>
      <c r="J386" s="31"/>
      <c r="K386" s="31"/>
      <c r="L386" s="31"/>
      <c r="M386" s="34" t="str">
        <f aca="false">IF($E386="","",IFERROR(INDEX(tblItems[Item Code],MATCH($E386,tblItems[Item Name],0)),"?"))</f>
        <v>EG-FG-GUV-01-02-01-01</v>
      </c>
      <c r="N386" s="34" t="str">
        <f aca="false">IF($B386="","",IFERROR(INDEX(tblShipment[Market],MATCH($B386,tblShipment[Shipment No],0)),"?"))</f>
        <v>Qatar</v>
      </c>
      <c r="O386" s="35" t="n">
        <f aca="false">N($F386)+N($G386)</f>
        <v>32</v>
      </c>
      <c r="P386" s="34" t="str">
        <f aca="false">IF($A386="","",IF($L386="Yes","VOID",IF(COUNTIFS(tblMoveTypes[Movement],$C386)=0,"Unknown movement",IF(COUNTIF(tblShipment[Shipment No],$B386)=0,"Unknown shipment",IF(AND(IFERROR(INDEX(tblMoveTypes[Item?],MATCH($C386,tblMoveTypes[Movement],0)),"?")="Yes",$E386=""),"Item needed",IF(AND(IFERROR(INDEX(tblMoveTypes[Item?],MATCH($C386,tblMoveTypes[Movement],0)),"?")="No",$E386&lt;&gt;""),"Leave Item blank",IF(AND(IFERROR(INDEX(tblMoveTypes[In / Out],MATCH($C386,tblMoveTypes[Movement],0)),"?")="IN",$G386&lt;&gt;""),"Use the In column, not Out",IF(AND(IFERROR(INDEX(tblMoveTypes[In / Out],MATCH($C386,tblMoveTypes[Movement],0)),"?")="OUT",$F386&lt;&gt;""),"Use the Out column, not In",IF(AND(IFERROR(INDEX(tblMoveTypes[Qty?],MATCH($C386,tblMoveTypes[Movement],0)),"?")="Yes",N($F386)+N($G386)&lt;=0),"Qty needed",IF(AND(IFERROR(INDEX(tblMoveTypes[Qty?],MATCH($C386,tblMoveTypes[Movement],0)),"?")="No",N($F386)+N($G386)&gt;0),"Leave In and Out blank",IF(AND(IFERROR(INDEX(tblMoveTypes[Courier?],MATCH($C386,tblMoveTypes[Movement],0)),"?")="Yes",$I386=""),"Courier needed",IF(AND(IFERROR(INDEX(tblMoveTypes[Courier?],MATCH($C386,tblMoveTypes[Movement],0)),"?")="No",$I386&lt;&gt;""),"Leave Courier blank",IF(AND(IFERROR(INDEX(tblMoveTypes[Orders?],MATCH($C386,tblMoveTypes[Movement],0)),"?")="Yes",$H386=""),"Orders needed",IF(AND(IFERROR(INDEX(tblMoveTypes[Orders?],MATCH($C386,tblMoveTypes[Movement],0)),"?")="No",$H386&lt;&gt;""),"Leave Orders blank",IF(AND(IFERROR(INDEX(tblMoveTypes[Reason?],MATCH($C386,tblMoveTypes[Movement],0)),"?")="Yes",$J386=""),"Reason needed",IF($A386&lt;_xlfn.MINIFS(tblShipment[Arrival Date],tblShipment[Shipment No],$B386),"Date before arrival",IF(AND($E386&lt;&gt;"",COUNTIFS(tblShipment[Shipment No],$B386,tblShipment[Item Name],$E386)=0),"Item not in this shipment","OK")))))))))))))))))</f>
        <v>OK</v>
      </c>
    </row>
    <row r="387" customFormat="false" ht="15" hidden="false" customHeight="false" outlineLevel="0" collapsed="false">
      <c r="A387" s="32" t="n">
        <v>46253</v>
      </c>
      <c r="B387" s="31" t="s">
        <v>168</v>
      </c>
      <c r="C387" s="31" t="s">
        <v>98</v>
      </c>
      <c r="D387" s="34" t="str">
        <f aca="false">IF($C387="","",IFERROR(IF(IFERROR(INDEX(tblMoveTypes[In / Out],MATCH($C387,tblMoveTypes[Movement],0)),"?")="IN","IN   ",IF(IFERROR(INDEX(tblMoveTypes[In / Out],MATCH($C387,tblMoveTypes[Movement],0)),"?")="OUT","OUT   ","--   "))&amp;"fill: "&amp;IF(IFERROR(INDEX(tblMoveTypes[Item?],MATCH($C387,tblMoveTypes[Movement],0)),"?")="Yes","Item  ","")&amp;IF(AND(IFERROR(INDEX(tblMoveTypes[Qty?],MATCH($C387,tblMoveTypes[Movement],0)),"?")="Yes",IFERROR(INDEX(tblMoveTypes[In / Out],MATCH($C387,tblMoveTypes[Movement],0)),"?")="IN"),"In  ","")&amp;IF(AND(IFERROR(INDEX(tblMoveTypes[Qty?],MATCH($C387,tblMoveTypes[Movement],0)),"?")="Yes",IFERROR(INDEX(tblMoveTypes[In / Out],MATCH($C387,tblMoveTypes[Movement],0)),"?")="OUT"),"Out  ","")&amp;IF(IFERROR(INDEX(tblMoveTypes[Orders?],MATCH($C387,tblMoveTypes[Movement],0)),"?")="Yes","Orders  ","")&amp;IF(IFERROR(INDEX(tblMoveTypes[Courier?],MATCH($C387,tblMoveTypes[Movement],0)),"?")="Yes","Courier  ","")&amp;IF(IFERROR(INDEX(tblMoveTypes[Reason?],MATCH($C387,tblMoveTypes[Movement],0)),"?")="Yes","Reason",""),"unknown movement"))</f>
        <v>OUT   fill: Item  Out  Courier  </v>
      </c>
      <c r="E387" s="31" t="s">
        <v>100</v>
      </c>
      <c r="F387" s="33"/>
      <c r="G387" s="33" t="n">
        <v>24</v>
      </c>
      <c r="H387" s="33"/>
      <c r="I387" s="31" t="s">
        <v>76</v>
      </c>
      <c r="J387" s="31"/>
      <c r="K387" s="31"/>
      <c r="L387" s="31"/>
      <c r="M387" s="34" t="str">
        <f aca="false">IF($E387="","",IFERROR(INDEX(tblItems[Item Code],MATCH($E387,tblItems[Item Name],0)),"?"))</f>
        <v>EG-FG-MNG-18-02-01-01</v>
      </c>
      <c r="N387" s="34" t="str">
        <f aca="false">IF($B387="","",IFERROR(INDEX(tblShipment[Market],MATCH($B387,tblShipment[Shipment No],0)),"?"))</f>
        <v>Qatar</v>
      </c>
      <c r="O387" s="35" t="n">
        <f aca="false">N($F387)+N($G387)</f>
        <v>24</v>
      </c>
      <c r="P387" s="34" t="str">
        <f aca="false">IF($A387="","",IF($L387="Yes","VOID",IF(COUNTIFS(tblMoveTypes[Movement],$C387)=0,"Unknown movement",IF(COUNTIF(tblShipment[Shipment No],$B387)=0,"Unknown shipment",IF(AND(IFERROR(INDEX(tblMoveTypes[Item?],MATCH($C387,tblMoveTypes[Movement],0)),"?")="Yes",$E387=""),"Item needed",IF(AND(IFERROR(INDEX(tblMoveTypes[Item?],MATCH($C387,tblMoveTypes[Movement],0)),"?")="No",$E387&lt;&gt;""),"Leave Item blank",IF(AND(IFERROR(INDEX(tblMoveTypes[In / Out],MATCH($C387,tblMoveTypes[Movement],0)),"?")="IN",$G387&lt;&gt;""),"Use the In column, not Out",IF(AND(IFERROR(INDEX(tblMoveTypes[In / Out],MATCH($C387,tblMoveTypes[Movement],0)),"?")="OUT",$F387&lt;&gt;""),"Use the Out column, not In",IF(AND(IFERROR(INDEX(tblMoveTypes[Qty?],MATCH($C387,tblMoveTypes[Movement],0)),"?")="Yes",N($F387)+N($G387)&lt;=0),"Qty needed",IF(AND(IFERROR(INDEX(tblMoveTypes[Qty?],MATCH($C387,tblMoveTypes[Movement],0)),"?")="No",N($F387)+N($G387)&gt;0),"Leave In and Out blank",IF(AND(IFERROR(INDEX(tblMoveTypes[Courier?],MATCH($C387,tblMoveTypes[Movement],0)),"?")="Yes",$I387=""),"Courier needed",IF(AND(IFERROR(INDEX(tblMoveTypes[Courier?],MATCH($C387,tblMoveTypes[Movement],0)),"?")="No",$I387&lt;&gt;""),"Leave Courier blank",IF(AND(IFERROR(INDEX(tblMoveTypes[Orders?],MATCH($C387,tblMoveTypes[Movement],0)),"?")="Yes",$H387=""),"Orders needed",IF(AND(IFERROR(INDEX(tblMoveTypes[Orders?],MATCH($C387,tblMoveTypes[Movement],0)),"?")="No",$H387&lt;&gt;""),"Leave Orders blank",IF(AND(IFERROR(INDEX(tblMoveTypes[Reason?],MATCH($C387,tblMoveTypes[Movement],0)),"?")="Yes",$J387=""),"Reason needed",IF($A387&lt;_xlfn.MINIFS(tblShipment[Arrival Date],tblShipment[Shipment No],$B387),"Date before arrival",IF(AND($E387&lt;&gt;"",COUNTIFS(tblShipment[Shipment No],$B387,tblShipment[Item Name],$E387)=0),"Item not in this shipment","OK")))))))))))))))))</f>
        <v>OK</v>
      </c>
    </row>
    <row r="388" customFormat="false" ht="15" hidden="false" customHeight="false" outlineLevel="0" collapsed="false">
      <c r="A388" s="32" t="n">
        <v>46253</v>
      </c>
      <c r="B388" s="31" t="s">
        <v>168</v>
      </c>
      <c r="C388" s="31" t="s">
        <v>98</v>
      </c>
      <c r="D388" s="34" t="str">
        <f aca="false">IF($C388="","",IFERROR(IF(IFERROR(INDEX(tblMoveTypes[In / Out],MATCH($C388,tblMoveTypes[Movement],0)),"?")="IN","IN   ",IF(IFERROR(INDEX(tblMoveTypes[In / Out],MATCH($C388,tblMoveTypes[Movement],0)),"?")="OUT","OUT   ","--   "))&amp;"fill: "&amp;IF(IFERROR(INDEX(tblMoveTypes[Item?],MATCH($C388,tblMoveTypes[Movement],0)),"?")="Yes","Item  ","")&amp;IF(AND(IFERROR(INDEX(tblMoveTypes[Qty?],MATCH($C388,tblMoveTypes[Movement],0)),"?")="Yes",IFERROR(INDEX(tblMoveTypes[In / Out],MATCH($C388,tblMoveTypes[Movement],0)),"?")="IN"),"In  ","")&amp;IF(AND(IFERROR(INDEX(tblMoveTypes[Qty?],MATCH($C388,tblMoveTypes[Movement],0)),"?")="Yes",IFERROR(INDEX(tblMoveTypes[In / Out],MATCH($C388,tblMoveTypes[Movement],0)),"?")="OUT"),"Out  ","")&amp;IF(IFERROR(INDEX(tblMoveTypes[Orders?],MATCH($C388,tblMoveTypes[Movement],0)),"?")="Yes","Orders  ","")&amp;IF(IFERROR(INDEX(tblMoveTypes[Courier?],MATCH($C388,tblMoveTypes[Movement],0)),"?")="Yes","Courier  ","")&amp;IF(IFERROR(INDEX(tblMoveTypes[Reason?],MATCH($C388,tblMoveTypes[Movement],0)),"?")="Yes","Reason",""),"unknown movement"))</f>
        <v>OUT   fill: Item  Out  Courier  </v>
      </c>
      <c r="E388" s="31" t="s">
        <v>127</v>
      </c>
      <c r="F388" s="33"/>
      <c r="G388" s="33" t="n">
        <v>16</v>
      </c>
      <c r="H388" s="33"/>
      <c r="I388" s="31" t="s">
        <v>76</v>
      </c>
      <c r="J388" s="31"/>
      <c r="K388" s="31"/>
      <c r="L388" s="31"/>
      <c r="M388" s="34" t="str">
        <f aca="false">IF($E388="","",IFERROR(INDEX(tblItems[Item Code],MATCH($E388,tblItems[Item Name],0)),"?"))</f>
        <v>EG-FG-GRP-03-02-01-01</v>
      </c>
      <c r="N388" s="34" t="str">
        <f aca="false">IF($B388="","",IFERROR(INDEX(tblShipment[Market],MATCH($B388,tblShipment[Shipment No],0)),"?"))</f>
        <v>Qatar</v>
      </c>
      <c r="O388" s="35" t="n">
        <f aca="false">N($F388)+N($G388)</f>
        <v>16</v>
      </c>
      <c r="P388" s="34" t="str">
        <f aca="false">IF($A388="","",IF($L388="Yes","VOID",IF(COUNTIFS(tblMoveTypes[Movement],$C388)=0,"Unknown movement",IF(COUNTIF(tblShipment[Shipment No],$B388)=0,"Unknown shipment",IF(AND(IFERROR(INDEX(tblMoveTypes[Item?],MATCH($C388,tblMoveTypes[Movement],0)),"?")="Yes",$E388=""),"Item needed",IF(AND(IFERROR(INDEX(tblMoveTypes[Item?],MATCH($C388,tblMoveTypes[Movement],0)),"?")="No",$E388&lt;&gt;""),"Leave Item blank",IF(AND(IFERROR(INDEX(tblMoveTypes[In / Out],MATCH($C388,tblMoveTypes[Movement],0)),"?")="IN",$G388&lt;&gt;""),"Use the In column, not Out",IF(AND(IFERROR(INDEX(tblMoveTypes[In / Out],MATCH($C388,tblMoveTypes[Movement],0)),"?")="OUT",$F388&lt;&gt;""),"Use the Out column, not In",IF(AND(IFERROR(INDEX(tblMoveTypes[Qty?],MATCH($C388,tblMoveTypes[Movement],0)),"?")="Yes",N($F388)+N($G388)&lt;=0),"Qty needed",IF(AND(IFERROR(INDEX(tblMoveTypes[Qty?],MATCH($C388,tblMoveTypes[Movement],0)),"?")="No",N($F388)+N($G388)&gt;0),"Leave In and Out blank",IF(AND(IFERROR(INDEX(tblMoveTypes[Courier?],MATCH($C388,tblMoveTypes[Movement],0)),"?")="Yes",$I388=""),"Courier needed",IF(AND(IFERROR(INDEX(tblMoveTypes[Courier?],MATCH($C388,tblMoveTypes[Movement],0)),"?")="No",$I388&lt;&gt;""),"Leave Courier blank",IF(AND(IFERROR(INDEX(tblMoveTypes[Orders?],MATCH($C388,tblMoveTypes[Movement],0)),"?")="Yes",$H388=""),"Orders needed",IF(AND(IFERROR(INDEX(tblMoveTypes[Orders?],MATCH($C388,tblMoveTypes[Movement],0)),"?")="No",$H388&lt;&gt;""),"Leave Orders blank",IF(AND(IFERROR(INDEX(tblMoveTypes[Reason?],MATCH($C388,tblMoveTypes[Movement],0)),"?")="Yes",$J388=""),"Reason needed",IF($A388&lt;_xlfn.MINIFS(tblShipment[Arrival Date],tblShipment[Shipment No],$B388),"Date before arrival",IF(AND($E388&lt;&gt;"",COUNTIFS(tblShipment[Shipment No],$B388,tblShipment[Item Name],$E388)=0),"Item not in this shipment","OK")))))))))))))))))</f>
        <v>OK</v>
      </c>
    </row>
    <row r="389" customFormat="false" ht="15" hidden="false" customHeight="false" outlineLevel="0" collapsed="false">
      <c r="A389" s="32" t="n">
        <v>46253</v>
      </c>
      <c r="B389" s="31" t="s">
        <v>168</v>
      </c>
      <c r="C389" s="31" t="s">
        <v>98</v>
      </c>
      <c r="D389" s="34" t="str">
        <f aca="false">IF($C389="","",IFERROR(IF(IFERROR(INDEX(tblMoveTypes[In / Out],MATCH($C389,tblMoveTypes[Movement],0)),"?")="IN","IN   ",IF(IFERROR(INDEX(tblMoveTypes[In / Out],MATCH($C389,tblMoveTypes[Movement],0)),"?")="OUT","OUT   ","--   "))&amp;"fill: "&amp;IF(IFERROR(INDEX(tblMoveTypes[Item?],MATCH($C389,tblMoveTypes[Movement],0)),"?")="Yes","Item  ","")&amp;IF(AND(IFERROR(INDEX(tblMoveTypes[Qty?],MATCH($C389,tblMoveTypes[Movement],0)),"?")="Yes",IFERROR(INDEX(tblMoveTypes[In / Out],MATCH($C389,tblMoveTypes[Movement],0)),"?")="IN"),"In  ","")&amp;IF(AND(IFERROR(INDEX(tblMoveTypes[Qty?],MATCH($C389,tblMoveTypes[Movement],0)),"?")="Yes",IFERROR(INDEX(tblMoveTypes[In / Out],MATCH($C389,tblMoveTypes[Movement],0)),"?")="OUT"),"Out  ","")&amp;IF(IFERROR(INDEX(tblMoveTypes[Orders?],MATCH($C389,tblMoveTypes[Movement],0)),"?")="Yes","Orders  ","")&amp;IF(IFERROR(INDEX(tblMoveTypes[Courier?],MATCH($C389,tblMoveTypes[Movement],0)),"?")="Yes","Courier  ","")&amp;IF(IFERROR(INDEX(tblMoveTypes[Reason?],MATCH($C389,tblMoveTypes[Movement],0)),"?")="Yes","Reason",""),"unknown movement"))</f>
        <v>OUT   fill: Item  Out  Courier  </v>
      </c>
      <c r="E389" s="31" t="s">
        <v>141</v>
      </c>
      <c r="F389" s="33"/>
      <c r="G389" s="33" t="n">
        <v>16</v>
      </c>
      <c r="H389" s="33"/>
      <c r="I389" s="31" t="s">
        <v>76</v>
      </c>
      <c r="J389" s="31"/>
      <c r="K389" s="31"/>
      <c r="L389" s="31"/>
      <c r="M389" s="34" t="str">
        <f aca="false">IF($E389="","",IFERROR(INDEX(tblItems[Item Code],MATCH($E389,tblItems[Item Name],0)),"?"))</f>
        <v>EG-FG-CAN-01-02-01-01</v>
      </c>
      <c r="N389" s="34" t="str">
        <f aca="false">IF($B389="","",IFERROR(INDEX(tblShipment[Market],MATCH($B389,tblShipment[Shipment No],0)),"?"))</f>
        <v>Qatar</v>
      </c>
      <c r="O389" s="35" t="n">
        <f aca="false">N($F389)+N($G389)</f>
        <v>16</v>
      </c>
      <c r="P389" s="34" t="str">
        <f aca="false">IF($A389="","",IF($L389="Yes","VOID",IF(COUNTIFS(tblMoveTypes[Movement],$C389)=0,"Unknown movement",IF(COUNTIF(tblShipment[Shipment No],$B389)=0,"Unknown shipment",IF(AND(IFERROR(INDEX(tblMoveTypes[Item?],MATCH($C389,tblMoveTypes[Movement],0)),"?")="Yes",$E389=""),"Item needed",IF(AND(IFERROR(INDEX(tblMoveTypes[Item?],MATCH($C389,tblMoveTypes[Movement],0)),"?")="No",$E389&lt;&gt;""),"Leave Item blank",IF(AND(IFERROR(INDEX(tblMoveTypes[In / Out],MATCH($C389,tblMoveTypes[Movement],0)),"?")="IN",$G389&lt;&gt;""),"Use the In column, not Out",IF(AND(IFERROR(INDEX(tblMoveTypes[In / Out],MATCH($C389,tblMoveTypes[Movement],0)),"?")="OUT",$F389&lt;&gt;""),"Use the Out column, not In",IF(AND(IFERROR(INDEX(tblMoveTypes[Qty?],MATCH($C389,tblMoveTypes[Movement],0)),"?")="Yes",N($F389)+N($G389)&lt;=0),"Qty needed",IF(AND(IFERROR(INDEX(tblMoveTypes[Qty?],MATCH($C389,tblMoveTypes[Movement],0)),"?")="No",N($F389)+N($G389)&gt;0),"Leave In and Out blank",IF(AND(IFERROR(INDEX(tblMoveTypes[Courier?],MATCH($C389,tblMoveTypes[Movement],0)),"?")="Yes",$I389=""),"Courier needed",IF(AND(IFERROR(INDEX(tblMoveTypes[Courier?],MATCH($C389,tblMoveTypes[Movement],0)),"?")="No",$I389&lt;&gt;""),"Leave Courier blank",IF(AND(IFERROR(INDEX(tblMoveTypes[Orders?],MATCH($C389,tblMoveTypes[Movement],0)),"?")="Yes",$H389=""),"Orders needed",IF(AND(IFERROR(INDEX(tblMoveTypes[Orders?],MATCH($C389,tblMoveTypes[Movement],0)),"?")="No",$H389&lt;&gt;""),"Leave Orders blank",IF(AND(IFERROR(INDEX(tblMoveTypes[Reason?],MATCH($C389,tblMoveTypes[Movement],0)),"?")="Yes",$J389=""),"Reason needed",IF($A389&lt;_xlfn.MINIFS(tblShipment[Arrival Date],tblShipment[Shipment No],$B389),"Date before arrival",IF(AND($E389&lt;&gt;"",COUNTIFS(tblShipment[Shipment No],$B389,tblShipment[Item Name],$E389)=0),"Item not in this shipment","OK")))))))))))))))))</f>
        <v>OK</v>
      </c>
    </row>
    <row r="390" customFormat="false" ht="15" hidden="false" customHeight="false" outlineLevel="0" collapsed="false">
      <c r="A390" s="32" t="n">
        <v>46253</v>
      </c>
      <c r="B390" s="31" t="s">
        <v>168</v>
      </c>
      <c r="C390" s="31" t="s">
        <v>98</v>
      </c>
      <c r="D390" s="34" t="str">
        <f aca="false">IF($C390="","",IFERROR(IF(IFERROR(INDEX(tblMoveTypes[In / Out],MATCH($C390,tblMoveTypes[Movement],0)),"?")="IN","IN   ",IF(IFERROR(INDEX(tblMoveTypes[In / Out],MATCH($C390,tblMoveTypes[Movement],0)),"?")="OUT","OUT   ","--   "))&amp;"fill: "&amp;IF(IFERROR(INDEX(tblMoveTypes[Item?],MATCH($C390,tblMoveTypes[Movement],0)),"?")="Yes","Item  ","")&amp;IF(AND(IFERROR(INDEX(tblMoveTypes[Qty?],MATCH($C390,tblMoveTypes[Movement],0)),"?")="Yes",IFERROR(INDEX(tblMoveTypes[In / Out],MATCH($C390,tblMoveTypes[Movement],0)),"?")="IN"),"In  ","")&amp;IF(AND(IFERROR(INDEX(tblMoveTypes[Qty?],MATCH($C390,tblMoveTypes[Movement],0)),"?")="Yes",IFERROR(INDEX(tblMoveTypes[In / Out],MATCH($C390,tblMoveTypes[Movement],0)),"?")="OUT"),"Out  ","")&amp;IF(IFERROR(INDEX(tblMoveTypes[Orders?],MATCH($C390,tblMoveTypes[Movement],0)),"?")="Yes","Orders  ","")&amp;IF(IFERROR(INDEX(tblMoveTypes[Courier?],MATCH($C390,tblMoveTypes[Movement],0)),"?")="Yes","Courier  ","")&amp;IF(IFERROR(INDEX(tblMoveTypes[Reason?],MATCH($C390,tblMoveTypes[Movement],0)),"?")="Yes","Reason",""),"unknown movement"))</f>
        <v>OUT   fill: Item  Out  Courier  </v>
      </c>
      <c r="E390" s="31" t="s">
        <v>117</v>
      </c>
      <c r="F390" s="33"/>
      <c r="G390" s="33" t="n">
        <v>16</v>
      </c>
      <c r="H390" s="33"/>
      <c r="I390" s="31" t="s">
        <v>76</v>
      </c>
      <c r="J390" s="31"/>
      <c r="K390" s="31"/>
      <c r="L390" s="31"/>
      <c r="M390" s="34" t="str">
        <f aca="false">IF($E390="","",IFERROR(INDEX(tblItems[Item Code],MATCH($E390,tblItems[Item Name],0)),"?"))</f>
        <v>EG-FG-MNG-06-02-01-01</v>
      </c>
      <c r="N390" s="34" t="str">
        <f aca="false">IF($B390="","",IFERROR(INDEX(tblShipment[Market],MATCH($B390,tblShipment[Shipment No],0)),"?"))</f>
        <v>Qatar</v>
      </c>
      <c r="O390" s="35" t="n">
        <f aca="false">N($F390)+N($G390)</f>
        <v>16</v>
      </c>
      <c r="P390" s="34" t="str">
        <f aca="false">IF($A390="","",IF($L390="Yes","VOID",IF(COUNTIFS(tblMoveTypes[Movement],$C390)=0,"Unknown movement",IF(COUNTIF(tblShipment[Shipment No],$B390)=0,"Unknown shipment",IF(AND(IFERROR(INDEX(tblMoveTypes[Item?],MATCH($C390,tblMoveTypes[Movement],0)),"?")="Yes",$E390=""),"Item needed",IF(AND(IFERROR(INDEX(tblMoveTypes[Item?],MATCH($C390,tblMoveTypes[Movement],0)),"?")="No",$E390&lt;&gt;""),"Leave Item blank",IF(AND(IFERROR(INDEX(tblMoveTypes[In / Out],MATCH($C390,tblMoveTypes[Movement],0)),"?")="IN",$G390&lt;&gt;""),"Use the In column, not Out",IF(AND(IFERROR(INDEX(tblMoveTypes[In / Out],MATCH($C390,tblMoveTypes[Movement],0)),"?")="OUT",$F390&lt;&gt;""),"Use the Out column, not In",IF(AND(IFERROR(INDEX(tblMoveTypes[Qty?],MATCH($C390,tblMoveTypes[Movement],0)),"?")="Yes",N($F390)+N($G390)&lt;=0),"Qty needed",IF(AND(IFERROR(INDEX(tblMoveTypes[Qty?],MATCH($C390,tblMoveTypes[Movement],0)),"?")="No",N($F390)+N($G390)&gt;0),"Leave In and Out blank",IF(AND(IFERROR(INDEX(tblMoveTypes[Courier?],MATCH($C390,tblMoveTypes[Movement],0)),"?")="Yes",$I390=""),"Courier needed",IF(AND(IFERROR(INDEX(tblMoveTypes[Courier?],MATCH($C390,tblMoveTypes[Movement],0)),"?")="No",$I390&lt;&gt;""),"Leave Courier blank",IF(AND(IFERROR(INDEX(tblMoveTypes[Orders?],MATCH($C390,tblMoveTypes[Movement],0)),"?")="Yes",$H390=""),"Orders needed",IF(AND(IFERROR(INDEX(tblMoveTypes[Orders?],MATCH($C390,tblMoveTypes[Movement],0)),"?")="No",$H390&lt;&gt;""),"Leave Orders blank",IF(AND(IFERROR(INDEX(tblMoveTypes[Reason?],MATCH($C390,tblMoveTypes[Movement],0)),"?")="Yes",$J390=""),"Reason needed",IF($A390&lt;_xlfn.MINIFS(tblShipment[Arrival Date],tblShipment[Shipment No],$B390),"Date before arrival",IF(AND($E390&lt;&gt;"",COUNTIFS(tblShipment[Shipment No],$B390,tblShipment[Item Name],$E390)=0),"Item not in this shipment","OK")))))))))))))))))</f>
        <v>OK</v>
      </c>
    </row>
    <row r="391" customFormat="false" ht="15" hidden="false" customHeight="false" outlineLevel="0" collapsed="false">
      <c r="A391" s="32" t="n">
        <v>46253</v>
      </c>
      <c r="B391" s="31" t="s">
        <v>168</v>
      </c>
      <c r="C391" s="31" t="s">
        <v>110</v>
      </c>
      <c r="D391" s="34" t="str">
        <f aca="false">IF($C391="","",IFERROR(IF(IFERROR(INDEX(tblMoveTypes[In / Out],MATCH($C391,tblMoveTypes[Movement],0)),"?")="IN","IN   ",IF(IFERROR(INDEX(tblMoveTypes[In / Out],MATCH($C391,tblMoveTypes[Movement],0)),"?")="OUT","OUT   ","--   "))&amp;"fill: "&amp;IF(IFERROR(INDEX(tblMoveTypes[Item?],MATCH($C391,tblMoveTypes[Movement],0)),"?")="Yes","Item  ","")&amp;IF(AND(IFERROR(INDEX(tblMoveTypes[Qty?],MATCH($C391,tblMoveTypes[Movement],0)),"?")="Yes",IFERROR(INDEX(tblMoveTypes[In / Out],MATCH($C391,tblMoveTypes[Movement],0)),"?")="IN"),"In  ","")&amp;IF(AND(IFERROR(INDEX(tblMoveTypes[Qty?],MATCH($C391,tblMoveTypes[Movement],0)),"?")="Yes",IFERROR(INDEX(tblMoveTypes[In / Out],MATCH($C391,tblMoveTypes[Movement],0)),"?")="OUT"),"Out  ","")&amp;IF(IFERROR(INDEX(tblMoveTypes[Orders?],MATCH($C391,tblMoveTypes[Movement],0)),"?")="Yes","Orders  ","")&amp;IF(IFERROR(INDEX(tblMoveTypes[Courier?],MATCH($C391,tblMoveTypes[Movement],0)),"?")="Yes","Courier  ","")&amp;IF(IFERROR(INDEX(tblMoveTypes[Reason?],MATCH($C391,tblMoveTypes[Movement],0)),"?")="Yes","Reason",""),"unknown movement"))</f>
        <v>--   fill: Orders  Courier  </v>
      </c>
      <c r="E391" s="31"/>
      <c r="F391" s="33"/>
      <c r="G391" s="33"/>
      <c r="H391" s="33" t="n">
        <v>200</v>
      </c>
      <c r="I391" s="31" t="s">
        <v>76</v>
      </c>
      <c r="J391" s="31"/>
      <c r="K391" s="31"/>
      <c r="L391" s="31"/>
      <c r="M391" s="34" t="str">
        <f aca="false">IF($E391="","",IFERROR(INDEX(tblItems[Item Code],MATCH($E391,tblItems[Item Name],0)),"?"))</f>
        <v/>
      </c>
      <c r="N391" s="34" t="str">
        <f aca="false">IF($B391="","",IFERROR(INDEX(tblShipment[Market],MATCH($B391,tblShipment[Shipment No],0)),"?"))</f>
        <v>Qatar</v>
      </c>
      <c r="O391" s="35" t="n">
        <f aca="false">N($F391)+N($G391)</f>
        <v>0</v>
      </c>
      <c r="P391" s="34" t="str">
        <f aca="false">IF($A391="","",IF($L391="Yes","VOID",IF(COUNTIFS(tblMoveTypes[Movement],$C391)=0,"Unknown movement",IF(COUNTIF(tblShipment[Shipment No],$B391)=0,"Unknown shipment",IF(AND(IFERROR(INDEX(tblMoveTypes[Item?],MATCH($C391,tblMoveTypes[Movement],0)),"?")="Yes",$E391=""),"Item needed",IF(AND(IFERROR(INDEX(tblMoveTypes[Item?],MATCH($C391,tblMoveTypes[Movement],0)),"?")="No",$E391&lt;&gt;""),"Leave Item blank",IF(AND(IFERROR(INDEX(tblMoveTypes[In / Out],MATCH($C391,tblMoveTypes[Movement],0)),"?")="IN",$G391&lt;&gt;""),"Use the In column, not Out",IF(AND(IFERROR(INDEX(tblMoveTypes[In / Out],MATCH($C391,tblMoveTypes[Movement],0)),"?")="OUT",$F391&lt;&gt;""),"Use the Out column, not In",IF(AND(IFERROR(INDEX(tblMoveTypes[Qty?],MATCH($C391,tblMoveTypes[Movement],0)),"?")="Yes",N($F391)+N($G391)&lt;=0),"Qty needed",IF(AND(IFERROR(INDEX(tblMoveTypes[Qty?],MATCH($C391,tblMoveTypes[Movement],0)),"?")="No",N($F391)+N($G391)&gt;0),"Leave In and Out blank",IF(AND(IFERROR(INDEX(tblMoveTypes[Courier?],MATCH($C391,tblMoveTypes[Movement],0)),"?")="Yes",$I391=""),"Courier needed",IF(AND(IFERROR(INDEX(tblMoveTypes[Courier?],MATCH($C391,tblMoveTypes[Movement],0)),"?")="No",$I391&lt;&gt;""),"Leave Courier blank",IF(AND(IFERROR(INDEX(tblMoveTypes[Orders?],MATCH($C391,tblMoveTypes[Movement],0)),"?")="Yes",$H391=""),"Orders needed",IF(AND(IFERROR(INDEX(tblMoveTypes[Orders?],MATCH($C391,tblMoveTypes[Movement],0)),"?")="No",$H391&lt;&gt;""),"Leave Orders blank",IF(AND(IFERROR(INDEX(tblMoveTypes[Reason?],MATCH($C391,tblMoveTypes[Movement],0)),"?")="Yes",$J391=""),"Reason needed",IF($A391&lt;_xlfn.MINIFS(tblShipment[Arrival Date],tblShipment[Shipment No],$B391),"Date before arrival",IF(AND($E391&lt;&gt;"",COUNTIFS(tblShipment[Shipment No],$B391,tblShipment[Item Name],$E391)=0),"Item not in this shipment","OK")))))))))))))))))</f>
        <v>OK</v>
      </c>
    </row>
    <row r="392" customFormat="false" ht="15" hidden="false" customHeight="false" outlineLevel="0" collapsed="false">
      <c r="A392" s="32" t="n">
        <v>46253</v>
      </c>
      <c r="B392" s="31" t="s">
        <v>168</v>
      </c>
      <c r="C392" s="31" t="s">
        <v>115</v>
      </c>
      <c r="D392" s="34" t="str">
        <f aca="false">IF($C392="","",IFERROR(IF(IFERROR(INDEX(tblMoveTypes[In / Out],MATCH($C392,tblMoveTypes[Movement],0)),"?")="IN","IN   ",IF(IFERROR(INDEX(tblMoveTypes[In / Out],MATCH($C392,tblMoveTypes[Movement],0)),"?")="OUT","OUT   ","--   "))&amp;"fill: "&amp;IF(IFERROR(INDEX(tblMoveTypes[Item?],MATCH($C392,tblMoveTypes[Movement],0)),"?")="Yes","Item  ","")&amp;IF(AND(IFERROR(INDEX(tblMoveTypes[Qty?],MATCH($C392,tblMoveTypes[Movement],0)),"?")="Yes",IFERROR(INDEX(tblMoveTypes[In / Out],MATCH($C392,tblMoveTypes[Movement],0)),"?")="IN"),"In  ","")&amp;IF(AND(IFERROR(INDEX(tblMoveTypes[Qty?],MATCH($C392,tblMoveTypes[Movement],0)),"?")="Yes",IFERROR(INDEX(tblMoveTypes[In / Out],MATCH($C392,tblMoveTypes[Movement],0)),"?")="OUT"),"Out  ","")&amp;IF(IFERROR(INDEX(tblMoveTypes[Orders?],MATCH($C392,tblMoveTypes[Movement],0)),"?")="Yes","Orders  ","")&amp;IF(IFERROR(INDEX(tblMoveTypes[Courier?],MATCH($C392,tblMoveTypes[Movement],0)),"?")="Yes","Courier  ","")&amp;IF(IFERROR(INDEX(tblMoveTypes[Reason?],MATCH($C392,tblMoveTypes[Movement],0)),"?")="Yes","Reason",""),"unknown movement"))</f>
        <v>OUT   fill: Out  Orders  Courier  </v>
      </c>
      <c r="E392" s="31"/>
      <c r="F392" s="33"/>
      <c r="G392" s="33" t="n">
        <v>156</v>
      </c>
      <c r="H392" s="33" t="n">
        <v>78</v>
      </c>
      <c r="I392" s="31" t="s">
        <v>76</v>
      </c>
      <c r="J392" s="31"/>
      <c r="K392" s="31"/>
      <c r="L392" s="31"/>
      <c r="M392" s="34" t="str">
        <f aca="false">IF($E392="","",IFERROR(INDEX(tblItems[Item Code],MATCH($E392,tblItems[Item Name],0)),"?"))</f>
        <v/>
      </c>
      <c r="N392" s="34" t="str">
        <f aca="false">IF($B392="","",IFERROR(INDEX(tblShipment[Market],MATCH($B392,tblShipment[Shipment No],0)),"?"))</f>
        <v>Qatar</v>
      </c>
      <c r="O392" s="35" t="n">
        <f aca="false">N($F392)+N($G392)</f>
        <v>156</v>
      </c>
      <c r="P392" s="34" t="str">
        <f aca="false">IF($A392="","",IF($L392="Yes","VOID",IF(COUNTIFS(tblMoveTypes[Movement],$C392)=0,"Unknown movement",IF(COUNTIF(tblShipment[Shipment No],$B392)=0,"Unknown shipment",IF(AND(IFERROR(INDEX(tblMoveTypes[Item?],MATCH($C392,tblMoveTypes[Movement],0)),"?")="Yes",$E392=""),"Item needed",IF(AND(IFERROR(INDEX(tblMoveTypes[Item?],MATCH($C392,tblMoveTypes[Movement],0)),"?")="No",$E392&lt;&gt;""),"Leave Item blank",IF(AND(IFERROR(INDEX(tblMoveTypes[In / Out],MATCH($C392,tblMoveTypes[Movement],0)),"?")="IN",$G392&lt;&gt;""),"Use the In column, not Out",IF(AND(IFERROR(INDEX(tblMoveTypes[In / Out],MATCH($C392,tblMoveTypes[Movement],0)),"?")="OUT",$F392&lt;&gt;""),"Use the Out column, not In",IF(AND(IFERROR(INDEX(tblMoveTypes[Qty?],MATCH($C392,tblMoveTypes[Movement],0)),"?")="Yes",N($F392)+N($G392)&lt;=0),"Qty needed",IF(AND(IFERROR(INDEX(tblMoveTypes[Qty?],MATCH($C392,tblMoveTypes[Movement],0)),"?")="No",N($F392)+N($G392)&gt;0),"Leave In and Out blank",IF(AND(IFERROR(INDEX(tblMoveTypes[Courier?],MATCH($C392,tblMoveTypes[Movement],0)),"?")="Yes",$I392=""),"Courier needed",IF(AND(IFERROR(INDEX(tblMoveTypes[Courier?],MATCH($C392,tblMoveTypes[Movement],0)),"?")="No",$I392&lt;&gt;""),"Leave Courier blank",IF(AND(IFERROR(INDEX(tblMoveTypes[Orders?],MATCH($C392,tblMoveTypes[Movement],0)),"?")="Yes",$H392=""),"Orders needed",IF(AND(IFERROR(INDEX(tblMoveTypes[Orders?],MATCH($C392,tblMoveTypes[Movement],0)),"?")="No",$H392&lt;&gt;""),"Leave Orders blank",IF(AND(IFERROR(INDEX(tblMoveTypes[Reason?],MATCH($C392,tblMoveTypes[Movement],0)),"?")="Yes",$J392=""),"Reason needed",IF($A392&lt;_xlfn.MINIFS(tblShipment[Arrival Date],tblShipment[Shipment No],$B392),"Date before arrival",IF(AND($E392&lt;&gt;"",COUNTIFS(tblShipment[Shipment No],$B392,tblShipment[Item Name],$E392)=0),"Item not in this shipment","OK")))))))))))))))))</f>
        <v>OK</v>
      </c>
    </row>
    <row r="393" customFormat="false" ht="15" hidden="false" customHeight="false" outlineLevel="0" collapsed="false">
      <c r="A393" s="32" t="n">
        <v>46254</v>
      </c>
      <c r="B393" s="31" t="s">
        <v>167</v>
      </c>
      <c r="C393" s="31" t="s">
        <v>98</v>
      </c>
      <c r="D393" s="34" t="str">
        <f aca="false">IF($C393="","",IFERROR(IF(IFERROR(INDEX(tblMoveTypes[In / Out],MATCH($C393,tblMoveTypes[Movement],0)),"?")="IN","IN   ",IF(IFERROR(INDEX(tblMoveTypes[In / Out],MATCH($C393,tblMoveTypes[Movement],0)),"?")="OUT","OUT   ","--   "))&amp;"fill: "&amp;IF(IFERROR(INDEX(tblMoveTypes[Item?],MATCH($C393,tblMoveTypes[Movement],0)),"?")="Yes","Item  ","")&amp;IF(AND(IFERROR(INDEX(tblMoveTypes[Qty?],MATCH($C393,tblMoveTypes[Movement],0)),"?")="Yes",IFERROR(INDEX(tblMoveTypes[In / Out],MATCH($C393,tblMoveTypes[Movement],0)),"?")="IN"),"In  ","")&amp;IF(AND(IFERROR(INDEX(tblMoveTypes[Qty?],MATCH($C393,tblMoveTypes[Movement],0)),"?")="Yes",IFERROR(INDEX(tblMoveTypes[In / Out],MATCH($C393,tblMoveTypes[Movement],0)),"?")="OUT"),"Out  ","")&amp;IF(IFERROR(INDEX(tblMoveTypes[Orders?],MATCH($C393,tblMoveTypes[Movement],0)),"?")="Yes","Orders  ","")&amp;IF(IFERROR(INDEX(tblMoveTypes[Courier?],MATCH($C393,tblMoveTypes[Movement],0)),"?")="Yes","Courier  ","")&amp;IF(IFERROR(INDEX(tblMoveTypes[Reason?],MATCH($C393,tblMoveTypes[Movement],0)),"?")="Yes","Reason",""),"unknown movement"))</f>
        <v>OUT   fill: Item  Out  Courier  </v>
      </c>
      <c r="E393" s="31" t="s">
        <v>127</v>
      </c>
      <c r="F393" s="33"/>
      <c r="G393" s="33" t="n">
        <v>5</v>
      </c>
      <c r="H393" s="33"/>
      <c r="I393" s="31" t="s">
        <v>76</v>
      </c>
      <c r="J393" s="31"/>
      <c r="K393" s="31"/>
      <c r="L393" s="31"/>
      <c r="M393" s="34" t="str">
        <f aca="false">IF($E393="","",IFERROR(INDEX(tblItems[Item Code],MATCH($E393,tblItems[Item Name],0)),"?"))</f>
        <v>EG-FG-GRP-03-02-01-01</v>
      </c>
      <c r="N393" s="34" t="str">
        <f aca="false">IF($B393="","",IFERROR(INDEX(tblShipment[Market],MATCH($B393,tblShipment[Shipment No],0)),"?"))</f>
        <v>Qatar</v>
      </c>
      <c r="O393" s="35" t="n">
        <f aca="false">N($F393)+N($G393)</f>
        <v>5</v>
      </c>
      <c r="P393" s="34" t="str">
        <f aca="false">IF($A393="","",IF($L393="Yes","VOID",IF(COUNTIFS(tblMoveTypes[Movement],$C393)=0,"Unknown movement",IF(COUNTIF(tblShipment[Shipment No],$B393)=0,"Unknown shipment",IF(AND(IFERROR(INDEX(tblMoveTypes[Item?],MATCH($C393,tblMoveTypes[Movement],0)),"?")="Yes",$E393=""),"Item needed",IF(AND(IFERROR(INDEX(tblMoveTypes[Item?],MATCH($C393,tblMoveTypes[Movement],0)),"?")="No",$E393&lt;&gt;""),"Leave Item blank",IF(AND(IFERROR(INDEX(tblMoveTypes[In / Out],MATCH($C393,tblMoveTypes[Movement],0)),"?")="IN",$G393&lt;&gt;""),"Use the In column, not Out",IF(AND(IFERROR(INDEX(tblMoveTypes[In / Out],MATCH($C393,tblMoveTypes[Movement],0)),"?")="OUT",$F393&lt;&gt;""),"Use the Out column, not In",IF(AND(IFERROR(INDEX(tblMoveTypes[Qty?],MATCH($C393,tblMoveTypes[Movement],0)),"?")="Yes",N($F393)+N($G393)&lt;=0),"Qty needed",IF(AND(IFERROR(INDEX(tblMoveTypes[Qty?],MATCH($C393,tblMoveTypes[Movement],0)),"?")="No",N($F393)+N($G393)&gt;0),"Leave In and Out blank",IF(AND(IFERROR(INDEX(tblMoveTypes[Courier?],MATCH($C393,tblMoveTypes[Movement],0)),"?")="Yes",$I393=""),"Courier needed",IF(AND(IFERROR(INDEX(tblMoveTypes[Courier?],MATCH($C393,tblMoveTypes[Movement],0)),"?")="No",$I393&lt;&gt;""),"Leave Courier blank",IF(AND(IFERROR(INDEX(tblMoveTypes[Orders?],MATCH($C393,tblMoveTypes[Movement],0)),"?")="Yes",$H393=""),"Orders needed",IF(AND(IFERROR(INDEX(tblMoveTypes[Orders?],MATCH($C393,tblMoveTypes[Movement],0)),"?")="No",$H393&lt;&gt;""),"Leave Orders blank",IF(AND(IFERROR(INDEX(tblMoveTypes[Reason?],MATCH($C393,tblMoveTypes[Movement],0)),"?")="Yes",$J393=""),"Reason needed",IF($A393&lt;_xlfn.MINIFS(tblShipment[Arrival Date],tblShipment[Shipment No],$B393),"Date before arrival",IF(AND($E393&lt;&gt;"",COUNTIFS(tblShipment[Shipment No],$B393,tblShipment[Item Name],$E393)=0),"Item not in this shipment","OK")))))))))))))))))</f>
        <v>OK</v>
      </c>
    </row>
    <row r="394" customFormat="false" ht="15" hidden="false" customHeight="false" outlineLevel="0" collapsed="false">
      <c r="A394" s="32" t="n">
        <v>46254</v>
      </c>
      <c r="B394" s="31" t="s">
        <v>167</v>
      </c>
      <c r="C394" s="31" t="s">
        <v>110</v>
      </c>
      <c r="D394" s="34" t="str">
        <f aca="false">IF($C394="","",IFERROR(IF(IFERROR(INDEX(tblMoveTypes[In / Out],MATCH($C394,tblMoveTypes[Movement],0)),"?")="IN","IN   ",IF(IFERROR(INDEX(tblMoveTypes[In / Out],MATCH($C394,tblMoveTypes[Movement],0)),"?")="OUT","OUT   ","--   "))&amp;"fill: "&amp;IF(IFERROR(INDEX(tblMoveTypes[Item?],MATCH($C394,tblMoveTypes[Movement],0)),"?")="Yes","Item  ","")&amp;IF(AND(IFERROR(INDEX(tblMoveTypes[Qty?],MATCH($C394,tblMoveTypes[Movement],0)),"?")="Yes",IFERROR(INDEX(tblMoveTypes[In / Out],MATCH($C394,tblMoveTypes[Movement],0)),"?")="IN"),"In  ","")&amp;IF(AND(IFERROR(INDEX(tblMoveTypes[Qty?],MATCH($C394,tblMoveTypes[Movement],0)),"?")="Yes",IFERROR(INDEX(tblMoveTypes[In / Out],MATCH($C394,tblMoveTypes[Movement],0)),"?")="OUT"),"Out  ","")&amp;IF(IFERROR(INDEX(tblMoveTypes[Orders?],MATCH($C394,tblMoveTypes[Movement],0)),"?")="Yes","Orders  ","")&amp;IF(IFERROR(INDEX(tblMoveTypes[Courier?],MATCH($C394,tblMoveTypes[Movement],0)),"?")="Yes","Courier  ","")&amp;IF(IFERROR(INDEX(tblMoveTypes[Reason?],MATCH($C394,tblMoveTypes[Movement],0)),"?")="Yes","Reason",""),"unknown movement"))</f>
        <v>--   fill: Orders  Courier  </v>
      </c>
      <c r="E394" s="31"/>
      <c r="F394" s="33"/>
      <c r="G394" s="33"/>
      <c r="H394" s="33" t="n">
        <v>2</v>
      </c>
      <c r="I394" s="31" t="s">
        <v>76</v>
      </c>
      <c r="J394" s="31"/>
      <c r="K394" s="31"/>
      <c r="L394" s="31"/>
      <c r="M394" s="34" t="str">
        <f aca="false">IF($E394="","",IFERROR(INDEX(tblItems[Item Code],MATCH($E394,tblItems[Item Name],0)),"?"))</f>
        <v/>
      </c>
      <c r="N394" s="34" t="str">
        <f aca="false">IF($B394="","",IFERROR(INDEX(tblShipment[Market],MATCH($B394,tblShipment[Shipment No],0)),"?"))</f>
        <v>Qatar</v>
      </c>
      <c r="O394" s="35" t="n">
        <f aca="false">N($F394)+N($G394)</f>
        <v>0</v>
      </c>
      <c r="P394" s="34" t="str">
        <f aca="false">IF($A394="","",IF($L394="Yes","VOID",IF(COUNTIFS(tblMoveTypes[Movement],$C394)=0,"Unknown movement",IF(COUNTIF(tblShipment[Shipment No],$B394)=0,"Unknown shipment",IF(AND(IFERROR(INDEX(tblMoveTypes[Item?],MATCH($C394,tblMoveTypes[Movement],0)),"?")="Yes",$E394=""),"Item needed",IF(AND(IFERROR(INDEX(tblMoveTypes[Item?],MATCH($C394,tblMoveTypes[Movement],0)),"?")="No",$E394&lt;&gt;""),"Leave Item blank",IF(AND(IFERROR(INDEX(tblMoveTypes[In / Out],MATCH($C394,tblMoveTypes[Movement],0)),"?")="IN",$G394&lt;&gt;""),"Use the In column, not Out",IF(AND(IFERROR(INDEX(tblMoveTypes[In / Out],MATCH($C394,tblMoveTypes[Movement],0)),"?")="OUT",$F394&lt;&gt;""),"Use the Out column, not In",IF(AND(IFERROR(INDEX(tblMoveTypes[Qty?],MATCH($C394,tblMoveTypes[Movement],0)),"?")="Yes",N($F394)+N($G394)&lt;=0),"Qty needed",IF(AND(IFERROR(INDEX(tblMoveTypes[Qty?],MATCH($C394,tblMoveTypes[Movement],0)),"?")="No",N($F394)+N($G394)&gt;0),"Leave In and Out blank",IF(AND(IFERROR(INDEX(tblMoveTypes[Courier?],MATCH($C394,tblMoveTypes[Movement],0)),"?")="Yes",$I394=""),"Courier needed",IF(AND(IFERROR(INDEX(tblMoveTypes[Courier?],MATCH($C394,tblMoveTypes[Movement],0)),"?")="No",$I394&lt;&gt;""),"Leave Courier blank",IF(AND(IFERROR(INDEX(tblMoveTypes[Orders?],MATCH($C394,tblMoveTypes[Movement],0)),"?")="Yes",$H394=""),"Orders needed",IF(AND(IFERROR(INDEX(tblMoveTypes[Orders?],MATCH($C394,tblMoveTypes[Movement],0)),"?")="No",$H394&lt;&gt;""),"Leave Orders blank",IF(AND(IFERROR(INDEX(tblMoveTypes[Reason?],MATCH($C394,tblMoveTypes[Movement],0)),"?")="Yes",$J394=""),"Reason needed",IF($A394&lt;_xlfn.MINIFS(tblShipment[Arrival Date],tblShipment[Shipment No],$B394),"Date before arrival",IF(AND($E394&lt;&gt;"",COUNTIFS(tblShipment[Shipment No],$B394,tblShipment[Item Name],$E394)=0),"Item not in this shipment","OK")))))))))))))))))</f>
        <v>OK</v>
      </c>
    </row>
    <row r="395" customFormat="false" ht="15" hidden="false" customHeight="false" outlineLevel="0" collapsed="false">
      <c r="A395" s="32" t="n">
        <v>46254</v>
      </c>
      <c r="B395" s="31" t="s">
        <v>167</v>
      </c>
      <c r="C395" s="31" t="s">
        <v>115</v>
      </c>
      <c r="D395" s="34" t="str">
        <f aca="false">IF($C395="","",IFERROR(IF(IFERROR(INDEX(tblMoveTypes[In / Out],MATCH($C395,tblMoveTypes[Movement],0)),"?")="IN","IN   ",IF(IFERROR(INDEX(tblMoveTypes[In / Out],MATCH($C395,tblMoveTypes[Movement],0)),"?")="OUT","OUT   ","--   "))&amp;"fill: "&amp;IF(IFERROR(INDEX(tblMoveTypes[Item?],MATCH($C395,tblMoveTypes[Movement],0)),"?")="Yes","Item  ","")&amp;IF(AND(IFERROR(INDEX(tblMoveTypes[Qty?],MATCH($C395,tblMoveTypes[Movement],0)),"?")="Yes",IFERROR(INDEX(tblMoveTypes[In / Out],MATCH($C395,tblMoveTypes[Movement],0)),"?")="IN"),"In  ","")&amp;IF(AND(IFERROR(INDEX(tblMoveTypes[Qty?],MATCH($C395,tblMoveTypes[Movement],0)),"?")="Yes",IFERROR(INDEX(tblMoveTypes[In / Out],MATCH($C395,tblMoveTypes[Movement],0)),"?")="OUT"),"Out  ","")&amp;IF(IFERROR(INDEX(tblMoveTypes[Orders?],MATCH($C395,tblMoveTypes[Movement],0)),"?")="Yes","Orders  ","")&amp;IF(IFERROR(INDEX(tblMoveTypes[Courier?],MATCH($C395,tblMoveTypes[Movement],0)),"?")="Yes","Courier  ","")&amp;IF(IFERROR(INDEX(tblMoveTypes[Reason?],MATCH($C395,tblMoveTypes[Movement],0)),"?")="Yes","Reason",""),"unknown movement"))</f>
        <v>OUT   fill: Out  Orders  Courier  </v>
      </c>
      <c r="E395" s="31"/>
      <c r="F395" s="33"/>
      <c r="G395" s="33" t="n">
        <v>5</v>
      </c>
      <c r="H395" s="33" t="n">
        <v>2</v>
      </c>
      <c r="I395" s="31" t="s">
        <v>76</v>
      </c>
      <c r="J395" s="31"/>
      <c r="K395" s="31"/>
      <c r="L395" s="31"/>
      <c r="M395" s="34" t="str">
        <f aca="false">IF($E395="","",IFERROR(INDEX(tblItems[Item Code],MATCH($E395,tblItems[Item Name],0)),"?"))</f>
        <v/>
      </c>
      <c r="N395" s="34" t="str">
        <f aca="false">IF($B395="","",IFERROR(INDEX(tblShipment[Market],MATCH($B395,tblShipment[Shipment No],0)),"?"))</f>
        <v>Qatar</v>
      </c>
      <c r="O395" s="35" t="n">
        <f aca="false">N($F395)+N($G395)</f>
        <v>5</v>
      </c>
      <c r="P395" s="34" t="str">
        <f aca="false">IF($A395="","",IF($L395="Yes","VOID",IF(COUNTIFS(tblMoveTypes[Movement],$C395)=0,"Unknown movement",IF(COUNTIF(tblShipment[Shipment No],$B395)=0,"Unknown shipment",IF(AND(IFERROR(INDEX(tblMoveTypes[Item?],MATCH($C395,tblMoveTypes[Movement],0)),"?")="Yes",$E395=""),"Item needed",IF(AND(IFERROR(INDEX(tblMoveTypes[Item?],MATCH($C395,tblMoveTypes[Movement],0)),"?")="No",$E395&lt;&gt;""),"Leave Item blank",IF(AND(IFERROR(INDEX(tblMoveTypes[In / Out],MATCH($C395,tblMoveTypes[Movement],0)),"?")="IN",$G395&lt;&gt;""),"Use the In column, not Out",IF(AND(IFERROR(INDEX(tblMoveTypes[In / Out],MATCH($C395,tblMoveTypes[Movement],0)),"?")="OUT",$F395&lt;&gt;""),"Use the Out column, not In",IF(AND(IFERROR(INDEX(tblMoveTypes[Qty?],MATCH($C395,tblMoveTypes[Movement],0)),"?")="Yes",N($F395)+N($G395)&lt;=0),"Qty needed",IF(AND(IFERROR(INDEX(tblMoveTypes[Qty?],MATCH($C395,tblMoveTypes[Movement],0)),"?")="No",N($F395)+N($G395)&gt;0),"Leave In and Out blank",IF(AND(IFERROR(INDEX(tblMoveTypes[Courier?],MATCH($C395,tblMoveTypes[Movement],0)),"?")="Yes",$I395=""),"Courier needed",IF(AND(IFERROR(INDEX(tblMoveTypes[Courier?],MATCH($C395,tblMoveTypes[Movement],0)),"?")="No",$I395&lt;&gt;""),"Leave Courier blank",IF(AND(IFERROR(INDEX(tblMoveTypes[Orders?],MATCH($C395,tblMoveTypes[Movement],0)),"?")="Yes",$H395=""),"Orders needed",IF(AND(IFERROR(INDEX(tblMoveTypes[Orders?],MATCH($C395,tblMoveTypes[Movement],0)),"?")="No",$H395&lt;&gt;""),"Leave Orders blank",IF(AND(IFERROR(INDEX(tblMoveTypes[Reason?],MATCH($C395,tblMoveTypes[Movement],0)),"?")="Yes",$J395=""),"Reason needed",IF($A395&lt;_xlfn.MINIFS(tblShipment[Arrival Date],tblShipment[Shipment No],$B395),"Date before arrival",IF(AND($E395&lt;&gt;"",COUNTIFS(tblShipment[Shipment No],$B395,tblShipment[Item Name],$E395)=0),"Item not in this shipment","OK")))))))))))))))))</f>
        <v>OK</v>
      </c>
    </row>
    <row r="396" customFormat="false" ht="15" hidden="false" customHeight="false" outlineLevel="0" collapsed="false">
      <c r="A396" s="32" t="n">
        <v>46254</v>
      </c>
      <c r="B396" s="31" t="s">
        <v>168</v>
      </c>
      <c r="C396" s="31" t="s">
        <v>115</v>
      </c>
      <c r="D396" s="34" t="str">
        <f aca="false">IF($C396="","",IFERROR(IF(IFERROR(INDEX(tblMoveTypes[In / Out],MATCH($C396,tblMoveTypes[Movement],0)),"?")="IN","IN   ",IF(IFERROR(INDEX(tblMoveTypes[In / Out],MATCH($C396,tblMoveTypes[Movement],0)),"?")="OUT","OUT   ","--   "))&amp;"fill: "&amp;IF(IFERROR(INDEX(tblMoveTypes[Item?],MATCH($C396,tblMoveTypes[Movement],0)),"?")="Yes","Item  ","")&amp;IF(AND(IFERROR(INDEX(tblMoveTypes[Qty?],MATCH($C396,tblMoveTypes[Movement],0)),"?")="Yes",IFERROR(INDEX(tblMoveTypes[In / Out],MATCH($C396,tblMoveTypes[Movement],0)),"?")="IN"),"In  ","")&amp;IF(AND(IFERROR(INDEX(tblMoveTypes[Qty?],MATCH($C396,tblMoveTypes[Movement],0)),"?")="Yes",IFERROR(INDEX(tblMoveTypes[In / Out],MATCH($C396,tblMoveTypes[Movement],0)),"?")="OUT"),"Out  ","")&amp;IF(IFERROR(INDEX(tblMoveTypes[Orders?],MATCH($C396,tblMoveTypes[Movement],0)),"?")="Yes","Orders  ","")&amp;IF(IFERROR(INDEX(tblMoveTypes[Courier?],MATCH($C396,tblMoveTypes[Movement],0)),"?")="Yes","Courier  ","")&amp;IF(IFERROR(INDEX(tblMoveTypes[Reason?],MATCH($C396,tblMoveTypes[Movement],0)),"?")="Yes","Reason",""),"unknown movement"))</f>
        <v>OUT   fill: Out  Orders  Courier  </v>
      </c>
      <c r="E396" s="31"/>
      <c r="F396" s="33"/>
      <c r="G396" s="33" t="n">
        <v>80</v>
      </c>
      <c r="H396" s="33" t="n">
        <v>40</v>
      </c>
      <c r="I396" s="31" t="s">
        <v>76</v>
      </c>
      <c r="J396" s="31"/>
      <c r="K396" s="31"/>
      <c r="L396" s="31"/>
      <c r="M396" s="34" t="str">
        <f aca="false">IF($E396="","",IFERROR(INDEX(tblItems[Item Code],MATCH($E396,tblItems[Item Name],0)),"?"))</f>
        <v/>
      </c>
      <c r="N396" s="34" t="str">
        <f aca="false">IF($B396="","",IFERROR(INDEX(tblShipment[Market],MATCH($B396,tblShipment[Shipment No],0)),"?"))</f>
        <v>Qatar</v>
      </c>
      <c r="O396" s="35" t="n">
        <f aca="false">N($F396)+N($G396)</f>
        <v>80</v>
      </c>
      <c r="P396" s="34" t="str">
        <f aca="false">IF($A396="","",IF($L396="Yes","VOID",IF(COUNTIFS(tblMoveTypes[Movement],$C396)=0,"Unknown movement",IF(COUNTIF(tblShipment[Shipment No],$B396)=0,"Unknown shipment",IF(AND(IFERROR(INDEX(tblMoveTypes[Item?],MATCH($C396,tblMoveTypes[Movement],0)),"?")="Yes",$E396=""),"Item needed",IF(AND(IFERROR(INDEX(tblMoveTypes[Item?],MATCH($C396,tblMoveTypes[Movement],0)),"?")="No",$E396&lt;&gt;""),"Leave Item blank",IF(AND(IFERROR(INDEX(tblMoveTypes[In / Out],MATCH($C396,tblMoveTypes[Movement],0)),"?")="IN",$G396&lt;&gt;""),"Use the In column, not Out",IF(AND(IFERROR(INDEX(tblMoveTypes[In / Out],MATCH($C396,tblMoveTypes[Movement],0)),"?")="OUT",$F396&lt;&gt;""),"Use the Out column, not In",IF(AND(IFERROR(INDEX(tblMoveTypes[Qty?],MATCH($C396,tblMoveTypes[Movement],0)),"?")="Yes",N($F396)+N($G396)&lt;=0),"Qty needed",IF(AND(IFERROR(INDEX(tblMoveTypes[Qty?],MATCH($C396,tblMoveTypes[Movement],0)),"?")="No",N($F396)+N($G396)&gt;0),"Leave In and Out blank",IF(AND(IFERROR(INDEX(tblMoveTypes[Courier?],MATCH($C396,tblMoveTypes[Movement],0)),"?")="Yes",$I396=""),"Courier needed",IF(AND(IFERROR(INDEX(tblMoveTypes[Courier?],MATCH($C396,tblMoveTypes[Movement],0)),"?")="No",$I396&lt;&gt;""),"Leave Courier blank",IF(AND(IFERROR(INDEX(tblMoveTypes[Orders?],MATCH($C396,tblMoveTypes[Movement],0)),"?")="Yes",$H396=""),"Orders needed",IF(AND(IFERROR(INDEX(tblMoveTypes[Orders?],MATCH($C396,tblMoveTypes[Movement],0)),"?")="No",$H396&lt;&gt;""),"Leave Orders blank",IF(AND(IFERROR(INDEX(tblMoveTypes[Reason?],MATCH($C396,tblMoveTypes[Movement],0)),"?")="Yes",$J396=""),"Reason needed",IF($A396&lt;_xlfn.MINIFS(tblShipment[Arrival Date],tblShipment[Shipment No],$B396),"Date before arrival",IF(AND($E396&lt;&gt;"",COUNTIFS(tblShipment[Shipment No],$B396,tblShipment[Item Name],$E396)=0),"Item not in this shipment","OK")))))))))))))))))</f>
        <v>OK</v>
      </c>
    </row>
    <row r="397" customFormat="false" ht="15" hidden="false" customHeight="false" outlineLevel="0" collapsed="false">
      <c r="A397" s="32" t="n">
        <v>46255</v>
      </c>
      <c r="B397" s="31" t="s">
        <v>168</v>
      </c>
      <c r="C397" s="31" t="s">
        <v>120</v>
      </c>
      <c r="D397" s="34" t="str">
        <f aca="false">IF($C397="","",IFERROR(IF(IFERROR(INDEX(tblMoveTypes[In / Out],MATCH($C397,tblMoveTypes[Movement],0)),"?")="IN","IN   ",IF(IFERROR(INDEX(tblMoveTypes[In / Out],MATCH($C397,tblMoveTypes[Movement],0)),"?")="OUT","OUT   ","--   "))&amp;"fill: "&amp;IF(IFERROR(INDEX(tblMoveTypes[Item?],MATCH($C397,tblMoveTypes[Movement],0)),"?")="Yes","Item  ","")&amp;IF(AND(IFERROR(INDEX(tblMoveTypes[Qty?],MATCH($C397,tblMoveTypes[Movement],0)),"?")="Yes",IFERROR(INDEX(tblMoveTypes[In / Out],MATCH($C397,tblMoveTypes[Movement],0)),"?")="IN"),"In  ","")&amp;IF(AND(IFERROR(INDEX(tblMoveTypes[Qty?],MATCH($C397,tblMoveTypes[Movement],0)),"?")="Yes",IFERROR(INDEX(tblMoveTypes[In / Out],MATCH($C397,tblMoveTypes[Movement],0)),"?")="OUT"),"Out  ","")&amp;IF(IFERROR(INDEX(tblMoveTypes[Orders?],MATCH($C397,tblMoveTypes[Movement],0)),"?")="Yes","Orders  ","")&amp;IF(IFERROR(INDEX(tblMoveTypes[Courier?],MATCH($C397,tblMoveTypes[Movement],0)),"?")="Yes","Courier  ","")&amp;IF(IFERROR(INDEX(tblMoveTypes[Reason?],MATCH($C397,tblMoveTypes[Movement],0)),"?")="Yes","Reason",""),"unknown movement"))</f>
        <v>IN   fill: In  Orders  Courier  Reason</v>
      </c>
      <c r="E397" s="31"/>
      <c r="F397" s="33" t="n">
        <v>7</v>
      </c>
      <c r="G397" s="33"/>
      <c r="H397" s="33" t="n">
        <v>1</v>
      </c>
      <c r="I397" s="31" t="s">
        <v>76</v>
      </c>
      <c r="J397" s="31" t="s">
        <v>129</v>
      </c>
      <c r="K397" s="31"/>
      <c r="L397" s="31"/>
      <c r="M397" s="34" t="str">
        <f aca="false">IF($E397="","",IFERROR(INDEX(tblItems[Item Code],MATCH($E397,tblItems[Item Name],0)),"?"))</f>
        <v/>
      </c>
      <c r="N397" s="34" t="str">
        <f aca="false">IF($B397="","",IFERROR(INDEX(tblShipment[Market],MATCH($B397,tblShipment[Shipment No],0)),"?"))</f>
        <v>Qatar</v>
      </c>
      <c r="O397" s="35" t="n">
        <f aca="false">N($F397)+N($G397)</f>
        <v>7</v>
      </c>
      <c r="P397" s="34" t="str">
        <f aca="false">IF($A397="","",IF($L397="Yes","VOID",IF(COUNTIFS(tblMoveTypes[Movement],$C397)=0,"Unknown movement",IF(COUNTIF(tblShipment[Shipment No],$B397)=0,"Unknown shipment",IF(AND(IFERROR(INDEX(tblMoveTypes[Item?],MATCH($C397,tblMoveTypes[Movement],0)),"?")="Yes",$E397=""),"Item needed",IF(AND(IFERROR(INDEX(tblMoveTypes[Item?],MATCH($C397,tblMoveTypes[Movement],0)),"?")="No",$E397&lt;&gt;""),"Leave Item blank",IF(AND(IFERROR(INDEX(tblMoveTypes[In / Out],MATCH($C397,tblMoveTypes[Movement],0)),"?")="IN",$G397&lt;&gt;""),"Use the In column, not Out",IF(AND(IFERROR(INDEX(tblMoveTypes[In / Out],MATCH($C397,tblMoveTypes[Movement],0)),"?")="OUT",$F397&lt;&gt;""),"Use the Out column, not In",IF(AND(IFERROR(INDEX(tblMoveTypes[Qty?],MATCH($C397,tblMoveTypes[Movement],0)),"?")="Yes",N($F397)+N($G397)&lt;=0),"Qty needed",IF(AND(IFERROR(INDEX(tblMoveTypes[Qty?],MATCH($C397,tblMoveTypes[Movement],0)),"?")="No",N($F397)+N($G397)&gt;0),"Leave In and Out blank",IF(AND(IFERROR(INDEX(tblMoveTypes[Courier?],MATCH($C397,tblMoveTypes[Movement],0)),"?")="Yes",$I397=""),"Courier needed",IF(AND(IFERROR(INDEX(tblMoveTypes[Courier?],MATCH($C397,tblMoveTypes[Movement],0)),"?")="No",$I397&lt;&gt;""),"Leave Courier blank",IF(AND(IFERROR(INDEX(tblMoveTypes[Orders?],MATCH($C397,tblMoveTypes[Movement],0)),"?")="Yes",$H397=""),"Orders needed",IF(AND(IFERROR(INDEX(tblMoveTypes[Orders?],MATCH($C397,tblMoveTypes[Movement],0)),"?")="No",$H397&lt;&gt;""),"Leave Orders blank",IF(AND(IFERROR(INDEX(tblMoveTypes[Reason?],MATCH($C397,tblMoveTypes[Movement],0)),"?")="Yes",$J397=""),"Reason needed",IF($A397&lt;_xlfn.MINIFS(tblShipment[Arrival Date],tblShipment[Shipment No],$B397),"Date before arrival",IF(AND($E397&lt;&gt;"",COUNTIFS(tblShipment[Shipment No],$B397,tblShipment[Item Name],$E397)=0),"Item not in this shipment","OK")))))))))))))))))</f>
        <v>OK</v>
      </c>
    </row>
    <row r="398" customFormat="false" ht="15" hidden="false" customHeight="false" outlineLevel="0" collapsed="false">
      <c r="A398" s="32" t="n">
        <v>46255</v>
      </c>
      <c r="B398" s="31" t="s">
        <v>168</v>
      </c>
      <c r="C398" s="31" t="s">
        <v>125</v>
      </c>
      <c r="D398" s="34" t="str">
        <f aca="false">IF($C398="","",IFERROR(IF(IFERROR(INDEX(tblMoveTypes[In / Out],MATCH($C398,tblMoveTypes[Movement],0)),"?")="IN","IN   ",IF(IFERROR(INDEX(tblMoveTypes[In / Out],MATCH($C398,tblMoveTypes[Movement],0)),"?")="OUT","OUT   ","--   "))&amp;"fill: "&amp;IF(IFERROR(INDEX(tblMoveTypes[Item?],MATCH($C398,tblMoveTypes[Movement],0)),"?")="Yes","Item  ","")&amp;IF(AND(IFERROR(INDEX(tblMoveTypes[Qty?],MATCH($C398,tblMoveTypes[Movement],0)),"?")="Yes",IFERROR(INDEX(tblMoveTypes[In / Out],MATCH($C398,tblMoveTypes[Movement],0)),"?")="IN"),"In  ","")&amp;IF(AND(IFERROR(INDEX(tblMoveTypes[Qty?],MATCH($C398,tblMoveTypes[Movement],0)),"?")="Yes",IFERROR(INDEX(tblMoveTypes[In / Out],MATCH($C398,tblMoveTypes[Movement],0)),"?")="OUT"),"Out  ","")&amp;IF(IFERROR(INDEX(tblMoveTypes[Orders?],MATCH($C398,tblMoveTypes[Movement],0)),"?")="Yes","Orders  ","")&amp;IF(IFERROR(INDEX(tblMoveTypes[Courier?],MATCH($C398,tblMoveTypes[Movement],0)),"?")="Yes","Courier  ","")&amp;IF(IFERROR(INDEX(tblMoveTypes[Reason?],MATCH($C398,tblMoveTypes[Movement],0)),"?")="Yes","Reason",""),"unknown movement"))</f>
        <v>IN   fill: Item  In  </v>
      </c>
      <c r="E398" s="31" t="s">
        <v>106</v>
      </c>
      <c r="F398" s="33" t="n">
        <v>5</v>
      </c>
      <c r="G398" s="33"/>
      <c r="H398" s="33"/>
      <c r="I398" s="31"/>
      <c r="J398" s="31"/>
      <c r="K398" s="31"/>
      <c r="L398" s="31"/>
      <c r="M398" s="34" t="str">
        <f aca="false">IF($E398="","",IFERROR(INDEX(tblItems[Item Code],MATCH($E398,tblItems[Item Name],0)),"?"))</f>
        <v>EG-FG-DAT-01-02-01-01</v>
      </c>
      <c r="N398" s="34" t="str">
        <f aca="false">IF($B398="","",IFERROR(INDEX(tblShipment[Market],MATCH($B398,tblShipment[Shipment No],0)),"?"))</f>
        <v>Qatar</v>
      </c>
      <c r="O398" s="35" t="n">
        <f aca="false">N($F398)+N($G398)</f>
        <v>5</v>
      </c>
      <c r="P398" s="34" t="str">
        <f aca="false">IF($A398="","",IF($L398="Yes","VOID",IF(COUNTIFS(tblMoveTypes[Movement],$C398)=0,"Unknown movement",IF(COUNTIF(tblShipment[Shipment No],$B398)=0,"Unknown shipment",IF(AND(IFERROR(INDEX(tblMoveTypes[Item?],MATCH($C398,tblMoveTypes[Movement],0)),"?")="Yes",$E398=""),"Item needed",IF(AND(IFERROR(INDEX(tblMoveTypes[Item?],MATCH($C398,tblMoveTypes[Movement],0)),"?")="No",$E398&lt;&gt;""),"Leave Item blank",IF(AND(IFERROR(INDEX(tblMoveTypes[In / Out],MATCH($C398,tblMoveTypes[Movement],0)),"?")="IN",$G398&lt;&gt;""),"Use the In column, not Out",IF(AND(IFERROR(INDEX(tblMoveTypes[In / Out],MATCH($C398,tblMoveTypes[Movement],0)),"?")="OUT",$F398&lt;&gt;""),"Use the Out column, not In",IF(AND(IFERROR(INDEX(tblMoveTypes[Qty?],MATCH($C398,tblMoveTypes[Movement],0)),"?")="Yes",N($F398)+N($G398)&lt;=0),"Qty needed",IF(AND(IFERROR(INDEX(tblMoveTypes[Qty?],MATCH($C398,tblMoveTypes[Movement],0)),"?")="No",N($F398)+N($G398)&gt;0),"Leave In and Out blank",IF(AND(IFERROR(INDEX(tblMoveTypes[Courier?],MATCH($C398,tblMoveTypes[Movement],0)),"?")="Yes",$I398=""),"Courier needed",IF(AND(IFERROR(INDEX(tblMoveTypes[Courier?],MATCH($C398,tblMoveTypes[Movement],0)),"?")="No",$I398&lt;&gt;""),"Leave Courier blank",IF(AND(IFERROR(INDEX(tblMoveTypes[Orders?],MATCH($C398,tblMoveTypes[Movement],0)),"?")="Yes",$H398=""),"Orders needed",IF(AND(IFERROR(INDEX(tblMoveTypes[Orders?],MATCH($C398,tblMoveTypes[Movement],0)),"?")="No",$H398&lt;&gt;""),"Leave Orders blank",IF(AND(IFERROR(INDEX(tblMoveTypes[Reason?],MATCH($C398,tblMoveTypes[Movement],0)),"?")="Yes",$J398=""),"Reason needed",IF($A398&lt;_xlfn.MINIFS(tblShipment[Arrival Date],tblShipment[Shipment No],$B398),"Date before arrival",IF(AND($E398&lt;&gt;"",COUNTIFS(tblShipment[Shipment No],$B398,tblShipment[Item Name],$E398)=0),"Item not in this shipment","OK")))))))))))))))))</f>
        <v>OK</v>
      </c>
    </row>
    <row r="399" customFormat="false" ht="15" hidden="false" customHeight="false" outlineLevel="0" collapsed="false">
      <c r="A399" s="32" t="n">
        <v>46255</v>
      </c>
      <c r="B399" s="31" t="s">
        <v>168</v>
      </c>
      <c r="C399" s="31" t="s">
        <v>130</v>
      </c>
      <c r="D399" s="34" t="str">
        <f aca="false">IF($C399="","",IFERROR(IF(IFERROR(INDEX(tblMoveTypes[In / Out],MATCH($C399,tblMoveTypes[Movement],0)),"?")="IN","IN   ",IF(IFERROR(INDEX(tblMoveTypes[In / Out],MATCH($C399,tblMoveTypes[Movement],0)),"?")="OUT","OUT   ","--   "))&amp;"fill: "&amp;IF(IFERROR(INDEX(tblMoveTypes[Item?],MATCH($C399,tblMoveTypes[Movement],0)),"?")="Yes","Item  ","")&amp;IF(AND(IFERROR(INDEX(tblMoveTypes[Qty?],MATCH($C399,tblMoveTypes[Movement],0)),"?")="Yes",IFERROR(INDEX(tblMoveTypes[In / Out],MATCH($C399,tblMoveTypes[Movement],0)),"?")="IN"),"In  ","")&amp;IF(AND(IFERROR(INDEX(tblMoveTypes[Qty?],MATCH($C399,tblMoveTypes[Movement],0)),"?")="Yes",IFERROR(INDEX(tblMoveTypes[In / Out],MATCH($C399,tblMoveTypes[Movement],0)),"?")="OUT"),"Out  ","")&amp;IF(IFERROR(INDEX(tblMoveTypes[Orders?],MATCH($C399,tblMoveTypes[Movement],0)),"?")="Yes","Orders  ","")&amp;IF(IFERROR(INDEX(tblMoveTypes[Courier?],MATCH($C399,tblMoveTypes[Movement],0)),"?")="Yes","Courier  ","")&amp;IF(IFERROR(INDEX(tblMoveTypes[Reason?],MATCH($C399,tblMoveTypes[Movement],0)),"?")="Yes","Reason",""),"unknown movement"))</f>
        <v>OUT   fill: Item  Out  Reason</v>
      </c>
      <c r="E399" s="31" t="s">
        <v>106</v>
      </c>
      <c r="F399" s="33"/>
      <c r="G399" s="33" t="n">
        <v>2</v>
      </c>
      <c r="H399" s="33"/>
      <c r="I399" s="31"/>
      <c r="J399" s="31" t="s">
        <v>86</v>
      </c>
      <c r="K399" s="31"/>
      <c r="L399" s="31"/>
      <c r="M399" s="34" t="str">
        <f aca="false">IF($E399="","",IFERROR(INDEX(tblItems[Item Code],MATCH($E399,tblItems[Item Name],0)),"?"))</f>
        <v>EG-FG-DAT-01-02-01-01</v>
      </c>
      <c r="N399" s="34" t="str">
        <f aca="false">IF($B399="","",IFERROR(INDEX(tblShipment[Market],MATCH($B399,tblShipment[Shipment No],0)),"?"))</f>
        <v>Qatar</v>
      </c>
      <c r="O399" s="35" t="n">
        <f aca="false">N($F399)+N($G399)</f>
        <v>2</v>
      </c>
      <c r="P399" s="34" t="str">
        <f aca="false">IF($A399="","",IF($L399="Yes","VOID",IF(COUNTIFS(tblMoveTypes[Movement],$C399)=0,"Unknown movement",IF(COUNTIF(tblShipment[Shipment No],$B399)=0,"Unknown shipment",IF(AND(IFERROR(INDEX(tblMoveTypes[Item?],MATCH($C399,tblMoveTypes[Movement],0)),"?")="Yes",$E399=""),"Item needed",IF(AND(IFERROR(INDEX(tblMoveTypes[Item?],MATCH($C399,tblMoveTypes[Movement],0)),"?")="No",$E399&lt;&gt;""),"Leave Item blank",IF(AND(IFERROR(INDEX(tblMoveTypes[In / Out],MATCH($C399,tblMoveTypes[Movement],0)),"?")="IN",$G399&lt;&gt;""),"Use the In column, not Out",IF(AND(IFERROR(INDEX(tblMoveTypes[In / Out],MATCH($C399,tblMoveTypes[Movement],0)),"?")="OUT",$F399&lt;&gt;""),"Use the Out column, not In",IF(AND(IFERROR(INDEX(tblMoveTypes[Qty?],MATCH($C399,tblMoveTypes[Movement],0)),"?")="Yes",N($F399)+N($G399)&lt;=0),"Qty needed",IF(AND(IFERROR(INDEX(tblMoveTypes[Qty?],MATCH($C399,tblMoveTypes[Movement],0)),"?")="No",N($F399)+N($G399)&gt;0),"Leave In and Out blank",IF(AND(IFERROR(INDEX(tblMoveTypes[Courier?],MATCH($C399,tblMoveTypes[Movement],0)),"?")="Yes",$I399=""),"Courier needed",IF(AND(IFERROR(INDEX(tblMoveTypes[Courier?],MATCH($C399,tblMoveTypes[Movement],0)),"?")="No",$I399&lt;&gt;""),"Leave Courier blank",IF(AND(IFERROR(INDEX(tblMoveTypes[Orders?],MATCH($C399,tblMoveTypes[Movement],0)),"?")="Yes",$H399=""),"Orders needed",IF(AND(IFERROR(INDEX(tblMoveTypes[Orders?],MATCH($C399,tblMoveTypes[Movement],0)),"?")="No",$H399&lt;&gt;""),"Leave Orders blank",IF(AND(IFERROR(INDEX(tblMoveTypes[Reason?],MATCH($C399,tblMoveTypes[Movement],0)),"?")="Yes",$J399=""),"Reason needed",IF($A399&lt;_xlfn.MINIFS(tblShipment[Arrival Date],tblShipment[Shipment No],$B399),"Date before arrival",IF(AND($E399&lt;&gt;"",COUNTIFS(tblShipment[Shipment No],$B399,tblShipment[Item Name],$E399)=0),"Item not in this shipment","OK")))))))))))))))))</f>
        <v>OK</v>
      </c>
    </row>
    <row r="400" customFormat="false" ht="15" hidden="false" customHeight="false" outlineLevel="0" collapsed="false">
      <c r="A400" s="32" t="n">
        <v>46256</v>
      </c>
      <c r="B400" s="31" t="s">
        <v>168</v>
      </c>
      <c r="C400" s="31" t="s">
        <v>115</v>
      </c>
      <c r="D400" s="34" t="str">
        <f aca="false">IF($C400="","",IFERROR(IF(IFERROR(INDEX(tblMoveTypes[In / Out],MATCH($C400,tblMoveTypes[Movement],0)),"?")="IN","IN   ",IF(IFERROR(INDEX(tblMoveTypes[In / Out],MATCH($C400,tblMoveTypes[Movement],0)),"?")="OUT","OUT   ","--   "))&amp;"fill: "&amp;IF(IFERROR(INDEX(tblMoveTypes[Item?],MATCH($C400,tblMoveTypes[Movement],0)),"?")="Yes","Item  ","")&amp;IF(AND(IFERROR(INDEX(tblMoveTypes[Qty?],MATCH($C400,tblMoveTypes[Movement],0)),"?")="Yes",IFERROR(INDEX(tblMoveTypes[In / Out],MATCH($C400,tblMoveTypes[Movement],0)),"?")="IN"),"In  ","")&amp;IF(AND(IFERROR(INDEX(tblMoveTypes[Qty?],MATCH($C400,tblMoveTypes[Movement],0)),"?")="Yes",IFERROR(INDEX(tblMoveTypes[In / Out],MATCH($C400,tblMoveTypes[Movement],0)),"?")="OUT"),"Out  ","")&amp;IF(IFERROR(INDEX(tblMoveTypes[Orders?],MATCH($C400,tblMoveTypes[Movement],0)),"?")="Yes","Orders  ","")&amp;IF(IFERROR(INDEX(tblMoveTypes[Courier?],MATCH($C400,tblMoveTypes[Movement],0)),"?")="Yes","Courier  ","")&amp;IF(IFERROR(INDEX(tblMoveTypes[Reason?],MATCH($C400,tblMoveTypes[Movement],0)),"?")="Yes","Reason",""),"unknown movement"))</f>
        <v>OUT   fill: Out  Orders  Courier  </v>
      </c>
      <c r="E400" s="31"/>
      <c r="F400" s="33"/>
      <c r="G400" s="33" t="n">
        <v>70</v>
      </c>
      <c r="H400" s="33" t="n">
        <v>35</v>
      </c>
      <c r="I400" s="31" t="s">
        <v>76</v>
      </c>
      <c r="J400" s="31"/>
      <c r="K400" s="31"/>
      <c r="L400" s="31"/>
      <c r="M400" s="34" t="str">
        <f aca="false">IF($E400="","",IFERROR(INDEX(tblItems[Item Code],MATCH($E400,tblItems[Item Name],0)),"?"))</f>
        <v/>
      </c>
      <c r="N400" s="34" t="str">
        <f aca="false">IF($B400="","",IFERROR(INDEX(tblShipment[Market],MATCH($B400,tblShipment[Shipment No],0)),"?"))</f>
        <v>Qatar</v>
      </c>
      <c r="O400" s="35" t="n">
        <f aca="false">N($F400)+N($G400)</f>
        <v>70</v>
      </c>
      <c r="P400" s="34" t="str">
        <f aca="false">IF($A400="","",IF($L400="Yes","VOID",IF(COUNTIFS(tblMoveTypes[Movement],$C400)=0,"Unknown movement",IF(COUNTIF(tblShipment[Shipment No],$B400)=0,"Unknown shipment",IF(AND(IFERROR(INDEX(tblMoveTypes[Item?],MATCH($C400,tblMoveTypes[Movement],0)),"?")="Yes",$E400=""),"Item needed",IF(AND(IFERROR(INDEX(tblMoveTypes[Item?],MATCH($C400,tblMoveTypes[Movement],0)),"?")="No",$E400&lt;&gt;""),"Leave Item blank",IF(AND(IFERROR(INDEX(tblMoveTypes[In / Out],MATCH($C400,tblMoveTypes[Movement],0)),"?")="IN",$G400&lt;&gt;""),"Use the In column, not Out",IF(AND(IFERROR(INDEX(tblMoveTypes[In / Out],MATCH($C400,tblMoveTypes[Movement],0)),"?")="OUT",$F400&lt;&gt;""),"Use the Out column, not In",IF(AND(IFERROR(INDEX(tblMoveTypes[Qty?],MATCH($C400,tblMoveTypes[Movement],0)),"?")="Yes",N($F400)+N($G400)&lt;=0),"Qty needed",IF(AND(IFERROR(INDEX(tblMoveTypes[Qty?],MATCH($C400,tblMoveTypes[Movement],0)),"?")="No",N($F400)+N($G400)&gt;0),"Leave In and Out blank",IF(AND(IFERROR(INDEX(tblMoveTypes[Courier?],MATCH($C400,tblMoveTypes[Movement],0)),"?")="Yes",$I400=""),"Courier needed",IF(AND(IFERROR(INDEX(tblMoveTypes[Courier?],MATCH($C400,tblMoveTypes[Movement],0)),"?")="No",$I400&lt;&gt;""),"Leave Courier blank",IF(AND(IFERROR(INDEX(tblMoveTypes[Orders?],MATCH($C400,tblMoveTypes[Movement],0)),"?")="Yes",$H400=""),"Orders needed",IF(AND(IFERROR(INDEX(tblMoveTypes[Orders?],MATCH($C400,tblMoveTypes[Movement],0)),"?")="No",$H400&lt;&gt;""),"Leave Orders blank",IF(AND(IFERROR(INDEX(tblMoveTypes[Reason?],MATCH($C400,tblMoveTypes[Movement],0)),"?")="Yes",$J400=""),"Reason needed",IF($A400&lt;_xlfn.MINIFS(tblShipment[Arrival Date],tblShipment[Shipment No],$B400),"Date before arrival",IF(AND($E400&lt;&gt;"",COUNTIFS(tblShipment[Shipment No],$B400,tblShipment[Item Name],$E400)=0),"Item not in this shipment","OK")))))))))))))))))</f>
        <v>OK</v>
      </c>
    </row>
    <row r="401" customFormat="false" ht="15" hidden="false" customHeight="false" outlineLevel="0" collapsed="false">
      <c r="A401" s="32" t="n">
        <v>46256</v>
      </c>
      <c r="B401" s="31" t="s">
        <v>169</v>
      </c>
      <c r="C401" s="31" t="s">
        <v>79</v>
      </c>
      <c r="D401" s="34" t="str">
        <f aca="false">IF($C401="","",IFERROR(IF(IFERROR(INDEX(tblMoveTypes[In / Out],MATCH($C401,tblMoveTypes[Movement],0)),"?")="IN","IN   ",IF(IFERROR(INDEX(tblMoveTypes[In / Out],MATCH($C401,tblMoveTypes[Movement],0)),"?")="OUT","OUT   ","--   "))&amp;"fill: "&amp;IF(IFERROR(INDEX(tblMoveTypes[Item?],MATCH($C401,tblMoveTypes[Movement],0)),"?")="Yes","Item  ","")&amp;IF(AND(IFERROR(INDEX(tblMoveTypes[Qty?],MATCH($C401,tblMoveTypes[Movement],0)),"?")="Yes",IFERROR(INDEX(tblMoveTypes[In / Out],MATCH($C401,tblMoveTypes[Movement],0)),"?")="IN"),"In  ","")&amp;IF(AND(IFERROR(INDEX(tblMoveTypes[Qty?],MATCH($C401,tblMoveTypes[Movement],0)),"?")="Yes",IFERROR(INDEX(tblMoveTypes[In / Out],MATCH($C401,tblMoveTypes[Movement],0)),"?")="OUT"),"Out  ","")&amp;IF(IFERROR(INDEX(tblMoveTypes[Orders?],MATCH($C401,tblMoveTypes[Movement],0)),"?")="Yes","Orders  ","")&amp;IF(IFERROR(INDEX(tblMoveTypes[Courier?],MATCH($C401,tblMoveTypes[Movement],0)),"?")="Yes","Courier  ","")&amp;IF(IFERROR(INDEX(tblMoveTypes[Reason?],MATCH($C401,tblMoveTypes[Movement],0)),"?")="Yes","Reason",""),"unknown movement"))</f>
        <v>IN   fill: Item  In  </v>
      </c>
      <c r="E401" s="31" t="s">
        <v>91</v>
      </c>
      <c r="F401" s="33" t="n">
        <v>85</v>
      </c>
      <c r="G401" s="33"/>
      <c r="H401" s="33"/>
      <c r="I401" s="31"/>
      <c r="J401" s="31"/>
      <c r="K401" s="31"/>
      <c r="L401" s="31"/>
      <c r="M401" s="34" t="str">
        <f aca="false">IF($E401="","",IFERROR(INDEX(tblItems[Item Code],MATCH($E401,tblItems[Item Name],0)),"?"))</f>
        <v>EG-FG-FIG-01-02-01-01</v>
      </c>
      <c r="N401" s="34" t="str">
        <f aca="false">IF($B401="","",IFERROR(INDEX(tblShipment[Market],MATCH($B401,tblShipment[Shipment No],0)),"?"))</f>
        <v>Qatar</v>
      </c>
      <c r="O401" s="35" t="n">
        <f aca="false">N($F401)+N($G401)</f>
        <v>85</v>
      </c>
      <c r="P401" s="34" t="str">
        <f aca="false">IF($A401="","",IF($L401="Yes","VOID",IF(COUNTIFS(tblMoveTypes[Movement],$C401)=0,"Unknown movement",IF(COUNTIF(tblShipment[Shipment No],$B401)=0,"Unknown shipment",IF(AND(IFERROR(INDEX(tblMoveTypes[Item?],MATCH($C401,tblMoveTypes[Movement],0)),"?")="Yes",$E401=""),"Item needed",IF(AND(IFERROR(INDEX(tblMoveTypes[Item?],MATCH($C401,tblMoveTypes[Movement],0)),"?")="No",$E401&lt;&gt;""),"Leave Item blank",IF(AND(IFERROR(INDEX(tblMoveTypes[In / Out],MATCH($C401,tblMoveTypes[Movement],0)),"?")="IN",$G401&lt;&gt;""),"Use the In column, not Out",IF(AND(IFERROR(INDEX(tblMoveTypes[In / Out],MATCH($C401,tblMoveTypes[Movement],0)),"?")="OUT",$F401&lt;&gt;""),"Use the Out column, not In",IF(AND(IFERROR(INDEX(tblMoveTypes[Qty?],MATCH($C401,tblMoveTypes[Movement],0)),"?")="Yes",N($F401)+N($G401)&lt;=0),"Qty needed",IF(AND(IFERROR(INDEX(tblMoveTypes[Qty?],MATCH($C401,tblMoveTypes[Movement],0)),"?")="No",N($F401)+N($G401)&gt;0),"Leave In and Out blank",IF(AND(IFERROR(INDEX(tblMoveTypes[Courier?],MATCH($C401,tblMoveTypes[Movement],0)),"?")="Yes",$I401=""),"Courier needed",IF(AND(IFERROR(INDEX(tblMoveTypes[Courier?],MATCH($C401,tblMoveTypes[Movement],0)),"?")="No",$I401&lt;&gt;""),"Leave Courier blank",IF(AND(IFERROR(INDEX(tblMoveTypes[Orders?],MATCH($C401,tblMoveTypes[Movement],0)),"?")="Yes",$H401=""),"Orders needed",IF(AND(IFERROR(INDEX(tblMoveTypes[Orders?],MATCH($C401,tblMoveTypes[Movement],0)),"?")="No",$H401&lt;&gt;""),"Leave Orders blank",IF(AND(IFERROR(INDEX(tblMoveTypes[Reason?],MATCH($C401,tblMoveTypes[Movement],0)),"?")="Yes",$J401=""),"Reason needed",IF($A401&lt;_xlfn.MINIFS(tblShipment[Arrival Date],tblShipment[Shipment No],$B401),"Date before arrival",IF(AND($E401&lt;&gt;"",COUNTIFS(tblShipment[Shipment No],$B401,tblShipment[Item Name],$E401)=0),"Item not in this shipment","OK")))))))))))))))))</f>
        <v>OK</v>
      </c>
    </row>
    <row r="402" customFormat="false" ht="15" hidden="false" customHeight="false" outlineLevel="0" collapsed="false">
      <c r="A402" s="32" t="n">
        <v>46256</v>
      </c>
      <c r="B402" s="31" t="s">
        <v>169</v>
      </c>
      <c r="C402" s="31" t="s">
        <v>78</v>
      </c>
      <c r="D402" s="34" t="str">
        <f aca="false">IF($C402="","",IFERROR(IF(IFERROR(INDEX(tblMoveTypes[In / Out],MATCH($C402,tblMoveTypes[Movement],0)),"?")="IN","IN   ",IF(IFERROR(INDEX(tblMoveTypes[In / Out],MATCH($C402,tblMoveTypes[Movement],0)),"?")="OUT","OUT   ","--   "))&amp;"fill: "&amp;IF(IFERROR(INDEX(tblMoveTypes[Item?],MATCH($C402,tblMoveTypes[Movement],0)),"?")="Yes","Item  ","")&amp;IF(AND(IFERROR(INDEX(tblMoveTypes[Qty?],MATCH($C402,tblMoveTypes[Movement],0)),"?")="Yes",IFERROR(INDEX(tblMoveTypes[In / Out],MATCH($C402,tblMoveTypes[Movement],0)),"?")="IN"),"In  ","")&amp;IF(AND(IFERROR(INDEX(tblMoveTypes[Qty?],MATCH($C402,tblMoveTypes[Movement],0)),"?")="Yes",IFERROR(INDEX(tblMoveTypes[In / Out],MATCH($C402,tblMoveTypes[Movement],0)),"?")="OUT"),"Out  ","")&amp;IF(IFERROR(INDEX(tblMoveTypes[Orders?],MATCH($C402,tblMoveTypes[Movement],0)),"?")="Yes","Orders  ","")&amp;IF(IFERROR(INDEX(tblMoveTypes[Courier?],MATCH($C402,tblMoveTypes[Movement],0)),"?")="Yes","Courier  ","")&amp;IF(IFERROR(INDEX(tblMoveTypes[Reason?],MATCH($C402,tblMoveTypes[Movement],0)),"?")="Yes","Reason",""),"unknown movement"))</f>
        <v>OUT   fill: Item  Out  Reason</v>
      </c>
      <c r="E402" s="31" t="s">
        <v>91</v>
      </c>
      <c r="F402" s="33"/>
      <c r="G402" s="33" t="n">
        <v>2</v>
      </c>
      <c r="H402" s="33"/>
      <c r="I402" s="31"/>
      <c r="J402" s="31" t="s">
        <v>77</v>
      </c>
      <c r="K402" s="31"/>
      <c r="L402" s="31"/>
      <c r="M402" s="34" t="str">
        <f aca="false">IF($E402="","",IFERROR(INDEX(tblItems[Item Code],MATCH($E402,tblItems[Item Name],0)),"?"))</f>
        <v>EG-FG-FIG-01-02-01-01</v>
      </c>
      <c r="N402" s="34" t="str">
        <f aca="false">IF($B402="","",IFERROR(INDEX(tblShipment[Market],MATCH($B402,tblShipment[Shipment No],0)),"?"))</f>
        <v>Qatar</v>
      </c>
      <c r="O402" s="35" t="n">
        <f aca="false">N($F402)+N($G402)</f>
        <v>2</v>
      </c>
      <c r="P402" s="34" t="str">
        <f aca="false">IF($A402="","",IF($L402="Yes","VOID",IF(COUNTIFS(tblMoveTypes[Movement],$C402)=0,"Unknown movement",IF(COUNTIF(tblShipment[Shipment No],$B402)=0,"Unknown shipment",IF(AND(IFERROR(INDEX(tblMoveTypes[Item?],MATCH($C402,tblMoveTypes[Movement],0)),"?")="Yes",$E402=""),"Item needed",IF(AND(IFERROR(INDEX(tblMoveTypes[Item?],MATCH($C402,tblMoveTypes[Movement],0)),"?")="No",$E402&lt;&gt;""),"Leave Item blank",IF(AND(IFERROR(INDEX(tblMoveTypes[In / Out],MATCH($C402,tblMoveTypes[Movement],0)),"?")="IN",$G402&lt;&gt;""),"Use the In column, not Out",IF(AND(IFERROR(INDEX(tblMoveTypes[In / Out],MATCH($C402,tblMoveTypes[Movement],0)),"?")="OUT",$F402&lt;&gt;""),"Use the Out column, not In",IF(AND(IFERROR(INDEX(tblMoveTypes[Qty?],MATCH($C402,tblMoveTypes[Movement],0)),"?")="Yes",N($F402)+N($G402)&lt;=0),"Qty needed",IF(AND(IFERROR(INDEX(tblMoveTypes[Qty?],MATCH($C402,tblMoveTypes[Movement],0)),"?")="No",N($F402)+N($G402)&gt;0),"Leave In and Out blank",IF(AND(IFERROR(INDEX(tblMoveTypes[Courier?],MATCH($C402,tblMoveTypes[Movement],0)),"?")="Yes",$I402=""),"Courier needed",IF(AND(IFERROR(INDEX(tblMoveTypes[Courier?],MATCH($C402,tblMoveTypes[Movement],0)),"?")="No",$I402&lt;&gt;""),"Leave Courier blank",IF(AND(IFERROR(INDEX(tblMoveTypes[Orders?],MATCH($C402,tblMoveTypes[Movement],0)),"?")="Yes",$H402=""),"Orders needed",IF(AND(IFERROR(INDEX(tblMoveTypes[Orders?],MATCH($C402,tblMoveTypes[Movement],0)),"?")="No",$H402&lt;&gt;""),"Leave Orders blank",IF(AND(IFERROR(INDEX(tblMoveTypes[Reason?],MATCH($C402,tblMoveTypes[Movement],0)),"?")="Yes",$J402=""),"Reason needed",IF($A402&lt;_xlfn.MINIFS(tblShipment[Arrival Date],tblShipment[Shipment No],$B402),"Date before arrival",IF(AND($E402&lt;&gt;"",COUNTIFS(tblShipment[Shipment No],$B402,tblShipment[Item Name],$E402)=0),"Item not in this shipment","OK")))))))))))))))))</f>
        <v>OK</v>
      </c>
    </row>
    <row r="403" customFormat="false" ht="15" hidden="false" customHeight="false" outlineLevel="0" collapsed="false">
      <c r="A403" s="32" t="n">
        <v>46256</v>
      </c>
      <c r="B403" s="31" t="s">
        <v>169</v>
      </c>
      <c r="C403" s="31" t="s">
        <v>79</v>
      </c>
      <c r="D403" s="34" t="str">
        <f aca="false">IF($C403="","",IFERROR(IF(IFERROR(INDEX(tblMoveTypes[In / Out],MATCH($C403,tblMoveTypes[Movement],0)),"?")="IN","IN   ",IF(IFERROR(INDEX(tblMoveTypes[In / Out],MATCH($C403,tblMoveTypes[Movement],0)),"?")="OUT","OUT   ","--   "))&amp;"fill: "&amp;IF(IFERROR(INDEX(tblMoveTypes[Item?],MATCH($C403,tblMoveTypes[Movement],0)),"?")="Yes","Item  ","")&amp;IF(AND(IFERROR(INDEX(tblMoveTypes[Qty?],MATCH($C403,tblMoveTypes[Movement],0)),"?")="Yes",IFERROR(INDEX(tblMoveTypes[In / Out],MATCH($C403,tblMoveTypes[Movement],0)),"?")="IN"),"In  ","")&amp;IF(AND(IFERROR(INDEX(tblMoveTypes[Qty?],MATCH($C403,tblMoveTypes[Movement],0)),"?")="Yes",IFERROR(INDEX(tblMoveTypes[In / Out],MATCH($C403,tblMoveTypes[Movement],0)),"?")="OUT"),"Out  ","")&amp;IF(IFERROR(INDEX(tblMoveTypes[Orders?],MATCH($C403,tblMoveTypes[Movement],0)),"?")="Yes","Orders  ","")&amp;IF(IFERROR(INDEX(tblMoveTypes[Courier?],MATCH($C403,tblMoveTypes[Movement],0)),"?")="Yes","Courier  ","")&amp;IF(IFERROR(INDEX(tblMoveTypes[Reason?],MATCH($C403,tblMoveTypes[Movement],0)),"?")="Yes","Reason",""),"unknown movement"))</f>
        <v>IN   fill: Item  In  </v>
      </c>
      <c r="E403" s="31" t="s">
        <v>106</v>
      </c>
      <c r="F403" s="33" t="n">
        <v>35</v>
      </c>
      <c r="G403" s="33"/>
      <c r="H403" s="33"/>
      <c r="I403" s="31"/>
      <c r="J403" s="31"/>
      <c r="K403" s="31"/>
      <c r="L403" s="31"/>
      <c r="M403" s="34" t="str">
        <f aca="false">IF($E403="","",IFERROR(INDEX(tblItems[Item Code],MATCH($E403,tblItems[Item Name],0)),"?"))</f>
        <v>EG-FG-DAT-01-02-01-01</v>
      </c>
      <c r="N403" s="34" t="str">
        <f aca="false">IF($B403="","",IFERROR(INDEX(tblShipment[Market],MATCH($B403,tblShipment[Shipment No],0)),"?"))</f>
        <v>Qatar</v>
      </c>
      <c r="O403" s="35" t="n">
        <f aca="false">N($F403)+N($G403)</f>
        <v>35</v>
      </c>
      <c r="P403" s="34" t="str">
        <f aca="false">IF($A403="","",IF($L403="Yes","VOID",IF(COUNTIFS(tblMoveTypes[Movement],$C403)=0,"Unknown movement",IF(COUNTIF(tblShipment[Shipment No],$B403)=0,"Unknown shipment",IF(AND(IFERROR(INDEX(tblMoveTypes[Item?],MATCH($C403,tblMoveTypes[Movement],0)),"?")="Yes",$E403=""),"Item needed",IF(AND(IFERROR(INDEX(tblMoveTypes[Item?],MATCH($C403,tblMoveTypes[Movement],0)),"?")="No",$E403&lt;&gt;""),"Leave Item blank",IF(AND(IFERROR(INDEX(tblMoveTypes[In / Out],MATCH($C403,tblMoveTypes[Movement],0)),"?")="IN",$G403&lt;&gt;""),"Use the In column, not Out",IF(AND(IFERROR(INDEX(tblMoveTypes[In / Out],MATCH($C403,tblMoveTypes[Movement],0)),"?")="OUT",$F403&lt;&gt;""),"Use the Out column, not In",IF(AND(IFERROR(INDEX(tblMoveTypes[Qty?],MATCH($C403,tblMoveTypes[Movement],0)),"?")="Yes",N($F403)+N($G403)&lt;=0),"Qty needed",IF(AND(IFERROR(INDEX(tblMoveTypes[Qty?],MATCH($C403,tblMoveTypes[Movement],0)),"?")="No",N($F403)+N($G403)&gt;0),"Leave In and Out blank",IF(AND(IFERROR(INDEX(tblMoveTypes[Courier?],MATCH($C403,tblMoveTypes[Movement],0)),"?")="Yes",$I403=""),"Courier needed",IF(AND(IFERROR(INDEX(tblMoveTypes[Courier?],MATCH($C403,tblMoveTypes[Movement],0)),"?")="No",$I403&lt;&gt;""),"Leave Courier blank",IF(AND(IFERROR(INDEX(tblMoveTypes[Orders?],MATCH($C403,tblMoveTypes[Movement],0)),"?")="Yes",$H403=""),"Orders needed",IF(AND(IFERROR(INDEX(tblMoveTypes[Orders?],MATCH($C403,tblMoveTypes[Movement],0)),"?")="No",$H403&lt;&gt;""),"Leave Orders blank",IF(AND(IFERROR(INDEX(tblMoveTypes[Reason?],MATCH($C403,tblMoveTypes[Movement],0)),"?")="Yes",$J403=""),"Reason needed",IF($A403&lt;_xlfn.MINIFS(tblShipment[Arrival Date],tblShipment[Shipment No],$B403),"Date before arrival",IF(AND($E403&lt;&gt;"",COUNTIFS(tblShipment[Shipment No],$B403,tblShipment[Item Name],$E403)=0),"Item not in this shipment","OK")))))))))))))))))</f>
        <v>OK</v>
      </c>
    </row>
    <row r="404" customFormat="false" ht="15" hidden="false" customHeight="false" outlineLevel="0" collapsed="false">
      <c r="A404" s="32" t="n">
        <v>46256</v>
      </c>
      <c r="B404" s="31" t="s">
        <v>169</v>
      </c>
      <c r="C404" s="31" t="s">
        <v>78</v>
      </c>
      <c r="D404" s="34" t="str">
        <f aca="false">IF($C404="","",IFERROR(IF(IFERROR(INDEX(tblMoveTypes[In / Out],MATCH($C404,tblMoveTypes[Movement],0)),"?")="IN","IN   ",IF(IFERROR(INDEX(tblMoveTypes[In / Out],MATCH($C404,tblMoveTypes[Movement],0)),"?")="OUT","OUT   ","--   "))&amp;"fill: "&amp;IF(IFERROR(INDEX(tblMoveTypes[Item?],MATCH($C404,tblMoveTypes[Movement],0)),"?")="Yes","Item  ","")&amp;IF(AND(IFERROR(INDEX(tblMoveTypes[Qty?],MATCH($C404,tblMoveTypes[Movement],0)),"?")="Yes",IFERROR(INDEX(tblMoveTypes[In / Out],MATCH($C404,tblMoveTypes[Movement],0)),"?")="IN"),"In  ","")&amp;IF(AND(IFERROR(INDEX(tblMoveTypes[Qty?],MATCH($C404,tblMoveTypes[Movement],0)),"?")="Yes",IFERROR(INDEX(tblMoveTypes[In / Out],MATCH($C404,tblMoveTypes[Movement],0)),"?")="OUT"),"Out  ","")&amp;IF(IFERROR(INDEX(tblMoveTypes[Orders?],MATCH($C404,tblMoveTypes[Movement],0)),"?")="Yes","Orders  ","")&amp;IF(IFERROR(INDEX(tblMoveTypes[Courier?],MATCH($C404,tblMoveTypes[Movement],0)),"?")="Yes","Courier  ","")&amp;IF(IFERROR(INDEX(tblMoveTypes[Reason?],MATCH($C404,tblMoveTypes[Movement],0)),"?")="Yes","Reason",""),"unknown movement"))</f>
        <v>OUT   fill: Item  Out  Reason</v>
      </c>
      <c r="E404" s="31" t="s">
        <v>106</v>
      </c>
      <c r="F404" s="33"/>
      <c r="G404" s="33" t="n">
        <v>1</v>
      </c>
      <c r="H404" s="33"/>
      <c r="I404" s="31"/>
      <c r="J404" s="31" t="s">
        <v>77</v>
      </c>
      <c r="K404" s="31"/>
      <c r="L404" s="31"/>
      <c r="M404" s="34" t="str">
        <f aca="false">IF($E404="","",IFERROR(INDEX(tblItems[Item Code],MATCH($E404,tblItems[Item Name],0)),"?"))</f>
        <v>EG-FG-DAT-01-02-01-01</v>
      </c>
      <c r="N404" s="34" t="str">
        <f aca="false">IF($B404="","",IFERROR(INDEX(tblShipment[Market],MATCH($B404,tblShipment[Shipment No],0)),"?"))</f>
        <v>Qatar</v>
      </c>
      <c r="O404" s="35" t="n">
        <f aca="false">N($F404)+N($G404)</f>
        <v>1</v>
      </c>
      <c r="P404" s="34" t="str">
        <f aca="false">IF($A404="","",IF($L404="Yes","VOID",IF(COUNTIFS(tblMoveTypes[Movement],$C404)=0,"Unknown movement",IF(COUNTIF(tblShipment[Shipment No],$B404)=0,"Unknown shipment",IF(AND(IFERROR(INDEX(tblMoveTypes[Item?],MATCH($C404,tblMoveTypes[Movement],0)),"?")="Yes",$E404=""),"Item needed",IF(AND(IFERROR(INDEX(tblMoveTypes[Item?],MATCH($C404,tblMoveTypes[Movement],0)),"?")="No",$E404&lt;&gt;""),"Leave Item blank",IF(AND(IFERROR(INDEX(tblMoveTypes[In / Out],MATCH($C404,tblMoveTypes[Movement],0)),"?")="IN",$G404&lt;&gt;""),"Use the In column, not Out",IF(AND(IFERROR(INDEX(tblMoveTypes[In / Out],MATCH($C404,tblMoveTypes[Movement],0)),"?")="OUT",$F404&lt;&gt;""),"Use the Out column, not In",IF(AND(IFERROR(INDEX(tblMoveTypes[Qty?],MATCH($C404,tblMoveTypes[Movement],0)),"?")="Yes",N($F404)+N($G404)&lt;=0),"Qty needed",IF(AND(IFERROR(INDEX(tblMoveTypes[Qty?],MATCH($C404,tblMoveTypes[Movement],0)),"?")="No",N($F404)+N($G404)&gt;0),"Leave In and Out blank",IF(AND(IFERROR(INDEX(tblMoveTypes[Courier?],MATCH($C404,tblMoveTypes[Movement],0)),"?")="Yes",$I404=""),"Courier needed",IF(AND(IFERROR(INDEX(tblMoveTypes[Courier?],MATCH($C404,tblMoveTypes[Movement],0)),"?")="No",$I404&lt;&gt;""),"Leave Courier blank",IF(AND(IFERROR(INDEX(tblMoveTypes[Orders?],MATCH($C404,tblMoveTypes[Movement],0)),"?")="Yes",$H404=""),"Orders needed",IF(AND(IFERROR(INDEX(tblMoveTypes[Orders?],MATCH($C404,tblMoveTypes[Movement],0)),"?")="No",$H404&lt;&gt;""),"Leave Orders blank",IF(AND(IFERROR(INDEX(tblMoveTypes[Reason?],MATCH($C404,tblMoveTypes[Movement],0)),"?")="Yes",$J404=""),"Reason needed",IF($A404&lt;_xlfn.MINIFS(tblShipment[Arrival Date],tblShipment[Shipment No],$B404),"Date before arrival",IF(AND($E404&lt;&gt;"",COUNTIFS(tblShipment[Shipment No],$B404,tblShipment[Item Name],$E404)=0),"Item not in this shipment","OK")))))))))))))))))</f>
        <v>OK</v>
      </c>
    </row>
    <row r="405" customFormat="false" ht="15" hidden="false" customHeight="false" outlineLevel="0" collapsed="false">
      <c r="A405" s="32" t="n">
        <v>46256</v>
      </c>
      <c r="B405" s="31" t="s">
        <v>169</v>
      </c>
      <c r="C405" s="31" t="s">
        <v>79</v>
      </c>
      <c r="D405" s="34" t="str">
        <f aca="false">IF($C405="","",IFERROR(IF(IFERROR(INDEX(tblMoveTypes[In / Out],MATCH($C405,tblMoveTypes[Movement],0)),"?")="IN","IN   ",IF(IFERROR(INDEX(tblMoveTypes[In / Out],MATCH($C405,tblMoveTypes[Movement],0)),"?")="OUT","OUT   ","--   "))&amp;"fill: "&amp;IF(IFERROR(INDEX(tblMoveTypes[Item?],MATCH($C405,tblMoveTypes[Movement],0)),"?")="Yes","Item  ","")&amp;IF(AND(IFERROR(INDEX(tblMoveTypes[Qty?],MATCH($C405,tblMoveTypes[Movement],0)),"?")="Yes",IFERROR(INDEX(tblMoveTypes[In / Out],MATCH($C405,tblMoveTypes[Movement],0)),"?")="IN"),"In  ","")&amp;IF(AND(IFERROR(INDEX(tblMoveTypes[Qty?],MATCH($C405,tblMoveTypes[Movement],0)),"?")="Yes",IFERROR(INDEX(tblMoveTypes[In / Out],MATCH($C405,tblMoveTypes[Movement],0)),"?")="OUT"),"Out  ","")&amp;IF(IFERROR(INDEX(tblMoveTypes[Orders?],MATCH($C405,tblMoveTypes[Movement],0)),"?")="Yes","Orders  ","")&amp;IF(IFERROR(INDEX(tblMoveTypes[Courier?],MATCH($C405,tblMoveTypes[Movement],0)),"?")="Yes","Courier  ","")&amp;IF(IFERROR(INDEX(tblMoveTypes[Reason?],MATCH($C405,tblMoveTypes[Movement],0)),"?")="Yes","Reason",""),"unknown movement"))</f>
        <v>IN   fill: Item  In  </v>
      </c>
      <c r="E405" s="31" t="s">
        <v>117</v>
      </c>
      <c r="F405" s="33" t="n">
        <v>25</v>
      </c>
      <c r="G405" s="33"/>
      <c r="H405" s="33"/>
      <c r="I405" s="31"/>
      <c r="J405" s="31"/>
      <c r="K405" s="31"/>
      <c r="L405" s="31"/>
      <c r="M405" s="34" t="str">
        <f aca="false">IF($E405="","",IFERROR(INDEX(tblItems[Item Code],MATCH($E405,tblItems[Item Name],0)),"?"))</f>
        <v>EG-FG-MNG-06-02-01-01</v>
      </c>
      <c r="N405" s="34" t="str">
        <f aca="false">IF($B405="","",IFERROR(INDEX(tblShipment[Market],MATCH($B405,tblShipment[Shipment No],0)),"?"))</f>
        <v>Qatar</v>
      </c>
      <c r="O405" s="35" t="n">
        <f aca="false">N($F405)+N($G405)</f>
        <v>25</v>
      </c>
      <c r="P405" s="34" t="str">
        <f aca="false">IF($A405="","",IF($L405="Yes","VOID",IF(COUNTIFS(tblMoveTypes[Movement],$C405)=0,"Unknown movement",IF(COUNTIF(tblShipment[Shipment No],$B405)=0,"Unknown shipment",IF(AND(IFERROR(INDEX(tblMoveTypes[Item?],MATCH($C405,tblMoveTypes[Movement],0)),"?")="Yes",$E405=""),"Item needed",IF(AND(IFERROR(INDEX(tblMoveTypes[Item?],MATCH($C405,tblMoveTypes[Movement],0)),"?")="No",$E405&lt;&gt;""),"Leave Item blank",IF(AND(IFERROR(INDEX(tblMoveTypes[In / Out],MATCH($C405,tblMoveTypes[Movement],0)),"?")="IN",$G405&lt;&gt;""),"Use the In column, not Out",IF(AND(IFERROR(INDEX(tblMoveTypes[In / Out],MATCH($C405,tblMoveTypes[Movement],0)),"?")="OUT",$F405&lt;&gt;""),"Use the Out column, not In",IF(AND(IFERROR(INDEX(tblMoveTypes[Qty?],MATCH($C405,tblMoveTypes[Movement],0)),"?")="Yes",N($F405)+N($G405)&lt;=0),"Qty needed",IF(AND(IFERROR(INDEX(tblMoveTypes[Qty?],MATCH($C405,tblMoveTypes[Movement],0)),"?")="No",N($F405)+N($G405)&gt;0),"Leave In and Out blank",IF(AND(IFERROR(INDEX(tblMoveTypes[Courier?],MATCH($C405,tblMoveTypes[Movement],0)),"?")="Yes",$I405=""),"Courier needed",IF(AND(IFERROR(INDEX(tblMoveTypes[Courier?],MATCH($C405,tblMoveTypes[Movement],0)),"?")="No",$I405&lt;&gt;""),"Leave Courier blank",IF(AND(IFERROR(INDEX(tblMoveTypes[Orders?],MATCH($C405,tblMoveTypes[Movement],0)),"?")="Yes",$H405=""),"Orders needed",IF(AND(IFERROR(INDEX(tblMoveTypes[Orders?],MATCH($C405,tblMoveTypes[Movement],0)),"?")="No",$H405&lt;&gt;""),"Leave Orders blank",IF(AND(IFERROR(INDEX(tblMoveTypes[Reason?],MATCH($C405,tblMoveTypes[Movement],0)),"?")="Yes",$J405=""),"Reason needed",IF($A405&lt;_xlfn.MINIFS(tblShipment[Arrival Date],tblShipment[Shipment No],$B405),"Date before arrival",IF(AND($E405&lt;&gt;"",COUNTIFS(tblShipment[Shipment No],$B405,tblShipment[Item Name],$E405)=0),"Item not in this shipment","OK")))))))))))))))))</f>
        <v>OK</v>
      </c>
    </row>
    <row r="406" customFormat="false" ht="15" hidden="false" customHeight="false" outlineLevel="0" collapsed="false">
      <c r="A406" s="32" t="n">
        <v>46256</v>
      </c>
      <c r="B406" s="31" t="s">
        <v>169</v>
      </c>
      <c r="C406" s="31" t="s">
        <v>78</v>
      </c>
      <c r="D406" s="34" t="str">
        <f aca="false">IF($C406="","",IFERROR(IF(IFERROR(INDEX(tblMoveTypes[In / Out],MATCH($C406,tblMoveTypes[Movement],0)),"?")="IN","IN   ",IF(IFERROR(INDEX(tblMoveTypes[In / Out],MATCH($C406,tblMoveTypes[Movement],0)),"?")="OUT","OUT   ","--   "))&amp;"fill: "&amp;IF(IFERROR(INDEX(tblMoveTypes[Item?],MATCH($C406,tblMoveTypes[Movement],0)),"?")="Yes","Item  ","")&amp;IF(AND(IFERROR(INDEX(tblMoveTypes[Qty?],MATCH($C406,tblMoveTypes[Movement],0)),"?")="Yes",IFERROR(INDEX(tblMoveTypes[In / Out],MATCH($C406,tblMoveTypes[Movement],0)),"?")="IN"),"In  ","")&amp;IF(AND(IFERROR(INDEX(tblMoveTypes[Qty?],MATCH($C406,tblMoveTypes[Movement],0)),"?")="Yes",IFERROR(INDEX(tblMoveTypes[In / Out],MATCH($C406,tblMoveTypes[Movement],0)),"?")="OUT"),"Out  ","")&amp;IF(IFERROR(INDEX(tblMoveTypes[Orders?],MATCH($C406,tblMoveTypes[Movement],0)),"?")="Yes","Orders  ","")&amp;IF(IFERROR(INDEX(tblMoveTypes[Courier?],MATCH($C406,tblMoveTypes[Movement],0)),"?")="Yes","Courier  ","")&amp;IF(IFERROR(INDEX(tblMoveTypes[Reason?],MATCH($C406,tblMoveTypes[Movement],0)),"?")="Yes","Reason",""),"unknown movement"))</f>
        <v>OUT   fill: Item  Out  Reason</v>
      </c>
      <c r="E406" s="31" t="s">
        <v>117</v>
      </c>
      <c r="F406" s="33"/>
      <c r="G406" s="33" t="n">
        <v>1</v>
      </c>
      <c r="H406" s="33"/>
      <c r="I406" s="31"/>
      <c r="J406" s="31" t="s">
        <v>77</v>
      </c>
      <c r="K406" s="31"/>
      <c r="L406" s="31"/>
      <c r="M406" s="34" t="str">
        <f aca="false">IF($E406="","",IFERROR(INDEX(tblItems[Item Code],MATCH($E406,tblItems[Item Name],0)),"?"))</f>
        <v>EG-FG-MNG-06-02-01-01</v>
      </c>
      <c r="N406" s="34" t="str">
        <f aca="false">IF($B406="","",IFERROR(INDEX(tblShipment[Market],MATCH($B406,tblShipment[Shipment No],0)),"?"))</f>
        <v>Qatar</v>
      </c>
      <c r="O406" s="35" t="n">
        <f aca="false">N($F406)+N($G406)</f>
        <v>1</v>
      </c>
      <c r="P406" s="34" t="str">
        <f aca="false">IF($A406="","",IF($L406="Yes","VOID",IF(COUNTIFS(tblMoveTypes[Movement],$C406)=0,"Unknown movement",IF(COUNTIF(tblShipment[Shipment No],$B406)=0,"Unknown shipment",IF(AND(IFERROR(INDEX(tblMoveTypes[Item?],MATCH($C406,tblMoveTypes[Movement],0)),"?")="Yes",$E406=""),"Item needed",IF(AND(IFERROR(INDEX(tblMoveTypes[Item?],MATCH($C406,tblMoveTypes[Movement],0)),"?")="No",$E406&lt;&gt;""),"Leave Item blank",IF(AND(IFERROR(INDEX(tblMoveTypes[In / Out],MATCH($C406,tblMoveTypes[Movement],0)),"?")="IN",$G406&lt;&gt;""),"Use the In column, not Out",IF(AND(IFERROR(INDEX(tblMoveTypes[In / Out],MATCH($C406,tblMoveTypes[Movement],0)),"?")="OUT",$F406&lt;&gt;""),"Use the Out column, not In",IF(AND(IFERROR(INDEX(tblMoveTypes[Qty?],MATCH($C406,tblMoveTypes[Movement],0)),"?")="Yes",N($F406)+N($G406)&lt;=0),"Qty needed",IF(AND(IFERROR(INDEX(tblMoveTypes[Qty?],MATCH($C406,tblMoveTypes[Movement],0)),"?")="No",N($F406)+N($G406)&gt;0),"Leave In and Out blank",IF(AND(IFERROR(INDEX(tblMoveTypes[Courier?],MATCH($C406,tblMoveTypes[Movement],0)),"?")="Yes",$I406=""),"Courier needed",IF(AND(IFERROR(INDEX(tblMoveTypes[Courier?],MATCH($C406,tblMoveTypes[Movement],0)),"?")="No",$I406&lt;&gt;""),"Leave Courier blank",IF(AND(IFERROR(INDEX(tblMoveTypes[Orders?],MATCH($C406,tblMoveTypes[Movement],0)),"?")="Yes",$H406=""),"Orders needed",IF(AND(IFERROR(INDEX(tblMoveTypes[Orders?],MATCH($C406,tblMoveTypes[Movement],0)),"?")="No",$H406&lt;&gt;""),"Leave Orders blank",IF(AND(IFERROR(INDEX(tblMoveTypes[Reason?],MATCH($C406,tblMoveTypes[Movement],0)),"?")="Yes",$J406=""),"Reason needed",IF($A406&lt;_xlfn.MINIFS(tblShipment[Arrival Date],tblShipment[Shipment No],$B406),"Date before arrival",IF(AND($E406&lt;&gt;"",COUNTIFS(tblShipment[Shipment No],$B406,tblShipment[Item Name],$E406)=0),"Item not in this shipment","OK")))))))))))))))))</f>
        <v>OK</v>
      </c>
    </row>
    <row r="407" customFormat="false" ht="15" hidden="false" customHeight="false" outlineLevel="0" collapsed="false">
      <c r="A407" s="32" t="n">
        <v>46256</v>
      </c>
      <c r="B407" s="31" t="s">
        <v>169</v>
      </c>
      <c r="C407" s="31" t="s">
        <v>79</v>
      </c>
      <c r="D407" s="34" t="str">
        <f aca="false">IF($C407="","",IFERROR(IF(IFERROR(INDEX(tblMoveTypes[In / Out],MATCH($C407,tblMoveTypes[Movement],0)),"?")="IN","IN   ",IF(IFERROR(INDEX(tblMoveTypes[In / Out],MATCH($C407,tblMoveTypes[Movement],0)),"?")="OUT","OUT   ","--   "))&amp;"fill: "&amp;IF(IFERROR(INDEX(tblMoveTypes[Item?],MATCH($C407,tblMoveTypes[Movement],0)),"?")="Yes","Item  ","")&amp;IF(AND(IFERROR(INDEX(tblMoveTypes[Qty?],MATCH($C407,tblMoveTypes[Movement],0)),"?")="Yes",IFERROR(INDEX(tblMoveTypes[In / Out],MATCH($C407,tblMoveTypes[Movement],0)),"?")="IN"),"In  ","")&amp;IF(AND(IFERROR(INDEX(tblMoveTypes[Qty?],MATCH($C407,tblMoveTypes[Movement],0)),"?")="Yes",IFERROR(INDEX(tblMoveTypes[In / Out],MATCH($C407,tblMoveTypes[Movement],0)),"?")="OUT"),"Out  ","")&amp;IF(IFERROR(INDEX(tblMoveTypes[Orders?],MATCH($C407,tblMoveTypes[Movement],0)),"?")="Yes","Orders  ","")&amp;IF(IFERROR(INDEX(tblMoveTypes[Courier?],MATCH($C407,tblMoveTypes[Movement],0)),"?")="Yes","Courier  ","")&amp;IF(IFERROR(INDEX(tblMoveTypes[Reason?],MATCH($C407,tblMoveTypes[Movement],0)),"?")="Yes","Reason",""),"unknown movement"))</f>
        <v>IN   fill: Item  In  </v>
      </c>
      <c r="E407" s="31" t="s">
        <v>72</v>
      </c>
      <c r="F407" s="33" t="n">
        <v>95</v>
      </c>
      <c r="G407" s="33"/>
      <c r="H407" s="33"/>
      <c r="I407" s="31"/>
      <c r="J407" s="31"/>
      <c r="K407" s="31"/>
      <c r="L407" s="31"/>
      <c r="M407" s="34" t="str">
        <f aca="false">IF($E407="","",IFERROR(INDEX(tblItems[Item Code],MATCH($E407,tblItems[Item Name],0)),"?"))</f>
        <v>EG-FG-MNG-05-02-01-01</v>
      </c>
      <c r="N407" s="34" t="str">
        <f aca="false">IF($B407="","",IFERROR(INDEX(tblShipment[Market],MATCH($B407,tblShipment[Shipment No],0)),"?"))</f>
        <v>Qatar</v>
      </c>
      <c r="O407" s="35" t="n">
        <f aca="false">N($F407)+N($G407)</f>
        <v>95</v>
      </c>
      <c r="P407" s="34" t="str">
        <f aca="false">IF($A407="","",IF($L407="Yes","VOID",IF(COUNTIFS(tblMoveTypes[Movement],$C407)=0,"Unknown movement",IF(COUNTIF(tblShipment[Shipment No],$B407)=0,"Unknown shipment",IF(AND(IFERROR(INDEX(tblMoveTypes[Item?],MATCH($C407,tblMoveTypes[Movement],0)),"?")="Yes",$E407=""),"Item needed",IF(AND(IFERROR(INDEX(tblMoveTypes[Item?],MATCH($C407,tblMoveTypes[Movement],0)),"?")="No",$E407&lt;&gt;""),"Leave Item blank",IF(AND(IFERROR(INDEX(tblMoveTypes[In / Out],MATCH($C407,tblMoveTypes[Movement],0)),"?")="IN",$G407&lt;&gt;""),"Use the In column, not Out",IF(AND(IFERROR(INDEX(tblMoveTypes[In / Out],MATCH($C407,tblMoveTypes[Movement],0)),"?")="OUT",$F407&lt;&gt;""),"Use the Out column, not In",IF(AND(IFERROR(INDEX(tblMoveTypes[Qty?],MATCH($C407,tblMoveTypes[Movement],0)),"?")="Yes",N($F407)+N($G407)&lt;=0),"Qty needed",IF(AND(IFERROR(INDEX(tblMoveTypes[Qty?],MATCH($C407,tblMoveTypes[Movement],0)),"?")="No",N($F407)+N($G407)&gt;0),"Leave In and Out blank",IF(AND(IFERROR(INDEX(tblMoveTypes[Courier?],MATCH($C407,tblMoveTypes[Movement],0)),"?")="Yes",$I407=""),"Courier needed",IF(AND(IFERROR(INDEX(tblMoveTypes[Courier?],MATCH($C407,tblMoveTypes[Movement],0)),"?")="No",$I407&lt;&gt;""),"Leave Courier blank",IF(AND(IFERROR(INDEX(tblMoveTypes[Orders?],MATCH($C407,tblMoveTypes[Movement],0)),"?")="Yes",$H407=""),"Orders needed",IF(AND(IFERROR(INDEX(tblMoveTypes[Orders?],MATCH($C407,tblMoveTypes[Movement],0)),"?")="No",$H407&lt;&gt;""),"Leave Orders blank",IF(AND(IFERROR(INDEX(tblMoveTypes[Reason?],MATCH($C407,tblMoveTypes[Movement],0)),"?")="Yes",$J407=""),"Reason needed",IF($A407&lt;_xlfn.MINIFS(tblShipment[Arrival Date],tblShipment[Shipment No],$B407),"Date before arrival",IF(AND($E407&lt;&gt;"",COUNTIFS(tblShipment[Shipment No],$B407,tblShipment[Item Name],$E407)=0),"Item not in this shipment","OK")))))))))))))))))</f>
        <v>OK</v>
      </c>
    </row>
    <row r="408" customFormat="false" ht="15" hidden="false" customHeight="false" outlineLevel="0" collapsed="false">
      <c r="A408" s="32" t="n">
        <v>46256</v>
      </c>
      <c r="B408" s="31" t="s">
        <v>169</v>
      </c>
      <c r="C408" s="31" t="s">
        <v>78</v>
      </c>
      <c r="D408" s="34" t="str">
        <f aca="false">IF($C408="","",IFERROR(IF(IFERROR(INDEX(tblMoveTypes[In / Out],MATCH($C408,tblMoveTypes[Movement],0)),"?")="IN","IN   ",IF(IFERROR(INDEX(tblMoveTypes[In / Out],MATCH($C408,tblMoveTypes[Movement],0)),"?")="OUT","OUT   ","--   "))&amp;"fill: "&amp;IF(IFERROR(INDEX(tblMoveTypes[Item?],MATCH($C408,tblMoveTypes[Movement],0)),"?")="Yes","Item  ","")&amp;IF(AND(IFERROR(INDEX(tblMoveTypes[Qty?],MATCH($C408,tblMoveTypes[Movement],0)),"?")="Yes",IFERROR(INDEX(tblMoveTypes[In / Out],MATCH($C408,tblMoveTypes[Movement],0)),"?")="IN"),"In  ","")&amp;IF(AND(IFERROR(INDEX(tblMoveTypes[Qty?],MATCH($C408,tblMoveTypes[Movement],0)),"?")="Yes",IFERROR(INDEX(tblMoveTypes[In / Out],MATCH($C408,tblMoveTypes[Movement],0)),"?")="OUT"),"Out  ","")&amp;IF(IFERROR(INDEX(tblMoveTypes[Orders?],MATCH($C408,tblMoveTypes[Movement],0)),"?")="Yes","Orders  ","")&amp;IF(IFERROR(INDEX(tblMoveTypes[Courier?],MATCH($C408,tblMoveTypes[Movement],0)),"?")="Yes","Courier  ","")&amp;IF(IFERROR(INDEX(tblMoveTypes[Reason?],MATCH($C408,tblMoveTypes[Movement],0)),"?")="Yes","Reason",""),"unknown movement"))</f>
        <v>OUT   fill: Item  Out  Reason</v>
      </c>
      <c r="E408" s="31" t="s">
        <v>72</v>
      </c>
      <c r="F408" s="33"/>
      <c r="G408" s="33" t="n">
        <v>1</v>
      </c>
      <c r="H408" s="33"/>
      <c r="I408" s="31"/>
      <c r="J408" s="31" t="s">
        <v>86</v>
      </c>
      <c r="K408" s="31"/>
      <c r="L408" s="31"/>
      <c r="M408" s="34" t="str">
        <f aca="false">IF($E408="","",IFERROR(INDEX(tblItems[Item Code],MATCH($E408,tblItems[Item Name],0)),"?"))</f>
        <v>EG-FG-MNG-05-02-01-01</v>
      </c>
      <c r="N408" s="34" t="str">
        <f aca="false">IF($B408="","",IFERROR(INDEX(tblShipment[Market],MATCH($B408,tblShipment[Shipment No],0)),"?"))</f>
        <v>Qatar</v>
      </c>
      <c r="O408" s="35" t="n">
        <f aca="false">N($F408)+N($G408)</f>
        <v>1</v>
      </c>
      <c r="P408" s="34" t="str">
        <f aca="false">IF($A408="","",IF($L408="Yes","VOID",IF(COUNTIFS(tblMoveTypes[Movement],$C408)=0,"Unknown movement",IF(COUNTIF(tblShipment[Shipment No],$B408)=0,"Unknown shipment",IF(AND(IFERROR(INDEX(tblMoveTypes[Item?],MATCH($C408,tblMoveTypes[Movement],0)),"?")="Yes",$E408=""),"Item needed",IF(AND(IFERROR(INDEX(tblMoveTypes[Item?],MATCH($C408,tblMoveTypes[Movement],0)),"?")="No",$E408&lt;&gt;""),"Leave Item blank",IF(AND(IFERROR(INDEX(tblMoveTypes[In / Out],MATCH($C408,tblMoveTypes[Movement],0)),"?")="IN",$G408&lt;&gt;""),"Use the In column, not Out",IF(AND(IFERROR(INDEX(tblMoveTypes[In / Out],MATCH($C408,tblMoveTypes[Movement],0)),"?")="OUT",$F408&lt;&gt;""),"Use the Out column, not In",IF(AND(IFERROR(INDEX(tblMoveTypes[Qty?],MATCH($C408,tblMoveTypes[Movement],0)),"?")="Yes",N($F408)+N($G408)&lt;=0),"Qty needed",IF(AND(IFERROR(INDEX(tblMoveTypes[Qty?],MATCH($C408,tblMoveTypes[Movement],0)),"?")="No",N($F408)+N($G408)&gt;0),"Leave In and Out blank",IF(AND(IFERROR(INDEX(tblMoveTypes[Courier?],MATCH($C408,tblMoveTypes[Movement],0)),"?")="Yes",$I408=""),"Courier needed",IF(AND(IFERROR(INDEX(tblMoveTypes[Courier?],MATCH($C408,tblMoveTypes[Movement],0)),"?")="No",$I408&lt;&gt;""),"Leave Courier blank",IF(AND(IFERROR(INDEX(tblMoveTypes[Orders?],MATCH($C408,tblMoveTypes[Movement],0)),"?")="Yes",$H408=""),"Orders needed",IF(AND(IFERROR(INDEX(tblMoveTypes[Orders?],MATCH($C408,tblMoveTypes[Movement],0)),"?")="No",$H408&lt;&gt;""),"Leave Orders blank",IF(AND(IFERROR(INDEX(tblMoveTypes[Reason?],MATCH($C408,tblMoveTypes[Movement],0)),"?")="Yes",$J408=""),"Reason needed",IF($A408&lt;_xlfn.MINIFS(tblShipment[Arrival Date],tblShipment[Shipment No],$B408),"Date before arrival",IF(AND($E408&lt;&gt;"",COUNTIFS(tblShipment[Shipment No],$B408,tblShipment[Item Name],$E408)=0),"Item not in this shipment","OK")))))))))))))))))</f>
        <v>OK</v>
      </c>
    </row>
    <row r="409" customFormat="false" ht="15" hidden="false" customHeight="false" outlineLevel="0" collapsed="false">
      <c r="A409" s="32" t="n">
        <v>46256</v>
      </c>
      <c r="B409" s="31" t="s">
        <v>169</v>
      </c>
      <c r="C409" s="31" t="s">
        <v>79</v>
      </c>
      <c r="D409" s="34" t="str">
        <f aca="false">IF($C409="","",IFERROR(IF(IFERROR(INDEX(tblMoveTypes[In / Out],MATCH($C409,tblMoveTypes[Movement],0)),"?")="IN","IN   ",IF(IFERROR(INDEX(tblMoveTypes[In / Out],MATCH($C409,tblMoveTypes[Movement],0)),"?")="OUT","OUT   ","--   "))&amp;"fill: "&amp;IF(IFERROR(INDEX(tblMoveTypes[Item?],MATCH($C409,tblMoveTypes[Movement],0)),"?")="Yes","Item  ","")&amp;IF(AND(IFERROR(INDEX(tblMoveTypes[Qty?],MATCH($C409,tblMoveTypes[Movement],0)),"?")="Yes",IFERROR(INDEX(tblMoveTypes[In / Out],MATCH($C409,tblMoveTypes[Movement],0)),"?")="IN"),"In  ","")&amp;IF(AND(IFERROR(INDEX(tblMoveTypes[Qty?],MATCH($C409,tblMoveTypes[Movement],0)),"?")="Yes",IFERROR(INDEX(tblMoveTypes[In / Out],MATCH($C409,tblMoveTypes[Movement],0)),"?")="OUT"),"Out  ","")&amp;IF(IFERROR(INDEX(tblMoveTypes[Orders?],MATCH($C409,tblMoveTypes[Movement],0)),"?")="Yes","Orders  ","")&amp;IF(IFERROR(INDEX(tblMoveTypes[Courier?],MATCH($C409,tblMoveTypes[Movement],0)),"?")="Yes","Courier  ","")&amp;IF(IFERROR(INDEX(tblMoveTypes[Reason?],MATCH($C409,tblMoveTypes[Movement],0)),"?")="Yes","Reason",""),"unknown movement"))</f>
        <v>IN   fill: Item  In  </v>
      </c>
      <c r="E409" s="31" t="s">
        <v>100</v>
      </c>
      <c r="F409" s="33" t="n">
        <v>30</v>
      </c>
      <c r="G409" s="33"/>
      <c r="H409" s="33"/>
      <c r="I409" s="31"/>
      <c r="J409" s="31"/>
      <c r="K409" s="31"/>
      <c r="L409" s="31"/>
      <c r="M409" s="34" t="str">
        <f aca="false">IF($E409="","",IFERROR(INDEX(tblItems[Item Code],MATCH($E409,tblItems[Item Name],0)),"?"))</f>
        <v>EG-FG-MNG-18-02-01-01</v>
      </c>
      <c r="N409" s="34" t="str">
        <f aca="false">IF($B409="","",IFERROR(INDEX(tblShipment[Market],MATCH($B409,tblShipment[Shipment No],0)),"?"))</f>
        <v>Qatar</v>
      </c>
      <c r="O409" s="35" t="n">
        <f aca="false">N($F409)+N($G409)</f>
        <v>30</v>
      </c>
      <c r="P409" s="34" t="str">
        <f aca="false">IF($A409="","",IF($L409="Yes","VOID",IF(COUNTIFS(tblMoveTypes[Movement],$C409)=0,"Unknown movement",IF(COUNTIF(tblShipment[Shipment No],$B409)=0,"Unknown shipment",IF(AND(IFERROR(INDEX(tblMoveTypes[Item?],MATCH($C409,tblMoveTypes[Movement],0)),"?")="Yes",$E409=""),"Item needed",IF(AND(IFERROR(INDEX(tblMoveTypes[Item?],MATCH($C409,tblMoveTypes[Movement],0)),"?")="No",$E409&lt;&gt;""),"Leave Item blank",IF(AND(IFERROR(INDEX(tblMoveTypes[In / Out],MATCH($C409,tblMoveTypes[Movement],0)),"?")="IN",$G409&lt;&gt;""),"Use the In column, not Out",IF(AND(IFERROR(INDEX(tblMoveTypes[In / Out],MATCH($C409,tblMoveTypes[Movement],0)),"?")="OUT",$F409&lt;&gt;""),"Use the Out column, not In",IF(AND(IFERROR(INDEX(tblMoveTypes[Qty?],MATCH($C409,tblMoveTypes[Movement],0)),"?")="Yes",N($F409)+N($G409)&lt;=0),"Qty needed",IF(AND(IFERROR(INDEX(tblMoveTypes[Qty?],MATCH($C409,tblMoveTypes[Movement],0)),"?")="No",N($F409)+N($G409)&gt;0),"Leave In and Out blank",IF(AND(IFERROR(INDEX(tblMoveTypes[Courier?],MATCH($C409,tblMoveTypes[Movement],0)),"?")="Yes",$I409=""),"Courier needed",IF(AND(IFERROR(INDEX(tblMoveTypes[Courier?],MATCH($C409,tblMoveTypes[Movement],0)),"?")="No",$I409&lt;&gt;""),"Leave Courier blank",IF(AND(IFERROR(INDEX(tblMoveTypes[Orders?],MATCH($C409,tblMoveTypes[Movement],0)),"?")="Yes",$H409=""),"Orders needed",IF(AND(IFERROR(INDEX(tblMoveTypes[Orders?],MATCH($C409,tblMoveTypes[Movement],0)),"?")="No",$H409&lt;&gt;""),"Leave Orders blank",IF(AND(IFERROR(INDEX(tblMoveTypes[Reason?],MATCH($C409,tblMoveTypes[Movement],0)),"?")="Yes",$J409=""),"Reason needed",IF($A409&lt;_xlfn.MINIFS(tblShipment[Arrival Date],tblShipment[Shipment No],$B409),"Date before arrival",IF(AND($E409&lt;&gt;"",COUNTIFS(tblShipment[Shipment No],$B409,tblShipment[Item Name],$E409)=0),"Item not in this shipment","OK")))))))))))))))))</f>
        <v>OK</v>
      </c>
    </row>
    <row r="410" customFormat="false" ht="15" hidden="false" customHeight="false" outlineLevel="0" collapsed="false">
      <c r="A410" s="32" t="n">
        <v>46256</v>
      </c>
      <c r="B410" s="31" t="s">
        <v>169</v>
      </c>
      <c r="C410" s="31" t="s">
        <v>78</v>
      </c>
      <c r="D410" s="34" t="str">
        <f aca="false">IF($C410="","",IFERROR(IF(IFERROR(INDEX(tblMoveTypes[In / Out],MATCH($C410,tblMoveTypes[Movement],0)),"?")="IN","IN   ",IF(IFERROR(INDEX(tblMoveTypes[In / Out],MATCH($C410,tblMoveTypes[Movement],0)),"?")="OUT","OUT   ","--   "))&amp;"fill: "&amp;IF(IFERROR(INDEX(tblMoveTypes[Item?],MATCH($C410,tblMoveTypes[Movement],0)),"?")="Yes","Item  ","")&amp;IF(AND(IFERROR(INDEX(tblMoveTypes[Qty?],MATCH($C410,tblMoveTypes[Movement],0)),"?")="Yes",IFERROR(INDEX(tblMoveTypes[In / Out],MATCH($C410,tblMoveTypes[Movement],0)),"?")="IN"),"In  ","")&amp;IF(AND(IFERROR(INDEX(tblMoveTypes[Qty?],MATCH($C410,tblMoveTypes[Movement],0)),"?")="Yes",IFERROR(INDEX(tblMoveTypes[In / Out],MATCH($C410,tblMoveTypes[Movement],0)),"?")="OUT"),"Out  ","")&amp;IF(IFERROR(INDEX(tblMoveTypes[Orders?],MATCH($C410,tblMoveTypes[Movement],0)),"?")="Yes","Orders  ","")&amp;IF(IFERROR(INDEX(tblMoveTypes[Courier?],MATCH($C410,tblMoveTypes[Movement],0)),"?")="Yes","Courier  ","")&amp;IF(IFERROR(INDEX(tblMoveTypes[Reason?],MATCH($C410,tblMoveTypes[Movement],0)),"?")="Yes","Reason",""),"unknown movement"))</f>
        <v>OUT   fill: Item  Out  Reason</v>
      </c>
      <c r="E410" s="31" t="s">
        <v>100</v>
      </c>
      <c r="F410" s="33"/>
      <c r="G410" s="33" t="n">
        <v>1</v>
      </c>
      <c r="H410" s="33"/>
      <c r="I410" s="31"/>
      <c r="J410" s="31" t="s">
        <v>86</v>
      </c>
      <c r="K410" s="31"/>
      <c r="L410" s="31"/>
      <c r="M410" s="34" t="str">
        <f aca="false">IF($E410="","",IFERROR(INDEX(tblItems[Item Code],MATCH($E410,tblItems[Item Name],0)),"?"))</f>
        <v>EG-FG-MNG-18-02-01-01</v>
      </c>
      <c r="N410" s="34" t="str">
        <f aca="false">IF($B410="","",IFERROR(INDEX(tblShipment[Market],MATCH($B410,tblShipment[Shipment No],0)),"?"))</f>
        <v>Qatar</v>
      </c>
      <c r="O410" s="35" t="n">
        <f aca="false">N($F410)+N($G410)</f>
        <v>1</v>
      </c>
      <c r="P410" s="34" t="str">
        <f aca="false">IF($A410="","",IF($L410="Yes","VOID",IF(COUNTIFS(tblMoveTypes[Movement],$C410)=0,"Unknown movement",IF(COUNTIF(tblShipment[Shipment No],$B410)=0,"Unknown shipment",IF(AND(IFERROR(INDEX(tblMoveTypes[Item?],MATCH($C410,tblMoveTypes[Movement],0)),"?")="Yes",$E410=""),"Item needed",IF(AND(IFERROR(INDEX(tblMoveTypes[Item?],MATCH($C410,tblMoveTypes[Movement],0)),"?")="No",$E410&lt;&gt;""),"Leave Item blank",IF(AND(IFERROR(INDEX(tblMoveTypes[In / Out],MATCH($C410,tblMoveTypes[Movement],0)),"?")="IN",$G410&lt;&gt;""),"Use the In column, not Out",IF(AND(IFERROR(INDEX(tblMoveTypes[In / Out],MATCH($C410,tblMoveTypes[Movement],0)),"?")="OUT",$F410&lt;&gt;""),"Use the Out column, not In",IF(AND(IFERROR(INDEX(tblMoveTypes[Qty?],MATCH($C410,tblMoveTypes[Movement],0)),"?")="Yes",N($F410)+N($G410)&lt;=0),"Qty needed",IF(AND(IFERROR(INDEX(tblMoveTypes[Qty?],MATCH($C410,tblMoveTypes[Movement],0)),"?")="No",N($F410)+N($G410)&gt;0),"Leave In and Out blank",IF(AND(IFERROR(INDEX(tblMoveTypes[Courier?],MATCH($C410,tblMoveTypes[Movement],0)),"?")="Yes",$I410=""),"Courier needed",IF(AND(IFERROR(INDEX(tblMoveTypes[Courier?],MATCH($C410,tblMoveTypes[Movement],0)),"?")="No",$I410&lt;&gt;""),"Leave Courier blank",IF(AND(IFERROR(INDEX(tblMoveTypes[Orders?],MATCH($C410,tblMoveTypes[Movement],0)),"?")="Yes",$H410=""),"Orders needed",IF(AND(IFERROR(INDEX(tblMoveTypes[Orders?],MATCH($C410,tblMoveTypes[Movement],0)),"?")="No",$H410&lt;&gt;""),"Leave Orders blank",IF(AND(IFERROR(INDEX(tblMoveTypes[Reason?],MATCH($C410,tblMoveTypes[Movement],0)),"?")="Yes",$J410=""),"Reason needed",IF($A410&lt;_xlfn.MINIFS(tblShipment[Arrival Date],tblShipment[Shipment No],$B410),"Date before arrival",IF(AND($E410&lt;&gt;"",COUNTIFS(tblShipment[Shipment No],$B410,tblShipment[Item Name],$E410)=0),"Item not in this shipment","OK")))))))))))))))))</f>
        <v>OK</v>
      </c>
    </row>
    <row r="411" customFormat="false" ht="15" hidden="false" customHeight="false" outlineLevel="0" collapsed="false">
      <c r="A411" s="32" t="n">
        <v>46256</v>
      </c>
      <c r="B411" s="31" t="s">
        <v>169</v>
      </c>
      <c r="C411" s="31" t="s">
        <v>79</v>
      </c>
      <c r="D411" s="34" t="str">
        <f aca="false">IF($C411="","",IFERROR(IF(IFERROR(INDEX(tblMoveTypes[In / Out],MATCH($C411,tblMoveTypes[Movement],0)),"?")="IN","IN   ",IF(IFERROR(INDEX(tblMoveTypes[In / Out],MATCH($C411,tblMoveTypes[Movement],0)),"?")="OUT","OUT   ","--   "))&amp;"fill: "&amp;IF(IFERROR(INDEX(tblMoveTypes[Item?],MATCH($C411,tblMoveTypes[Movement],0)),"?")="Yes","Item  ","")&amp;IF(AND(IFERROR(INDEX(tblMoveTypes[Qty?],MATCH($C411,tblMoveTypes[Movement],0)),"?")="Yes",IFERROR(INDEX(tblMoveTypes[In / Out],MATCH($C411,tblMoveTypes[Movement],0)),"?")="IN"),"In  ","")&amp;IF(AND(IFERROR(INDEX(tblMoveTypes[Qty?],MATCH($C411,tblMoveTypes[Movement],0)),"?")="Yes",IFERROR(INDEX(tblMoveTypes[In / Out],MATCH($C411,tblMoveTypes[Movement],0)),"?")="OUT"),"Out  ","")&amp;IF(IFERROR(INDEX(tblMoveTypes[Orders?],MATCH($C411,tblMoveTypes[Movement],0)),"?")="Yes","Orders  ","")&amp;IF(IFERROR(INDEX(tblMoveTypes[Courier?],MATCH($C411,tblMoveTypes[Movement],0)),"?")="Yes","Courier  ","")&amp;IF(IFERROR(INDEX(tblMoveTypes[Reason?],MATCH($C411,tblMoveTypes[Movement],0)),"?")="Yes","Reason",""),"unknown movement"))</f>
        <v>IN   fill: Item  In  </v>
      </c>
      <c r="E411" s="31" t="s">
        <v>146</v>
      </c>
      <c r="F411" s="33" t="n">
        <v>20</v>
      </c>
      <c r="G411" s="33"/>
      <c r="H411" s="33"/>
      <c r="I411" s="31"/>
      <c r="J411" s="31"/>
      <c r="K411" s="31"/>
      <c r="L411" s="31"/>
      <c r="M411" s="34" t="str">
        <f aca="false">IF($E411="","",IFERROR(INDEX(tblItems[Item Code],MATCH($E411,tblItems[Item Name],0)),"?"))</f>
        <v>EG-FG-MNG-19-02-01-01</v>
      </c>
      <c r="N411" s="34" t="str">
        <f aca="false">IF($B411="","",IFERROR(INDEX(tblShipment[Market],MATCH($B411,tblShipment[Shipment No],0)),"?"))</f>
        <v>Qatar</v>
      </c>
      <c r="O411" s="35" t="n">
        <f aca="false">N($F411)+N($G411)</f>
        <v>20</v>
      </c>
      <c r="P411" s="34" t="str">
        <f aca="false">IF($A411="","",IF($L411="Yes","VOID",IF(COUNTIFS(tblMoveTypes[Movement],$C411)=0,"Unknown movement",IF(COUNTIF(tblShipment[Shipment No],$B411)=0,"Unknown shipment",IF(AND(IFERROR(INDEX(tblMoveTypes[Item?],MATCH($C411,tblMoveTypes[Movement],0)),"?")="Yes",$E411=""),"Item needed",IF(AND(IFERROR(INDEX(tblMoveTypes[Item?],MATCH($C411,tblMoveTypes[Movement],0)),"?")="No",$E411&lt;&gt;""),"Leave Item blank",IF(AND(IFERROR(INDEX(tblMoveTypes[In / Out],MATCH($C411,tblMoveTypes[Movement],0)),"?")="IN",$G411&lt;&gt;""),"Use the In column, not Out",IF(AND(IFERROR(INDEX(tblMoveTypes[In / Out],MATCH($C411,tblMoveTypes[Movement],0)),"?")="OUT",$F411&lt;&gt;""),"Use the Out column, not In",IF(AND(IFERROR(INDEX(tblMoveTypes[Qty?],MATCH($C411,tblMoveTypes[Movement],0)),"?")="Yes",N($F411)+N($G411)&lt;=0),"Qty needed",IF(AND(IFERROR(INDEX(tblMoveTypes[Qty?],MATCH($C411,tblMoveTypes[Movement],0)),"?")="No",N($F411)+N($G411)&gt;0),"Leave In and Out blank",IF(AND(IFERROR(INDEX(tblMoveTypes[Courier?],MATCH($C411,tblMoveTypes[Movement],0)),"?")="Yes",$I411=""),"Courier needed",IF(AND(IFERROR(INDEX(tblMoveTypes[Courier?],MATCH($C411,tblMoveTypes[Movement],0)),"?")="No",$I411&lt;&gt;""),"Leave Courier blank",IF(AND(IFERROR(INDEX(tblMoveTypes[Orders?],MATCH($C411,tblMoveTypes[Movement],0)),"?")="Yes",$H411=""),"Orders needed",IF(AND(IFERROR(INDEX(tblMoveTypes[Orders?],MATCH($C411,tblMoveTypes[Movement],0)),"?")="No",$H411&lt;&gt;""),"Leave Orders blank",IF(AND(IFERROR(INDEX(tblMoveTypes[Reason?],MATCH($C411,tblMoveTypes[Movement],0)),"?")="Yes",$J411=""),"Reason needed",IF($A411&lt;_xlfn.MINIFS(tblShipment[Arrival Date],tblShipment[Shipment No],$B411),"Date before arrival",IF(AND($E411&lt;&gt;"",COUNTIFS(tblShipment[Shipment No],$B411,tblShipment[Item Name],$E411)=0),"Item not in this shipment","OK")))))))))))))))))</f>
        <v>OK</v>
      </c>
    </row>
    <row r="412" customFormat="false" ht="15" hidden="false" customHeight="false" outlineLevel="0" collapsed="false">
      <c r="A412" s="32" t="n">
        <v>46256</v>
      </c>
      <c r="B412" s="31" t="s">
        <v>169</v>
      </c>
      <c r="C412" s="31" t="s">
        <v>79</v>
      </c>
      <c r="D412" s="34" t="str">
        <f aca="false">IF($C412="","",IFERROR(IF(IFERROR(INDEX(tblMoveTypes[In / Out],MATCH($C412,tblMoveTypes[Movement],0)),"?")="IN","IN   ",IF(IFERROR(INDEX(tblMoveTypes[In / Out],MATCH($C412,tblMoveTypes[Movement],0)),"?")="OUT","OUT   ","--   "))&amp;"fill: "&amp;IF(IFERROR(INDEX(tblMoveTypes[Item?],MATCH($C412,tblMoveTypes[Movement],0)),"?")="Yes","Item  ","")&amp;IF(AND(IFERROR(INDEX(tblMoveTypes[Qty?],MATCH($C412,tblMoveTypes[Movement],0)),"?")="Yes",IFERROR(INDEX(tblMoveTypes[In / Out],MATCH($C412,tblMoveTypes[Movement],0)),"?")="IN"),"In  ","")&amp;IF(AND(IFERROR(INDEX(tblMoveTypes[Qty?],MATCH($C412,tblMoveTypes[Movement],0)),"?")="Yes",IFERROR(INDEX(tblMoveTypes[In / Out],MATCH($C412,tblMoveTypes[Movement],0)),"?")="OUT"),"Out  ","")&amp;IF(IFERROR(INDEX(tblMoveTypes[Orders?],MATCH($C412,tblMoveTypes[Movement],0)),"?")="Yes","Orders  ","")&amp;IF(IFERROR(INDEX(tblMoveTypes[Courier?],MATCH($C412,tblMoveTypes[Movement],0)),"?")="Yes","Courier  ","")&amp;IF(IFERROR(INDEX(tblMoveTypes[Reason?],MATCH($C412,tblMoveTypes[Movement],0)),"?")="Yes","Reason",""),"unknown movement"))</f>
        <v>IN   fill: Item  In  </v>
      </c>
      <c r="E412" s="31" t="s">
        <v>127</v>
      </c>
      <c r="F412" s="33" t="n">
        <v>20</v>
      </c>
      <c r="G412" s="33"/>
      <c r="H412" s="33"/>
      <c r="I412" s="31"/>
      <c r="J412" s="31"/>
      <c r="K412" s="31"/>
      <c r="L412" s="31"/>
      <c r="M412" s="34" t="str">
        <f aca="false">IF($E412="","",IFERROR(INDEX(tblItems[Item Code],MATCH($E412,tblItems[Item Name],0)),"?"))</f>
        <v>EG-FG-GRP-03-02-01-01</v>
      </c>
      <c r="N412" s="34" t="str">
        <f aca="false">IF($B412="","",IFERROR(INDEX(tblShipment[Market],MATCH($B412,tblShipment[Shipment No],0)),"?"))</f>
        <v>Qatar</v>
      </c>
      <c r="O412" s="35" t="n">
        <f aca="false">N($F412)+N($G412)</f>
        <v>20</v>
      </c>
      <c r="P412" s="34" t="str">
        <f aca="false">IF($A412="","",IF($L412="Yes","VOID",IF(COUNTIFS(tblMoveTypes[Movement],$C412)=0,"Unknown movement",IF(COUNTIF(tblShipment[Shipment No],$B412)=0,"Unknown shipment",IF(AND(IFERROR(INDEX(tblMoveTypes[Item?],MATCH($C412,tblMoveTypes[Movement],0)),"?")="Yes",$E412=""),"Item needed",IF(AND(IFERROR(INDEX(tblMoveTypes[Item?],MATCH($C412,tblMoveTypes[Movement],0)),"?")="No",$E412&lt;&gt;""),"Leave Item blank",IF(AND(IFERROR(INDEX(tblMoveTypes[In / Out],MATCH($C412,tblMoveTypes[Movement],0)),"?")="IN",$G412&lt;&gt;""),"Use the In column, not Out",IF(AND(IFERROR(INDEX(tblMoveTypes[In / Out],MATCH($C412,tblMoveTypes[Movement],0)),"?")="OUT",$F412&lt;&gt;""),"Use the Out column, not In",IF(AND(IFERROR(INDEX(tblMoveTypes[Qty?],MATCH($C412,tblMoveTypes[Movement],0)),"?")="Yes",N($F412)+N($G412)&lt;=0),"Qty needed",IF(AND(IFERROR(INDEX(tblMoveTypes[Qty?],MATCH($C412,tblMoveTypes[Movement],0)),"?")="No",N($F412)+N($G412)&gt;0),"Leave In and Out blank",IF(AND(IFERROR(INDEX(tblMoveTypes[Courier?],MATCH($C412,tblMoveTypes[Movement],0)),"?")="Yes",$I412=""),"Courier needed",IF(AND(IFERROR(INDEX(tblMoveTypes[Courier?],MATCH($C412,tblMoveTypes[Movement],0)),"?")="No",$I412&lt;&gt;""),"Leave Courier blank",IF(AND(IFERROR(INDEX(tblMoveTypes[Orders?],MATCH($C412,tblMoveTypes[Movement],0)),"?")="Yes",$H412=""),"Orders needed",IF(AND(IFERROR(INDEX(tblMoveTypes[Orders?],MATCH($C412,tblMoveTypes[Movement],0)),"?")="No",$H412&lt;&gt;""),"Leave Orders blank",IF(AND(IFERROR(INDEX(tblMoveTypes[Reason?],MATCH($C412,tblMoveTypes[Movement],0)),"?")="Yes",$J412=""),"Reason needed",IF($A412&lt;_xlfn.MINIFS(tblShipment[Arrival Date],tblShipment[Shipment No],$B412),"Date before arrival",IF(AND($E412&lt;&gt;"",COUNTIFS(tblShipment[Shipment No],$B412,tblShipment[Item Name],$E412)=0),"Item not in this shipment","OK")))))))))))))))))</f>
        <v>OK</v>
      </c>
    </row>
    <row r="413" customFormat="false" ht="15" hidden="false" customHeight="false" outlineLevel="0" collapsed="false">
      <c r="A413" s="32" t="n">
        <v>46256</v>
      </c>
      <c r="B413" s="31" t="s">
        <v>169</v>
      </c>
      <c r="C413" s="31" t="s">
        <v>79</v>
      </c>
      <c r="D413" s="34" t="str">
        <f aca="false">IF($C413="","",IFERROR(IF(IFERROR(INDEX(tblMoveTypes[In / Out],MATCH($C413,tblMoveTypes[Movement],0)),"?")="IN","IN   ",IF(IFERROR(INDEX(tblMoveTypes[In / Out],MATCH($C413,tblMoveTypes[Movement],0)),"?")="OUT","OUT   ","--   "))&amp;"fill: "&amp;IF(IFERROR(INDEX(tblMoveTypes[Item?],MATCH($C413,tblMoveTypes[Movement],0)),"?")="Yes","Item  ","")&amp;IF(AND(IFERROR(INDEX(tblMoveTypes[Qty?],MATCH($C413,tblMoveTypes[Movement],0)),"?")="Yes",IFERROR(INDEX(tblMoveTypes[In / Out],MATCH($C413,tblMoveTypes[Movement],0)),"?")="IN"),"In  ","")&amp;IF(AND(IFERROR(INDEX(tblMoveTypes[Qty?],MATCH($C413,tblMoveTypes[Movement],0)),"?")="Yes",IFERROR(INDEX(tblMoveTypes[In / Out],MATCH($C413,tblMoveTypes[Movement],0)),"?")="OUT"),"Out  ","")&amp;IF(IFERROR(INDEX(tblMoveTypes[Orders?],MATCH($C413,tblMoveTypes[Movement],0)),"?")="Yes","Orders  ","")&amp;IF(IFERROR(INDEX(tblMoveTypes[Courier?],MATCH($C413,tblMoveTypes[Movement],0)),"?")="Yes","Courier  ","")&amp;IF(IFERROR(INDEX(tblMoveTypes[Reason?],MATCH($C413,tblMoveTypes[Movement],0)),"?")="Yes","Reason",""),"unknown movement"))</f>
        <v>IN   fill: Item  In  </v>
      </c>
      <c r="E413" s="31" t="s">
        <v>132</v>
      </c>
      <c r="F413" s="33" t="n">
        <v>20</v>
      </c>
      <c r="G413" s="33"/>
      <c r="H413" s="33"/>
      <c r="I413" s="31"/>
      <c r="J413" s="31"/>
      <c r="K413" s="31"/>
      <c r="L413" s="31"/>
      <c r="M413" s="34" t="str">
        <f aca="false">IF($E413="","",IFERROR(INDEX(tblItems[Item Code],MATCH($E413,tblItems[Item Name],0)),"?"))</f>
        <v>EG-FG-MNG-15-02-01-01</v>
      </c>
      <c r="N413" s="34" t="str">
        <f aca="false">IF($B413="","",IFERROR(INDEX(tblShipment[Market],MATCH($B413,tblShipment[Shipment No],0)),"?"))</f>
        <v>Qatar</v>
      </c>
      <c r="O413" s="35" t="n">
        <f aca="false">N($F413)+N($G413)</f>
        <v>20</v>
      </c>
      <c r="P413" s="34" t="str">
        <f aca="false">IF($A413="","",IF($L413="Yes","VOID",IF(COUNTIFS(tblMoveTypes[Movement],$C413)=0,"Unknown movement",IF(COUNTIF(tblShipment[Shipment No],$B413)=0,"Unknown shipment",IF(AND(IFERROR(INDEX(tblMoveTypes[Item?],MATCH($C413,tblMoveTypes[Movement],0)),"?")="Yes",$E413=""),"Item needed",IF(AND(IFERROR(INDEX(tblMoveTypes[Item?],MATCH($C413,tblMoveTypes[Movement],0)),"?")="No",$E413&lt;&gt;""),"Leave Item blank",IF(AND(IFERROR(INDEX(tblMoveTypes[In / Out],MATCH($C413,tblMoveTypes[Movement],0)),"?")="IN",$G413&lt;&gt;""),"Use the In column, not Out",IF(AND(IFERROR(INDEX(tblMoveTypes[In / Out],MATCH($C413,tblMoveTypes[Movement],0)),"?")="OUT",$F413&lt;&gt;""),"Use the Out column, not In",IF(AND(IFERROR(INDEX(tblMoveTypes[Qty?],MATCH($C413,tblMoveTypes[Movement],0)),"?")="Yes",N($F413)+N($G413)&lt;=0),"Qty needed",IF(AND(IFERROR(INDEX(tblMoveTypes[Qty?],MATCH($C413,tblMoveTypes[Movement],0)),"?")="No",N($F413)+N($G413)&gt;0),"Leave In and Out blank",IF(AND(IFERROR(INDEX(tblMoveTypes[Courier?],MATCH($C413,tblMoveTypes[Movement],0)),"?")="Yes",$I413=""),"Courier needed",IF(AND(IFERROR(INDEX(tblMoveTypes[Courier?],MATCH($C413,tblMoveTypes[Movement],0)),"?")="No",$I413&lt;&gt;""),"Leave Courier blank",IF(AND(IFERROR(INDEX(tblMoveTypes[Orders?],MATCH($C413,tblMoveTypes[Movement],0)),"?")="Yes",$H413=""),"Orders needed",IF(AND(IFERROR(INDEX(tblMoveTypes[Orders?],MATCH($C413,tblMoveTypes[Movement],0)),"?")="No",$H413&lt;&gt;""),"Leave Orders blank",IF(AND(IFERROR(INDEX(tblMoveTypes[Reason?],MATCH($C413,tblMoveTypes[Movement],0)),"?")="Yes",$J413=""),"Reason needed",IF($A413&lt;_xlfn.MINIFS(tblShipment[Arrival Date],tblShipment[Shipment No],$B413),"Date before arrival",IF(AND($E413&lt;&gt;"",COUNTIFS(tblShipment[Shipment No],$B413,tblShipment[Item Name],$E413)=0),"Item not in this shipment","OK")))))))))))))))))</f>
        <v>OK</v>
      </c>
    </row>
    <row r="414" customFormat="false" ht="15" hidden="false" customHeight="false" outlineLevel="0" collapsed="false">
      <c r="A414" s="32" t="n">
        <v>46256</v>
      </c>
      <c r="B414" s="31" t="s">
        <v>169</v>
      </c>
      <c r="C414" s="31" t="s">
        <v>79</v>
      </c>
      <c r="D414" s="34" t="str">
        <f aca="false">IF($C414="","",IFERROR(IF(IFERROR(INDEX(tblMoveTypes[In / Out],MATCH($C414,tblMoveTypes[Movement],0)),"?")="IN","IN   ",IF(IFERROR(INDEX(tblMoveTypes[In / Out],MATCH($C414,tblMoveTypes[Movement],0)),"?")="OUT","OUT   ","--   "))&amp;"fill: "&amp;IF(IFERROR(INDEX(tblMoveTypes[Item?],MATCH($C414,tblMoveTypes[Movement],0)),"?")="Yes","Item  ","")&amp;IF(AND(IFERROR(INDEX(tblMoveTypes[Qty?],MATCH($C414,tblMoveTypes[Movement],0)),"?")="Yes",IFERROR(INDEX(tblMoveTypes[In / Out],MATCH($C414,tblMoveTypes[Movement],0)),"?")="IN"),"In  ","")&amp;IF(AND(IFERROR(INDEX(tblMoveTypes[Qty?],MATCH($C414,tblMoveTypes[Movement],0)),"?")="Yes",IFERROR(INDEX(tblMoveTypes[In / Out],MATCH($C414,tblMoveTypes[Movement],0)),"?")="OUT"),"Out  ","")&amp;IF(IFERROR(INDEX(tblMoveTypes[Orders?],MATCH($C414,tblMoveTypes[Movement],0)),"?")="Yes","Orders  ","")&amp;IF(IFERROR(INDEX(tblMoveTypes[Courier?],MATCH($C414,tblMoveTypes[Movement],0)),"?")="Yes","Courier  ","")&amp;IF(IFERROR(INDEX(tblMoveTypes[Reason?],MATCH($C414,tblMoveTypes[Movement],0)),"?")="Yes","Reason",""),"unknown movement"))</f>
        <v>IN   fill: Item  In  </v>
      </c>
      <c r="E414" s="31" t="s">
        <v>112</v>
      </c>
      <c r="F414" s="33" t="n">
        <v>30</v>
      </c>
      <c r="G414" s="33"/>
      <c r="H414" s="33"/>
      <c r="I414" s="31"/>
      <c r="J414" s="31"/>
      <c r="K414" s="31"/>
      <c r="L414" s="31"/>
      <c r="M414" s="34" t="str">
        <f aca="false">IF($E414="","",IFERROR(INDEX(tblItems[Item Code],MATCH($E414,tblItems[Item Name],0)),"?"))</f>
        <v>BOX-TRIO-01</v>
      </c>
      <c r="N414" s="34" t="str">
        <f aca="false">IF($B414="","",IFERROR(INDEX(tblShipment[Market],MATCH($B414,tblShipment[Shipment No],0)),"?"))</f>
        <v>Qatar</v>
      </c>
      <c r="O414" s="35" t="n">
        <f aca="false">N($F414)+N($G414)</f>
        <v>30</v>
      </c>
      <c r="P414" s="34" t="str">
        <f aca="false">IF($A414="","",IF($L414="Yes","VOID",IF(COUNTIFS(tblMoveTypes[Movement],$C414)=0,"Unknown movement",IF(COUNTIF(tblShipment[Shipment No],$B414)=0,"Unknown shipment",IF(AND(IFERROR(INDEX(tblMoveTypes[Item?],MATCH($C414,tblMoveTypes[Movement],0)),"?")="Yes",$E414=""),"Item needed",IF(AND(IFERROR(INDEX(tblMoveTypes[Item?],MATCH($C414,tblMoveTypes[Movement],0)),"?")="No",$E414&lt;&gt;""),"Leave Item blank",IF(AND(IFERROR(INDEX(tblMoveTypes[In / Out],MATCH($C414,tblMoveTypes[Movement],0)),"?")="IN",$G414&lt;&gt;""),"Use the In column, not Out",IF(AND(IFERROR(INDEX(tblMoveTypes[In / Out],MATCH($C414,tblMoveTypes[Movement],0)),"?")="OUT",$F414&lt;&gt;""),"Use the Out column, not In",IF(AND(IFERROR(INDEX(tblMoveTypes[Qty?],MATCH($C414,tblMoveTypes[Movement],0)),"?")="Yes",N($F414)+N($G414)&lt;=0),"Qty needed",IF(AND(IFERROR(INDEX(tblMoveTypes[Qty?],MATCH($C414,tblMoveTypes[Movement],0)),"?")="No",N($F414)+N($G414)&gt;0),"Leave In and Out blank",IF(AND(IFERROR(INDEX(tblMoveTypes[Courier?],MATCH($C414,tblMoveTypes[Movement],0)),"?")="Yes",$I414=""),"Courier needed",IF(AND(IFERROR(INDEX(tblMoveTypes[Courier?],MATCH($C414,tblMoveTypes[Movement],0)),"?")="No",$I414&lt;&gt;""),"Leave Courier blank",IF(AND(IFERROR(INDEX(tblMoveTypes[Orders?],MATCH($C414,tblMoveTypes[Movement],0)),"?")="Yes",$H414=""),"Orders needed",IF(AND(IFERROR(INDEX(tblMoveTypes[Orders?],MATCH($C414,tblMoveTypes[Movement],0)),"?")="No",$H414&lt;&gt;""),"Leave Orders blank",IF(AND(IFERROR(INDEX(tblMoveTypes[Reason?],MATCH($C414,tblMoveTypes[Movement],0)),"?")="Yes",$J414=""),"Reason needed",IF($A414&lt;_xlfn.MINIFS(tblShipment[Arrival Date],tblShipment[Shipment No],$B414),"Date before arrival",IF(AND($E414&lt;&gt;"",COUNTIFS(tblShipment[Shipment No],$B414,tblShipment[Item Name],$E414)=0),"Item not in this shipment","OK")))))))))))))))))</f>
        <v>OK</v>
      </c>
    </row>
    <row r="415" customFormat="false" ht="15" hidden="false" customHeight="false" outlineLevel="0" collapsed="false">
      <c r="A415" s="32" t="n">
        <v>46256</v>
      </c>
      <c r="B415" s="31" t="s">
        <v>169</v>
      </c>
      <c r="C415" s="31" t="s">
        <v>103</v>
      </c>
      <c r="D415" s="34" t="str">
        <f aca="false">IF($C415="","",IFERROR(IF(IFERROR(INDEX(tblMoveTypes[In / Out],MATCH($C415,tblMoveTypes[Movement],0)),"?")="IN","IN   ",IF(IFERROR(INDEX(tblMoveTypes[In / Out],MATCH($C415,tblMoveTypes[Movement],0)),"?")="OUT","OUT   ","--   "))&amp;"fill: "&amp;IF(IFERROR(INDEX(tblMoveTypes[Item?],MATCH($C415,tblMoveTypes[Movement],0)),"?")="Yes","Item  ","")&amp;IF(AND(IFERROR(INDEX(tblMoveTypes[Qty?],MATCH($C415,tblMoveTypes[Movement],0)),"?")="Yes",IFERROR(INDEX(tblMoveTypes[In / Out],MATCH($C415,tblMoveTypes[Movement],0)),"?")="IN"),"In  ","")&amp;IF(AND(IFERROR(INDEX(tblMoveTypes[Qty?],MATCH($C415,tblMoveTypes[Movement],0)),"?")="Yes",IFERROR(INDEX(tblMoveTypes[In / Out],MATCH($C415,tblMoveTypes[Movement],0)),"?")="OUT"),"Out  ","")&amp;IF(IFERROR(INDEX(tblMoveTypes[Orders?],MATCH($C415,tblMoveTypes[Movement],0)),"?")="Yes","Orders  ","")&amp;IF(IFERROR(INDEX(tblMoveTypes[Courier?],MATCH($C415,tblMoveTypes[Movement],0)),"?")="Yes","Courier  ","")&amp;IF(IFERROR(INDEX(tblMoveTypes[Reason?],MATCH($C415,tblMoveTypes[Movement],0)),"?")="Yes","Reason",""),"unknown movement"))</f>
        <v>--   fill: Orders  </v>
      </c>
      <c r="E415" s="31"/>
      <c r="F415" s="33"/>
      <c r="G415" s="33"/>
      <c r="H415" s="33" t="n">
        <v>150</v>
      </c>
      <c r="I415" s="31"/>
      <c r="J415" s="31"/>
      <c r="K415" s="31"/>
      <c r="L415" s="31"/>
      <c r="M415" s="34" t="str">
        <f aca="false">IF($E415="","",IFERROR(INDEX(tblItems[Item Code],MATCH($E415,tblItems[Item Name],0)),"?"))</f>
        <v/>
      </c>
      <c r="N415" s="34" t="str">
        <f aca="false">IF($B415="","",IFERROR(INDEX(tblShipment[Market],MATCH($B415,tblShipment[Shipment No],0)),"?"))</f>
        <v>Qatar</v>
      </c>
      <c r="O415" s="35" t="n">
        <f aca="false">N($F415)+N($G415)</f>
        <v>0</v>
      </c>
      <c r="P415" s="34" t="str">
        <f aca="false">IF($A415="","",IF($L415="Yes","VOID",IF(COUNTIFS(tblMoveTypes[Movement],$C415)=0,"Unknown movement",IF(COUNTIF(tblShipment[Shipment No],$B415)=0,"Unknown shipment",IF(AND(IFERROR(INDEX(tblMoveTypes[Item?],MATCH($C415,tblMoveTypes[Movement],0)),"?")="Yes",$E415=""),"Item needed",IF(AND(IFERROR(INDEX(tblMoveTypes[Item?],MATCH($C415,tblMoveTypes[Movement],0)),"?")="No",$E415&lt;&gt;""),"Leave Item blank",IF(AND(IFERROR(INDEX(tblMoveTypes[In / Out],MATCH($C415,tblMoveTypes[Movement],0)),"?")="IN",$G415&lt;&gt;""),"Use the In column, not Out",IF(AND(IFERROR(INDEX(tblMoveTypes[In / Out],MATCH($C415,tblMoveTypes[Movement],0)),"?")="OUT",$F415&lt;&gt;""),"Use the Out column, not In",IF(AND(IFERROR(INDEX(tblMoveTypes[Qty?],MATCH($C415,tblMoveTypes[Movement],0)),"?")="Yes",N($F415)+N($G415)&lt;=0),"Qty needed",IF(AND(IFERROR(INDEX(tblMoveTypes[Qty?],MATCH($C415,tblMoveTypes[Movement],0)),"?")="No",N($F415)+N($G415)&gt;0),"Leave In and Out blank",IF(AND(IFERROR(INDEX(tblMoveTypes[Courier?],MATCH($C415,tblMoveTypes[Movement],0)),"?")="Yes",$I415=""),"Courier needed",IF(AND(IFERROR(INDEX(tblMoveTypes[Courier?],MATCH($C415,tblMoveTypes[Movement],0)),"?")="No",$I415&lt;&gt;""),"Leave Courier blank",IF(AND(IFERROR(INDEX(tblMoveTypes[Orders?],MATCH($C415,tblMoveTypes[Movement],0)),"?")="Yes",$H415=""),"Orders needed",IF(AND(IFERROR(INDEX(tblMoveTypes[Orders?],MATCH($C415,tblMoveTypes[Movement],0)),"?")="No",$H415&lt;&gt;""),"Leave Orders blank",IF(AND(IFERROR(INDEX(tblMoveTypes[Reason?],MATCH($C415,tblMoveTypes[Movement],0)),"?")="Yes",$J415=""),"Reason needed",IF($A415&lt;_xlfn.MINIFS(tblShipment[Arrival Date],tblShipment[Shipment No],$B415),"Date before arrival",IF(AND($E415&lt;&gt;"",COUNTIFS(tblShipment[Shipment No],$B415,tblShipment[Item Name],$E415)=0),"Item not in this shipment","OK")))))))))))))))))</f>
        <v>OK</v>
      </c>
    </row>
    <row r="416" customFormat="false" ht="15" hidden="false" customHeight="false" outlineLevel="0" collapsed="false">
      <c r="A416" s="32" t="n">
        <v>46256</v>
      </c>
      <c r="B416" s="31" t="s">
        <v>169</v>
      </c>
      <c r="C416" s="31" t="s">
        <v>98</v>
      </c>
      <c r="D416" s="34" t="str">
        <f aca="false">IF($C416="","",IFERROR(IF(IFERROR(INDEX(tblMoveTypes[In / Out],MATCH($C416,tblMoveTypes[Movement],0)),"?")="IN","IN   ",IF(IFERROR(INDEX(tblMoveTypes[In / Out],MATCH($C416,tblMoveTypes[Movement],0)),"?")="OUT","OUT   ","--   "))&amp;"fill: "&amp;IF(IFERROR(INDEX(tblMoveTypes[Item?],MATCH($C416,tblMoveTypes[Movement],0)),"?")="Yes","Item  ","")&amp;IF(AND(IFERROR(INDEX(tblMoveTypes[Qty?],MATCH($C416,tblMoveTypes[Movement],0)),"?")="Yes",IFERROR(INDEX(tblMoveTypes[In / Out],MATCH($C416,tblMoveTypes[Movement],0)),"?")="IN"),"In  ","")&amp;IF(AND(IFERROR(INDEX(tblMoveTypes[Qty?],MATCH($C416,tblMoveTypes[Movement],0)),"?")="Yes",IFERROR(INDEX(tblMoveTypes[In / Out],MATCH($C416,tblMoveTypes[Movement],0)),"?")="OUT"),"Out  ","")&amp;IF(IFERROR(INDEX(tblMoveTypes[Orders?],MATCH($C416,tblMoveTypes[Movement],0)),"?")="Yes","Orders  ","")&amp;IF(IFERROR(INDEX(tblMoveTypes[Courier?],MATCH($C416,tblMoveTypes[Movement],0)),"?")="Yes","Courier  ","")&amp;IF(IFERROR(INDEX(tblMoveTypes[Reason?],MATCH($C416,tblMoveTypes[Movement],0)),"?")="Yes","Reason",""),"unknown movement"))</f>
        <v>OUT   fill: Item  Out  Courier  </v>
      </c>
      <c r="E416" s="31" t="s">
        <v>91</v>
      </c>
      <c r="F416" s="33"/>
      <c r="G416" s="33" t="n">
        <v>30</v>
      </c>
      <c r="H416" s="33"/>
      <c r="I416" s="31" t="s">
        <v>76</v>
      </c>
      <c r="J416" s="31"/>
      <c r="K416" s="31"/>
      <c r="L416" s="31"/>
      <c r="M416" s="34" t="str">
        <f aca="false">IF($E416="","",IFERROR(INDEX(tblItems[Item Code],MATCH($E416,tblItems[Item Name],0)),"?"))</f>
        <v>EG-FG-FIG-01-02-01-01</v>
      </c>
      <c r="N416" s="34" t="str">
        <f aca="false">IF($B416="","",IFERROR(INDEX(tblShipment[Market],MATCH($B416,tblShipment[Shipment No],0)),"?"))</f>
        <v>Qatar</v>
      </c>
      <c r="O416" s="35" t="n">
        <f aca="false">N($F416)+N($G416)</f>
        <v>30</v>
      </c>
      <c r="P416" s="34" t="str">
        <f aca="false">IF($A416="","",IF($L416="Yes","VOID",IF(COUNTIFS(tblMoveTypes[Movement],$C416)=0,"Unknown movement",IF(COUNTIF(tblShipment[Shipment No],$B416)=0,"Unknown shipment",IF(AND(IFERROR(INDEX(tblMoveTypes[Item?],MATCH($C416,tblMoveTypes[Movement],0)),"?")="Yes",$E416=""),"Item needed",IF(AND(IFERROR(INDEX(tblMoveTypes[Item?],MATCH($C416,tblMoveTypes[Movement],0)),"?")="No",$E416&lt;&gt;""),"Leave Item blank",IF(AND(IFERROR(INDEX(tblMoveTypes[In / Out],MATCH($C416,tblMoveTypes[Movement],0)),"?")="IN",$G416&lt;&gt;""),"Use the In column, not Out",IF(AND(IFERROR(INDEX(tblMoveTypes[In / Out],MATCH($C416,tblMoveTypes[Movement],0)),"?")="OUT",$F416&lt;&gt;""),"Use the Out column, not In",IF(AND(IFERROR(INDEX(tblMoveTypes[Qty?],MATCH($C416,tblMoveTypes[Movement],0)),"?")="Yes",N($F416)+N($G416)&lt;=0),"Qty needed",IF(AND(IFERROR(INDEX(tblMoveTypes[Qty?],MATCH($C416,tblMoveTypes[Movement],0)),"?")="No",N($F416)+N($G416)&gt;0),"Leave In and Out blank",IF(AND(IFERROR(INDEX(tblMoveTypes[Courier?],MATCH($C416,tblMoveTypes[Movement],0)),"?")="Yes",$I416=""),"Courier needed",IF(AND(IFERROR(INDEX(tblMoveTypes[Courier?],MATCH($C416,tblMoveTypes[Movement],0)),"?")="No",$I416&lt;&gt;""),"Leave Courier blank",IF(AND(IFERROR(INDEX(tblMoveTypes[Orders?],MATCH($C416,tblMoveTypes[Movement],0)),"?")="Yes",$H416=""),"Orders needed",IF(AND(IFERROR(INDEX(tblMoveTypes[Orders?],MATCH($C416,tblMoveTypes[Movement],0)),"?")="No",$H416&lt;&gt;""),"Leave Orders blank",IF(AND(IFERROR(INDEX(tblMoveTypes[Reason?],MATCH($C416,tblMoveTypes[Movement],0)),"?")="Yes",$J416=""),"Reason needed",IF($A416&lt;_xlfn.MINIFS(tblShipment[Arrival Date],tblShipment[Shipment No],$B416),"Date before arrival",IF(AND($E416&lt;&gt;"",COUNTIFS(tblShipment[Shipment No],$B416,tblShipment[Item Name],$E416)=0),"Item not in this shipment","OK")))))))))))))))))</f>
        <v>OK</v>
      </c>
    </row>
    <row r="417" customFormat="false" ht="15" hidden="false" customHeight="false" outlineLevel="0" collapsed="false">
      <c r="A417" s="32" t="n">
        <v>46256</v>
      </c>
      <c r="B417" s="31" t="s">
        <v>169</v>
      </c>
      <c r="C417" s="31" t="s">
        <v>98</v>
      </c>
      <c r="D417" s="34" t="str">
        <f aca="false">IF($C417="","",IFERROR(IF(IFERROR(INDEX(tblMoveTypes[In / Out],MATCH($C417,tblMoveTypes[Movement],0)),"?")="IN","IN   ",IF(IFERROR(INDEX(tblMoveTypes[In / Out],MATCH($C417,tblMoveTypes[Movement],0)),"?")="OUT","OUT   ","--   "))&amp;"fill: "&amp;IF(IFERROR(INDEX(tblMoveTypes[Item?],MATCH($C417,tblMoveTypes[Movement],0)),"?")="Yes","Item  ","")&amp;IF(AND(IFERROR(INDEX(tblMoveTypes[Qty?],MATCH($C417,tblMoveTypes[Movement],0)),"?")="Yes",IFERROR(INDEX(tblMoveTypes[In / Out],MATCH($C417,tblMoveTypes[Movement],0)),"?")="IN"),"In  ","")&amp;IF(AND(IFERROR(INDEX(tblMoveTypes[Qty?],MATCH($C417,tblMoveTypes[Movement],0)),"?")="Yes",IFERROR(INDEX(tblMoveTypes[In / Out],MATCH($C417,tblMoveTypes[Movement],0)),"?")="OUT"),"Out  ","")&amp;IF(IFERROR(INDEX(tblMoveTypes[Orders?],MATCH($C417,tblMoveTypes[Movement],0)),"?")="Yes","Orders  ","")&amp;IF(IFERROR(INDEX(tblMoveTypes[Courier?],MATCH($C417,tblMoveTypes[Movement],0)),"?")="Yes","Courier  ","")&amp;IF(IFERROR(INDEX(tblMoveTypes[Reason?],MATCH($C417,tblMoveTypes[Movement],0)),"?")="Yes","Reason",""),"unknown movement"))</f>
        <v>OUT   fill: Item  Out  Courier  </v>
      </c>
      <c r="E417" s="31" t="s">
        <v>106</v>
      </c>
      <c r="F417" s="33"/>
      <c r="G417" s="33" t="n">
        <v>12</v>
      </c>
      <c r="H417" s="33"/>
      <c r="I417" s="31" t="s">
        <v>76</v>
      </c>
      <c r="J417" s="31"/>
      <c r="K417" s="31"/>
      <c r="L417" s="31"/>
      <c r="M417" s="34" t="str">
        <f aca="false">IF($E417="","",IFERROR(INDEX(tblItems[Item Code],MATCH($E417,tblItems[Item Name],0)),"?"))</f>
        <v>EG-FG-DAT-01-02-01-01</v>
      </c>
      <c r="N417" s="34" t="str">
        <f aca="false">IF($B417="","",IFERROR(INDEX(tblShipment[Market],MATCH($B417,tblShipment[Shipment No],0)),"?"))</f>
        <v>Qatar</v>
      </c>
      <c r="O417" s="35" t="n">
        <f aca="false">N($F417)+N($G417)</f>
        <v>12</v>
      </c>
      <c r="P417" s="34" t="str">
        <f aca="false">IF($A417="","",IF($L417="Yes","VOID",IF(COUNTIFS(tblMoveTypes[Movement],$C417)=0,"Unknown movement",IF(COUNTIF(tblShipment[Shipment No],$B417)=0,"Unknown shipment",IF(AND(IFERROR(INDEX(tblMoveTypes[Item?],MATCH($C417,tblMoveTypes[Movement],0)),"?")="Yes",$E417=""),"Item needed",IF(AND(IFERROR(INDEX(tblMoveTypes[Item?],MATCH($C417,tblMoveTypes[Movement],0)),"?")="No",$E417&lt;&gt;""),"Leave Item blank",IF(AND(IFERROR(INDEX(tblMoveTypes[In / Out],MATCH($C417,tblMoveTypes[Movement],0)),"?")="IN",$G417&lt;&gt;""),"Use the In column, not Out",IF(AND(IFERROR(INDEX(tblMoveTypes[In / Out],MATCH($C417,tblMoveTypes[Movement],0)),"?")="OUT",$F417&lt;&gt;""),"Use the Out column, not In",IF(AND(IFERROR(INDEX(tblMoveTypes[Qty?],MATCH($C417,tblMoveTypes[Movement],0)),"?")="Yes",N($F417)+N($G417)&lt;=0),"Qty needed",IF(AND(IFERROR(INDEX(tblMoveTypes[Qty?],MATCH($C417,tblMoveTypes[Movement],0)),"?")="No",N($F417)+N($G417)&gt;0),"Leave In and Out blank",IF(AND(IFERROR(INDEX(tblMoveTypes[Courier?],MATCH($C417,tblMoveTypes[Movement],0)),"?")="Yes",$I417=""),"Courier needed",IF(AND(IFERROR(INDEX(tblMoveTypes[Courier?],MATCH($C417,tblMoveTypes[Movement],0)),"?")="No",$I417&lt;&gt;""),"Leave Courier blank",IF(AND(IFERROR(INDEX(tblMoveTypes[Orders?],MATCH($C417,tblMoveTypes[Movement],0)),"?")="Yes",$H417=""),"Orders needed",IF(AND(IFERROR(INDEX(tblMoveTypes[Orders?],MATCH($C417,tblMoveTypes[Movement],0)),"?")="No",$H417&lt;&gt;""),"Leave Orders blank",IF(AND(IFERROR(INDEX(tblMoveTypes[Reason?],MATCH($C417,tblMoveTypes[Movement],0)),"?")="Yes",$J417=""),"Reason needed",IF($A417&lt;_xlfn.MINIFS(tblShipment[Arrival Date],tblShipment[Shipment No],$B417),"Date before arrival",IF(AND($E417&lt;&gt;"",COUNTIFS(tblShipment[Shipment No],$B417,tblShipment[Item Name],$E417)=0),"Item not in this shipment","OK")))))))))))))))))</f>
        <v>OK</v>
      </c>
    </row>
    <row r="418" customFormat="false" ht="15" hidden="false" customHeight="false" outlineLevel="0" collapsed="false">
      <c r="A418" s="32" t="n">
        <v>46256</v>
      </c>
      <c r="B418" s="31" t="s">
        <v>169</v>
      </c>
      <c r="C418" s="31" t="s">
        <v>98</v>
      </c>
      <c r="D418" s="34" t="str">
        <f aca="false">IF($C418="","",IFERROR(IF(IFERROR(INDEX(tblMoveTypes[In / Out],MATCH($C418,tblMoveTypes[Movement],0)),"?")="IN","IN   ",IF(IFERROR(INDEX(tblMoveTypes[In / Out],MATCH($C418,tblMoveTypes[Movement],0)),"?")="OUT","OUT   ","--   "))&amp;"fill: "&amp;IF(IFERROR(INDEX(tblMoveTypes[Item?],MATCH($C418,tblMoveTypes[Movement],0)),"?")="Yes","Item  ","")&amp;IF(AND(IFERROR(INDEX(tblMoveTypes[Qty?],MATCH($C418,tblMoveTypes[Movement],0)),"?")="Yes",IFERROR(INDEX(tblMoveTypes[In / Out],MATCH($C418,tblMoveTypes[Movement],0)),"?")="IN"),"In  ","")&amp;IF(AND(IFERROR(INDEX(tblMoveTypes[Qty?],MATCH($C418,tblMoveTypes[Movement],0)),"?")="Yes",IFERROR(INDEX(tblMoveTypes[In / Out],MATCH($C418,tblMoveTypes[Movement],0)),"?")="OUT"),"Out  ","")&amp;IF(IFERROR(INDEX(tblMoveTypes[Orders?],MATCH($C418,tblMoveTypes[Movement],0)),"?")="Yes","Orders  ","")&amp;IF(IFERROR(INDEX(tblMoveTypes[Courier?],MATCH($C418,tblMoveTypes[Movement],0)),"?")="Yes","Courier  ","")&amp;IF(IFERROR(INDEX(tblMoveTypes[Reason?],MATCH($C418,tblMoveTypes[Movement],0)),"?")="Yes","Reason",""),"unknown movement"))</f>
        <v>OUT   fill: Item  Out  Courier  </v>
      </c>
      <c r="E418" s="31" t="s">
        <v>117</v>
      </c>
      <c r="F418" s="33"/>
      <c r="G418" s="33" t="n">
        <v>8</v>
      </c>
      <c r="H418" s="33"/>
      <c r="I418" s="31" t="s">
        <v>76</v>
      </c>
      <c r="J418" s="31"/>
      <c r="K418" s="31"/>
      <c r="L418" s="31"/>
      <c r="M418" s="34" t="str">
        <f aca="false">IF($E418="","",IFERROR(INDEX(tblItems[Item Code],MATCH($E418,tblItems[Item Name],0)),"?"))</f>
        <v>EG-FG-MNG-06-02-01-01</v>
      </c>
      <c r="N418" s="34" t="str">
        <f aca="false">IF($B418="","",IFERROR(INDEX(tblShipment[Market],MATCH($B418,tblShipment[Shipment No],0)),"?"))</f>
        <v>Qatar</v>
      </c>
      <c r="O418" s="35" t="n">
        <f aca="false">N($F418)+N($G418)</f>
        <v>8</v>
      </c>
      <c r="P418" s="34" t="str">
        <f aca="false">IF($A418="","",IF($L418="Yes","VOID",IF(COUNTIFS(tblMoveTypes[Movement],$C418)=0,"Unknown movement",IF(COUNTIF(tblShipment[Shipment No],$B418)=0,"Unknown shipment",IF(AND(IFERROR(INDEX(tblMoveTypes[Item?],MATCH($C418,tblMoveTypes[Movement],0)),"?")="Yes",$E418=""),"Item needed",IF(AND(IFERROR(INDEX(tblMoveTypes[Item?],MATCH($C418,tblMoveTypes[Movement],0)),"?")="No",$E418&lt;&gt;""),"Leave Item blank",IF(AND(IFERROR(INDEX(tblMoveTypes[In / Out],MATCH($C418,tblMoveTypes[Movement],0)),"?")="IN",$G418&lt;&gt;""),"Use the In column, not Out",IF(AND(IFERROR(INDEX(tblMoveTypes[In / Out],MATCH($C418,tblMoveTypes[Movement],0)),"?")="OUT",$F418&lt;&gt;""),"Use the Out column, not In",IF(AND(IFERROR(INDEX(tblMoveTypes[Qty?],MATCH($C418,tblMoveTypes[Movement],0)),"?")="Yes",N($F418)+N($G418)&lt;=0),"Qty needed",IF(AND(IFERROR(INDEX(tblMoveTypes[Qty?],MATCH($C418,tblMoveTypes[Movement],0)),"?")="No",N($F418)+N($G418)&gt;0),"Leave In and Out blank",IF(AND(IFERROR(INDEX(tblMoveTypes[Courier?],MATCH($C418,tblMoveTypes[Movement],0)),"?")="Yes",$I418=""),"Courier needed",IF(AND(IFERROR(INDEX(tblMoveTypes[Courier?],MATCH($C418,tblMoveTypes[Movement],0)),"?")="No",$I418&lt;&gt;""),"Leave Courier blank",IF(AND(IFERROR(INDEX(tblMoveTypes[Orders?],MATCH($C418,tblMoveTypes[Movement],0)),"?")="Yes",$H418=""),"Orders needed",IF(AND(IFERROR(INDEX(tblMoveTypes[Orders?],MATCH($C418,tblMoveTypes[Movement],0)),"?")="No",$H418&lt;&gt;""),"Leave Orders blank",IF(AND(IFERROR(INDEX(tblMoveTypes[Reason?],MATCH($C418,tblMoveTypes[Movement],0)),"?")="Yes",$J418=""),"Reason needed",IF($A418&lt;_xlfn.MINIFS(tblShipment[Arrival Date],tblShipment[Shipment No],$B418),"Date before arrival",IF(AND($E418&lt;&gt;"",COUNTIFS(tblShipment[Shipment No],$B418,tblShipment[Item Name],$E418)=0),"Item not in this shipment","OK")))))))))))))))))</f>
        <v>OK</v>
      </c>
    </row>
    <row r="419" customFormat="false" ht="15" hidden="false" customHeight="false" outlineLevel="0" collapsed="false">
      <c r="A419" s="32" t="n">
        <v>46256</v>
      </c>
      <c r="B419" s="31" t="s">
        <v>169</v>
      </c>
      <c r="C419" s="31" t="s">
        <v>98</v>
      </c>
      <c r="D419" s="34" t="str">
        <f aca="false">IF($C419="","",IFERROR(IF(IFERROR(INDEX(tblMoveTypes[In / Out],MATCH($C419,tblMoveTypes[Movement],0)),"?")="IN","IN   ",IF(IFERROR(INDEX(tblMoveTypes[In / Out],MATCH($C419,tblMoveTypes[Movement],0)),"?")="OUT","OUT   ","--   "))&amp;"fill: "&amp;IF(IFERROR(INDEX(tblMoveTypes[Item?],MATCH($C419,tblMoveTypes[Movement],0)),"?")="Yes","Item  ","")&amp;IF(AND(IFERROR(INDEX(tblMoveTypes[Qty?],MATCH($C419,tblMoveTypes[Movement],0)),"?")="Yes",IFERROR(INDEX(tblMoveTypes[In / Out],MATCH($C419,tblMoveTypes[Movement],0)),"?")="IN"),"In  ","")&amp;IF(AND(IFERROR(INDEX(tblMoveTypes[Qty?],MATCH($C419,tblMoveTypes[Movement],0)),"?")="Yes",IFERROR(INDEX(tblMoveTypes[In / Out],MATCH($C419,tblMoveTypes[Movement],0)),"?")="OUT"),"Out  ","")&amp;IF(IFERROR(INDEX(tblMoveTypes[Orders?],MATCH($C419,tblMoveTypes[Movement],0)),"?")="Yes","Orders  ","")&amp;IF(IFERROR(INDEX(tblMoveTypes[Courier?],MATCH($C419,tblMoveTypes[Movement],0)),"?")="Yes","Courier  ","")&amp;IF(IFERROR(INDEX(tblMoveTypes[Reason?],MATCH($C419,tblMoveTypes[Movement],0)),"?")="Yes","Reason",""),"unknown movement"))</f>
        <v>OUT   fill: Item  Out  Courier  </v>
      </c>
      <c r="E419" s="31" t="s">
        <v>72</v>
      </c>
      <c r="F419" s="33"/>
      <c r="G419" s="33" t="n">
        <v>35</v>
      </c>
      <c r="H419" s="33"/>
      <c r="I419" s="31" t="s">
        <v>76</v>
      </c>
      <c r="J419" s="31"/>
      <c r="K419" s="31"/>
      <c r="L419" s="31"/>
      <c r="M419" s="34" t="str">
        <f aca="false">IF($E419="","",IFERROR(INDEX(tblItems[Item Code],MATCH($E419,tblItems[Item Name],0)),"?"))</f>
        <v>EG-FG-MNG-05-02-01-01</v>
      </c>
      <c r="N419" s="34" t="str">
        <f aca="false">IF($B419="","",IFERROR(INDEX(tblShipment[Market],MATCH($B419,tblShipment[Shipment No],0)),"?"))</f>
        <v>Qatar</v>
      </c>
      <c r="O419" s="35" t="n">
        <f aca="false">N($F419)+N($G419)</f>
        <v>35</v>
      </c>
      <c r="P419" s="34" t="str">
        <f aca="false">IF($A419="","",IF($L419="Yes","VOID",IF(COUNTIFS(tblMoveTypes[Movement],$C419)=0,"Unknown movement",IF(COUNTIF(tblShipment[Shipment No],$B419)=0,"Unknown shipment",IF(AND(IFERROR(INDEX(tblMoveTypes[Item?],MATCH($C419,tblMoveTypes[Movement],0)),"?")="Yes",$E419=""),"Item needed",IF(AND(IFERROR(INDEX(tblMoveTypes[Item?],MATCH($C419,tblMoveTypes[Movement],0)),"?")="No",$E419&lt;&gt;""),"Leave Item blank",IF(AND(IFERROR(INDEX(tblMoveTypes[In / Out],MATCH($C419,tblMoveTypes[Movement],0)),"?")="IN",$G419&lt;&gt;""),"Use the In column, not Out",IF(AND(IFERROR(INDEX(tblMoveTypes[In / Out],MATCH($C419,tblMoveTypes[Movement],0)),"?")="OUT",$F419&lt;&gt;""),"Use the Out column, not In",IF(AND(IFERROR(INDEX(tblMoveTypes[Qty?],MATCH($C419,tblMoveTypes[Movement],0)),"?")="Yes",N($F419)+N($G419)&lt;=0),"Qty needed",IF(AND(IFERROR(INDEX(tblMoveTypes[Qty?],MATCH($C419,tblMoveTypes[Movement],0)),"?")="No",N($F419)+N($G419)&gt;0),"Leave In and Out blank",IF(AND(IFERROR(INDEX(tblMoveTypes[Courier?],MATCH($C419,tblMoveTypes[Movement],0)),"?")="Yes",$I419=""),"Courier needed",IF(AND(IFERROR(INDEX(tblMoveTypes[Courier?],MATCH($C419,tblMoveTypes[Movement],0)),"?")="No",$I419&lt;&gt;""),"Leave Courier blank",IF(AND(IFERROR(INDEX(tblMoveTypes[Orders?],MATCH($C419,tblMoveTypes[Movement],0)),"?")="Yes",$H419=""),"Orders needed",IF(AND(IFERROR(INDEX(tblMoveTypes[Orders?],MATCH($C419,tblMoveTypes[Movement],0)),"?")="No",$H419&lt;&gt;""),"Leave Orders blank",IF(AND(IFERROR(INDEX(tblMoveTypes[Reason?],MATCH($C419,tblMoveTypes[Movement],0)),"?")="Yes",$J419=""),"Reason needed",IF($A419&lt;_xlfn.MINIFS(tblShipment[Arrival Date],tblShipment[Shipment No],$B419),"Date before arrival",IF(AND($E419&lt;&gt;"",COUNTIFS(tblShipment[Shipment No],$B419,tblShipment[Item Name],$E419)=0),"Item not in this shipment","OK")))))))))))))))))</f>
        <v>OK</v>
      </c>
    </row>
    <row r="420" customFormat="false" ht="15" hidden="false" customHeight="false" outlineLevel="0" collapsed="false">
      <c r="A420" s="32" t="n">
        <v>46256</v>
      </c>
      <c r="B420" s="31" t="s">
        <v>169</v>
      </c>
      <c r="C420" s="31" t="s">
        <v>98</v>
      </c>
      <c r="D420" s="34" t="str">
        <f aca="false">IF($C420="","",IFERROR(IF(IFERROR(INDEX(tblMoveTypes[In / Out],MATCH($C420,tblMoveTypes[Movement],0)),"?")="IN","IN   ",IF(IFERROR(INDEX(tblMoveTypes[In / Out],MATCH($C420,tblMoveTypes[Movement],0)),"?")="OUT","OUT   ","--   "))&amp;"fill: "&amp;IF(IFERROR(INDEX(tblMoveTypes[Item?],MATCH($C420,tblMoveTypes[Movement],0)),"?")="Yes","Item  ","")&amp;IF(AND(IFERROR(INDEX(tblMoveTypes[Qty?],MATCH($C420,tblMoveTypes[Movement],0)),"?")="Yes",IFERROR(INDEX(tblMoveTypes[In / Out],MATCH($C420,tblMoveTypes[Movement],0)),"?")="IN"),"In  ","")&amp;IF(AND(IFERROR(INDEX(tblMoveTypes[Qty?],MATCH($C420,tblMoveTypes[Movement],0)),"?")="Yes",IFERROR(INDEX(tblMoveTypes[In / Out],MATCH($C420,tblMoveTypes[Movement],0)),"?")="OUT"),"Out  ","")&amp;IF(IFERROR(INDEX(tblMoveTypes[Orders?],MATCH($C420,tblMoveTypes[Movement],0)),"?")="Yes","Orders  ","")&amp;IF(IFERROR(INDEX(tblMoveTypes[Courier?],MATCH($C420,tblMoveTypes[Movement],0)),"?")="Yes","Courier  ","")&amp;IF(IFERROR(INDEX(tblMoveTypes[Reason?],MATCH($C420,tblMoveTypes[Movement],0)),"?")="Yes","Reason",""),"unknown movement"))</f>
        <v>OUT   fill: Item  Out  Courier  </v>
      </c>
      <c r="E420" s="31" t="s">
        <v>100</v>
      </c>
      <c r="F420" s="33"/>
      <c r="G420" s="33" t="n">
        <v>10</v>
      </c>
      <c r="H420" s="33"/>
      <c r="I420" s="31" t="s">
        <v>76</v>
      </c>
      <c r="J420" s="31"/>
      <c r="K420" s="31"/>
      <c r="L420" s="31"/>
      <c r="M420" s="34" t="str">
        <f aca="false">IF($E420="","",IFERROR(INDEX(tblItems[Item Code],MATCH($E420,tblItems[Item Name],0)),"?"))</f>
        <v>EG-FG-MNG-18-02-01-01</v>
      </c>
      <c r="N420" s="34" t="str">
        <f aca="false">IF($B420="","",IFERROR(INDEX(tblShipment[Market],MATCH($B420,tblShipment[Shipment No],0)),"?"))</f>
        <v>Qatar</v>
      </c>
      <c r="O420" s="35" t="n">
        <f aca="false">N($F420)+N($G420)</f>
        <v>10</v>
      </c>
      <c r="P420" s="34" t="str">
        <f aca="false">IF($A420="","",IF($L420="Yes","VOID",IF(COUNTIFS(tblMoveTypes[Movement],$C420)=0,"Unknown movement",IF(COUNTIF(tblShipment[Shipment No],$B420)=0,"Unknown shipment",IF(AND(IFERROR(INDEX(tblMoveTypes[Item?],MATCH($C420,tblMoveTypes[Movement],0)),"?")="Yes",$E420=""),"Item needed",IF(AND(IFERROR(INDEX(tblMoveTypes[Item?],MATCH($C420,tblMoveTypes[Movement],0)),"?")="No",$E420&lt;&gt;""),"Leave Item blank",IF(AND(IFERROR(INDEX(tblMoveTypes[In / Out],MATCH($C420,tblMoveTypes[Movement],0)),"?")="IN",$G420&lt;&gt;""),"Use the In column, not Out",IF(AND(IFERROR(INDEX(tblMoveTypes[In / Out],MATCH($C420,tblMoveTypes[Movement],0)),"?")="OUT",$F420&lt;&gt;""),"Use the Out column, not In",IF(AND(IFERROR(INDEX(tblMoveTypes[Qty?],MATCH($C420,tblMoveTypes[Movement],0)),"?")="Yes",N($F420)+N($G420)&lt;=0),"Qty needed",IF(AND(IFERROR(INDEX(tblMoveTypes[Qty?],MATCH($C420,tblMoveTypes[Movement],0)),"?")="No",N($F420)+N($G420)&gt;0),"Leave In and Out blank",IF(AND(IFERROR(INDEX(tblMoveTypes[Courier?],MATCH($C420,tblMoveTypes[Movement],0)),"?")="Yes",$I420=""),"Courier needed",IF(AND(IFERROR(INDEX(tblMoveTypes[Courier?],MATCH($C420,tblMoveTypes[Movement],0)),"?")="No",$I420&lt;&gt;""),"Leave Courier blank",IF(AND(IFERROR(INDEX(tblMoveTypes[Orders?],MATCH($C420,tblMoveTypes[Movement],0)),"?")="Yes",$H420=""),"Orders needed",IF(AND(IFERROR(INDEX(tblMoveTypes[Orders?],MATCH($C420,tblMoveTypes[Movement],0)),"?")="No",$H420&lt;&gt;""),"Leave Orders blank",IF(AND(IFERROR(INDEX(tblMoveTypes[Reason?],MATCH($C420,tblMoveTypes[Movement],0)),"?")="Yes",$J420=""),"Reason needed",IF($A420&lt;_xlfn.MINIFS(tblShipment[Arrival Date],tblShipment[Shipment No],$B420),"Date before arrival",IF(AND($E420&lt;&gt;"",COUNTIFS(tblShipment[Shipment No],$B420,tblShipment[Item Name],$E420)=0),"Item not in this shipment","OK")))))))))))))))))</f>
        <v>OK</v>
      </c>
    </row>
    <row r="421" customFormat="false" ht="15" hidden="false" customHeight="false" outlineLevel="0" collapsed="false">
      <c r="A421" s="32" t="n">
        <v>46256</v>
      </c>
      <c r="B421" s="31" t="s">
        <v>169</v>
      </c>
      <c r="C421" s="31" t="s">
        <v>98</v>
      </c>
      <c r="D421" s="34" t="str">
        <f aca="false">IF($C421="","",IFERROR(IF(IFERROR(INDEX(tblMoveTypes[In / Out],MATCH($C421,tblMoveTypes[Movement],0)),"?")="IN","IN   ",IF(IFERROR(INDEX(tblMoveTypes[In / Out],MATCH($C421,tblMoveTypes[Movement],0)),"?")="OUT","OUT   ","--   "))&amp;"fill: "&amp;IF(IFERROR(INDEX(tblMoveTypes[Item?],MATCH($C421,tblMoveTypes[Movement],0)),"?")="Yes","Item  ","")&amp;IF(AND(IFERROR(INDEX(tblMoveTypes[Qty?],MATCH($C421,tblMoveTypes[Movement],0)),"?")="Yes",IFERROR(INDEX(tblMoveTypes[In / Out],MATCH($C421,tblMoveTypes[Movement],0)),"?")="IN"),"In  ","")&amp;IF(AND(IFERROR(INDEX(tblMoveTypes[Qty?],MATCH($C421,tblMoveTypes[Movement],0)),"?")="Yes",IFERROR(INDEX(tblMoveTypes[In / Out],MATCH($C421,tblMoveTypes[Movement],0)),"?")="OUT"),"Out  ","")&amp;IF(IFERROR(INDEX(tblMoveTypes[Orders?],MATCH($C421,tblMoveTypes[Movement],0)),"?")="Yes","Orders  ","")&amp;IF(IFERROR(INDEX(tblMoveTypes[Courier?],MATCH($C421,tblMoveTypes[Movement],0)),"?")="Yes","Courier  ","")&amp;IF(IFERROR(INDEX(tblMoveTypes[Reason?],MATCH($C421,tblMoveTypes[Movement],0)),"?")="Yes","Reason",""),"unknown movement"))</f>
        <v>OUT   fill: Item  Out  Courier  </v>
      </c>
      <c r="E421" s="31" t="s">
        <v>146</v>
      </c>
      <c r="F421" s="33"/>
      <c r="G421" s="33" t="n">
        <v>7</v>
      </c>
      <c r="H421" s="33"/>
      <c r="I421" s="31" t="s">
        <v>76</v>
      </c>
      <c r="J421" s="31"/>
      <c r="K421" s="31"/>
      <c r="L421" s="31"/>
      <c r="M421" s="34" t="str">
        <f aca="false">IF($E421="","",IFERROR(INDEX(tblItems[Item Code],MATCH($E421,tblItems[Item Name],0)),"?"))</f>
        <v>EG-FG-MNG-19-02-01-01</v>
      </c>
      <c r="N421" s="34" t="str">
        <f aca="false">IF($B421="","",IFERROR(INDEX(tblShipment[Market],MATCH($B421,tblShipment[Shipment No],0)),"?"))</f>
        <v>Qatar</v>
      </c>
      <c r="O421" s="35" t="n">
        <f aca="false">N($F421)+N($G421)</f>
        <v>7</v>
      </c>
      <c r="P421" s="34" t="str">
        <f aca="false">IF($A421="","",IF($L421="Yes","VOID",IF(COUNTIFS(tblMoveTypes[Movement],$C421)=0,"Unknown movement",IF(COUNTIF(tblShipment[Shipment No],$B421)=0,"Unknown shipment",IF(AND(IFERROR(INDEX(tblMoveTypes[Item?],MATCH($C421,tblMoveTypes[Movement],0)),"?")="Yes",$E421=""),"Item needed",IF(AND(IFERROR(INDEX(tblMoveTypes[Item?],MATCH($C421,tblMoveTypes[Movement],0)),"?")="No",$E421&lt;&gt;""),"Leave Item blank",IF(AND(IFERROR(INDEX(tblMoveTypes[In / Out],MATCH($C421,tblMoveTypes[Movement],0)),"?")="IN",$G421&lt;&gt;""),"Use the In column, not Out",IF(AND(IFERROR(INDEX(tblMoveTypes[In / Out],MATCH($C421,tblMoveTypes[Movement],0)),"?")="OUT",$F421&lt;&gt;""),"Use the Out column, not In",IF(AND(IFERROR(INDEX(tblMoveTypes[Qty?],MATCH($C421,tblMoveTypes[Movement],0)),"?")="Yes",N($F421)+N($G421)&lt;=0),"Qty needed",IF(AND(IFERROR(INDEX(tblMoveTypes[Qty?],MATCH($C421,tblMoveTypes[Movement],0)),"?")="No",N($F421)+N($G421)&gt;0),"Leave In and Out blank",IF(AND(IFERROR(INDEX(tblMoveTypes[Courier?],MATCH($C421,tblMoveTypes[Movement],0)),"?")="Yes",$I421=""),"Courier needed",IF(AND(IFERROR(INDEX(tblMoveTypes[Courier?],MATCH($C421,tblMoveTypes[Movement],0)),"?")="No",$I421&lt;&gt;""),"Leave Courier blank",IF(AND(IFERROR(INDEX(tblMoveTypes[Orders?],MATCH($C421,tblMoveTypes[Movement],0)),"?")="Yes",$H421=""),"Orders needed",IF(AND(IFERROR(INDEX(tblMoveTypes[Orders?],MATCH($C421,tblMoveTypes[Movement],0)),"?")="No",$H421&lt;&gt;""),"Leave Orders blank",IF(AND(IFERROR(INDEX(tblMoveTypes[Reason?],MATCH($C421,tblMoveTypes[Movement],0)),"?")="Yes",$J421=""),"Reason needed",IF($A421&lt;_xlfn.MINIFS(tblShipment[Arrival Date],tblShipment[Shipment No],$B421),"Date before arrival",IF(AND($E421&lt;&gt;"",COUNTIFS(tblShipment[Shipment No],$B421,tblShipment[Item Name],$E421)=0),"Item not in this shipment","OK")))))))))))))))))</f>
        <v>OK</v>
      </c>
    </row>
    <row r="422" customFormat="false" ht="15" hidden="false" customHeight="false" outlineLevel="0" collapsed="false">
      <c r="A422" s="32" t="n">
        <v>46256</v>
      </c>
      <c r="B422" s="31" t="s">
        <v>169</v>
      </c>
      <c r="C422" s="31" t="s">
        <v>98</v>
      </c>
      <c r="D422" s="34" t="str">
        <f aca="false">IF($C422="","",IFERROR(IF(IFERROR(INDEX(tblMoveTypes[In / Out],MATCH($C422,tblMoveTypes[Movement],0)),"?")="IN","IN   ",IF(IFERROR(INDEX(tblMoveTypes[In / Out],MATCH($C422,tblMoveTypes[Movement],0)),"?")="OUT","OUT   ","--   "))&amp;"fill: "&amp;IF(IFERROR(INDEX(tblMoveTypes[Item?],MATCH($C422,tblMoveTypes[Movement],0)),"?")="Yes","Item  ","")&amp;IF(AND(IFERROR(INDEX(tblMoveTypes[Qty?],MATCH($C422,tblMoveTypes[Movement],0)),"?")="Yes",IFERROR(INDEX(tblMoveTypes[In / Out],MATCH($C422,tblMoveTypes[Movement],0)),"?")="IN"),"In  ","")&amp;IF(AND(IFERROR(INDEX(tblMoveTypes[Qty?],MATCH($C422,tblMoveTypes[Movement],0)),"?")="Yes",IFERROR(INDEX(tblMoveTypes[In / Out],MATCH($C422,tblMoveTypes[Movement],0)),"?")="OUT"),"Out  ","")&amp;IF(IFERROR(INDEX(tblMoveTypes[Orders?],MATCH($C422,tblMoveTypes[Movement],0)),"?")="Yes","Orders  ","")&amp;IF(IFERROR(INDEX(tblMoveTypes[Courier?],MATCH($C422,tblMoveTypes[Movement],0)),"?")="Yes","Courier  ","")&amp;IF(IFERROR(INDEX(tblMoveTypes[Reason?],MATCH($C422,tblMoveTypes[Movement],0)),"?")="Yes","Reason",""),"unknown movement"))</f>
        <v>OUT   fill: Item  Out  Courier  </v>
      </c>
      <c r="E422" s="31" t="s">
        <v>127</v>
      </c>
      <c r="F422" s="33"/>
      <c r="G422" s="33" t="n">
        <v>7</v>
      </c>
      <c r="H422" s="33"/>
      <c r="I422" s="31" t="s">
        <v>76</v>
      </c>
      <c r="J422" s="31"/>
      <c r="K422" s="31"/>
      <c r="L422" s="31"/>
      <c r="M422" s="34" t="str">
        <f aca="false">IF($E422="","",IFERROR(INDEX(tblItems[Item Code],MATCH($E422,tblItems[Item Name],0)),"?"))</f>
        <v>EG-FG-GRP-03-02-01-01</v>
      </c>
      <c r="N422" s="34" t="str">
        <f aca="false">IF($B422="","",IFERROR(INDEX(tblShipment[Market],MATCH($B422,tblShipment[Shipment No],0)),"?"))</f>
        <v>Qatar</v>
      </c>
      <c r="O422" s="35" t="n">
        <f aca="false">N($F422)+N($G422)</f>
        <v>7</v>
      </c>
      <c r="P422" s="34" t="str">
        <f aca="false">IF($A422="","",IF($L422="Yes","VOID",IF(COUNTIFS(tblMoveTypes[Movement],$C422)=0,"Unknown movement",IF(COUNTIF(tblShipment[Shipment No],$B422)=0,"Unknown shipment",IF(AND(IFERROR(INDEX(tblMoveTypes[Item?],MATCH($C422,tblMoveTypes[Movement],0)),"?")="Yes",$E422=""),"Item needed",IF(AND(IFERROR(INDEX(tblMoveTypes[Item?],MATCH($C422,tblMoveTypes[Movement],0)),"?")="No",$E422&lt;&gt;""),"Leave Item blank",IF(AND(IFERROR(INDEX(tblMoveTypes[In / Out],MATCH($C422,tblMoveTypes[Movement],0)),"?")="IN",$G422&lt;&gt;""),"Use the In column, not Out",IF(AND(IFERROR(INDEX(tblMoveTypes[In / Out],MATCH($C422,tblMoveTypes[Movement],0)),"?")="OUT",$F422&lt;&gt;""),"Use the Out column, not In",IF(AND(IFERROR(INDEX(tblMoveTypes[Qty?],MATCH($C422,tblMoveTypes[Movement],0)),"?")="Yes",N($F422)+N($G422)&lt;=0),"Qty needed",IF(AND(IFERROR(INDEX(tblMoveTypes[Qty?],MATCH($C422,tblMoveTypes[Movement],0)),"?")="No",N($F422)+N($G422)&gt;0),"Leave In and Out blank",IF(AND(IFERROR(INDEX(tblMoveTypes[Courier?],MATCH($C422,tblMoveTypes[Movement],0)),"?")="Yes",$I422=""),"Courier needed",IF(AND(IFERROR(INDEX(tblMoveTypes[Courier?],MATCH($C422,tblMoveTypes[Movement],0)),"?")="No",$I422&lt;&gt;""),"Leave Courier blank",IF(AND(IFERROR(INDEX(tblMoveTypes[Orders?],MATCH($C422,tblMoveTypes[Movement],0)),"?")="Yes",$H422=""),"Orders needed",IF(AND(IFERROR(INDEX(tblMoveTypes[Orders?],MATCH($C422,tblMoveTypes[Movement],0)),"?")="No",$H422&lt;&gt;""),"Leave Orders blank",IF(AND(IFERROR(INDEX(tblMoveTypes[Reason?],MATCH($C422,tblMoveTypes[Movement],0)),"?")="Yes",$J422=""),"Reason needed",IF($A422&lt;_xlfn.MINIFS(tblShipment[Arrival Date],tblShipment[Shipment No],$B422),"Date before arrival",IF(AND($E422&lt;&gt;"",COUNTIFS(tblShipment[Shipment No],$B422,tblShipment[Item Name],$E422)=0),"Item not in this shipment","OK")))))))))))))))))</f>
        <v>OK</v>
      </c>
    </row>
    <row r="423" customFormat="false" ht="15" hidden="false" customHeight="false" outlineLevel="0" collapsed="false">
      <c r="A423" s="32" t="n">
        <v>46256</v>
      </c>
      <c r="B423" s="31" t="s">
        <v>169</v>
      </c>
      <c r="C423" s="31" t="s">
        <v>98</v>
      </c>
      <c r="D423" s="34" t="str">
        <f aca="false">IF($C423="","",IFERROR(IF(IFERROR(INDEX(tblMoveTypes[In / Out],MATCH($C423,tblMoveTypes[Movement],0)),"?")="IN","IN   ",IF(IFERROR(INDEX(tblMoveTypes[In / Out],MATCH($C423,tblMoveTypes[Movement],0)),"?")="OUT","OUT   ","--   "))&amp;"fill: "&amp;IF(IFERROR(INDEX(tblMoveTypes[Item?],MATCH($C423,tblMoveTypes[Movement],0)),"?")="Yes","Item  ","")&amp;IF(AND(IFERROR(INDEX(tblMoveTypes[Qty?],MATCH($C423,tblMoveTypes[Movement],0)),"?")="Yes",IFERROR(INDEX(tblMoveTypes[In / Out],MATCH($C423,tblMoveTypes[Movement],0)),"?")="IN"),"In  ","")&amp;IF(AND(IFERROR(INDEX(tblMoveTypes[Qty?],MATCH($C423,tblMoveTypes[Movement],0)),"?")="Yes",IFERROR(INDEX(tblMoveTypes[In / Out],MATCH($C423,tblMoveTypes[Movement],0)),"?")="OUT"),"Out  ","")&amp;IF(IFERROR(INDEX(tblMoveTypes[Orders?],MATCH($C423,tblMoveTypes[Movement],0)),"?")="Yes","Orders  ","")&amp;IF(IFERROR(INDEX(tblMoveTypes[Courier?],MATCH($C423,tblMoveTypes[Movement],0)),"?")="Yes","Courier  ","")&amp;IF(IFERROR(INDEX(tblMoveTypes[Reason?],MATCH($C423,tblMoveTypes[Movement],0)),"?")="Yes","Reason",""),"unknown movement"))</f>
        <v>OUT   fill: Item  Out  Courier  </v>
      </c>
      <c r="E423" s="31" t="s">
        <v>132</v>
      </c>
      <c r="F423" s="33"/>
      <c r="G423" s="33" t="n">
        <v>7</v>
      </c>
      <c r="H423" s="33"/>
      <c r="I423" s="31" t="s">
        <v>76</v>
      </c>
      <c r="J423" s="31"/>
      <c r="K423" s="31"/>
      <c r="L423" s="31"/>
      <c r="M423" s="34" t="str">
        <f aca="false">IF($E423="","",IFERROR(INDEX(tblItems[Item Code],MATCH($E423,tblItems[Item Name],0)),"?"))</f>
        <v>EG-FG-MNG-15-02-01-01</v>
      </c>
      <c r="N423" s="34" t="str">
        <f aca="false">IF($B423="","",IFERROR(INDEX(tblShipment[Market],MATCH($B423,tblShipment[Shipment No],0)),"?"))</f>
        <v>Qatar</v>
      </c>
      <c r="O423" s="35" t="n">
        <f aca="false">N($F423)+N($G423)</f>
        <v>7</v>
      </c>
      <c r="P423" s="34" t="str">
        <f aca="false">IF($A423="","",IF($L423="Yes","VOID",IF(COUNTIFS(tblMoveTypes[Movement],$C423)=0,"Unknown movement",IF(COUNTIF(tblShipment[Shipment No],$B423)=0,"Unknown shipment",IF(AND(IFERROR(INDEX(tblMoveTypes[Item?],MATCH($C423,tblMoveTypes[Movement],0)),"?")="Yes",$E423=""),"Item needed",IF(AND(IFERROR(INDEX(tblMoveTypes[Item?],MATCH($C423,tblMoveTypes[Movement],0)),"?")="No",$E423&lt;&gt;""),"Leave Item blank",IF(AND(IFERROR(INDEX(tblMoveTypes[In / Out],MATCH($C423,tblMoveTypes[Movement],0)),"?")="IN",$G423&lt;&gt;""),"Use the In column, not Out",IF(AND(IFERROR(INDEX(tblMoveTypes[In / Out],MATCH($C423,tblMoveTypes[Movement],0)),"?")="OUT",$F423&lt;&gt;""),"Use the Out column, not In",IF(AND(IFERROR(INDEX(tblMoveTypes[Qty?],MATCH($C423,tblMoveTypes[Movement],0)),"?")="Yes",N($F423)+N($G423)&lt;=0),"Qty needed",IF(AND(IFERROR(INDEX(tblMoveTypes[Qty?],MATCH($C423,tblMoveTypes[Movement],0)),"?")="No",N($F423)+N($G423)&gt;0),"Leave In and Out blank",IF(AND(IFERROR(INDEX(tblMoveTypes[Courier?],MATCH($C423,tblMoveTypes[Movement],0)),"?")="Yes",$I423=""),"Courier needed",IF(AND(IFERROR(INDEX(tblMoveTypes[Courier?],MATCH($C423,tblMoveTypes[Movement],0)),"?")="No",$I423&lt;&gt;""),"Leave Courier blank",IF(AND(IFERROR(INDEX(tblMoveTypes[Orders?],MATCH($C423,tblMoveTypes[Movement],0)),"?")="Yes",$H423=""),"Orders needed",IF(AND(IFERROR(INDEX(tblMoveTypes[Orders?],MATCH($C423,tblMoveTypes[Movement],0)),"?")="No",$H423&lt;&gt;""),"Leave Orders blank",IF(AND(IFERROR(INDEX(tblMoveTypes[Reason?],MATCH($C423,tblMoveTypes[Movement],0)),"?")="Yes",$J423=""),"Reason needed",IF($A423&lt;_xlfn.MINIFS(tblShipment[Arrival Date],tblShipment[Shipment No],$B423),"Date before arrival",IF(AND($E423&lt;&gt;"",COUNTIFS(tblShipment[Shipment No],$B423,tblShipment[Item Name],$E423)=0),"Item not in this shipment","OK")))))))))))))))))</f>
        <v>OK</v>
      </c>
    </row>
    <row r="424" customFormat="false" ht="15" hidden="false" customHeight="false" outlineLevel="0" collapsed="false">
      <c r="A424" s="32" t="n">
        <v>46256</v>
      </c>
      <c r="B424" s="31" t="s">
        <v>169</v>
      </c>
      <c r="C424" s="31" t="s">
        <v>98</v>
      </c>
      <c r="D424" s="34" t="str">
        <f aca="false">IF($C424="","",IFERROR(IF(IFERROR(INDEX(tblMoveTypes[In / Out],MATCH($C424,tblMoveTypes[Movement],0)),"?")="IN","IN   ",IF(IFERROR(INDEX(tblMoveTypes[In / Out],MATCH($C424,tblMoveTypes[Movement],0)),"?")="OUT","OUT   ","--   "))&amp;"fill: "&amp;IF(IFERROR(INDEX(tblMoveTypes[Item?],MATCH($C424,tblMoveTypes[Movement],0)),"?")="Yes","Item  ","")&amp;IF(AND(IFERROR(INDEX(tblMoveTypes[Qty?],MATCH($C424,tblMoveTypes[Movement],0)),"?")="Yes",IFERROR(INDEX(tblMoveTypes[In / Out],MATCH($C424,tblMoveTypes[Movement],0)),"?")="IN"),"In  ","")&amp;IF(AND(IFERROR(INDEX(tblMoveTypes[Qty?],MATCH($C424,tblMoveTypes[Movement],0)),"?")="Yes",IFERROR(INDEX(tblMoveTypes[In / Out],MATCH($C424,tblMoveTypes[Movement],0)),"?")="OUT"),"Out  ","")&amp;IF(IFERROR(INDEX(tblMoveTypes[Orders?],MATCH($C424,tblMoveTypes[Movement],0)),"?")="Yes","Orders  ","")&amp;IF(IFERROR(INDEX(tblMoveTypes[Courier?],MATCH($C424,tblMoveTypes[Movement],0)),"?")="Yes","Courier  ","")&amp;IF(IFERROR(INDEX(tblMoveTypes[Reason?],MATCH($C424,tblMoveTypes[Movement],0)),"?")="Yes","Reason",""),"unknown movement"))</f>
        <v>OUT   fill: Item  Out  Courier  </v>
      </c>
      <c r="E424" s="31" t="s">
        <v>112</v>
      </c>
      <c r="F424" s="33"/>
      <c r="G424" s="33" t="n">
        <v>11</v>
      </c>
      <c r="H424" s="33"/>
      <c r="I424" s="31" t="s">
        <v>76</v>
      </c>
      <c r="J424" s="31"/>
      <c r="K424" s="31"/>
      <c r="L424" s="31"/>
      <c r="M424" s="34" t="str">
        <f aca="false">IF($E424="","",IFERROR(INDEX(tblItems[Item Code],MATCH($E424,tblItems[Item Name],0)),"?"))</f>
        <v>BOX-TRIO-01</v>
      </c>
      <c r="N424" s="34" t="str">
        <f aca="false">IF($B424="","",IFERROR(INDEX(tblShipment[Market],MATCH($B424,tblShipment[Shipment No],0)),"?"))</f>
        <v>Qatar</v>
      </c>
      <c r="O424" s="35" t="n">
        <f aca="false">N($F424)+N($G424)</f>
        <v>11</v>
      </c>
      <c r="P424" s="34" t="str">
        <f aca="false">IF($A424="","",IF($L424="Yes","VOID",IF(COUNTIFS(tblMoveTypes[Movement],$C424)=0,"Unknown movement",IF(COUNTIF(tblShipment[Shipment No],$B424)=0,"Unknown shipment",IF(AND(IFERROR(INDEX(tblMoveTypes[Item?],MATCH($C424,tblMoveTypes[Movement],0)),"?")="Yes",$E424=""),"Item needed",IF(AND(IFERROR(INDEX(tblMoveTypes[Item?],MATCH($C424,tblMoveTypes[Movement],0)),"?")="No",$E424&lt;&gt;""),"Leave Item blank",IF(AND(IFERROR(INDEX(tblMoveTypes[In / Out],MATCH($C424,tblMoveTypes[Movement],0)),"?")="IN",$G424&lt;&gt;""),"Use the In column, not Out",IF(AND(IFERROR(INDEX(tblMoveTypes[In / Out],MATCH($C424,tblMoveTypes[Movement],0)),"?")="OUT",$F424&lt;&gt;""),"Use the Out column, not In",IF(AND(IFERROR(INDEX(tblMoveTypes[Qty?],MATCH($C424,tblMoveTypes[Movement],0)),"?")="Yes",N($F424)+N($G424)&lt;=0),"Qty needed",IF(AND(IFERROR(INDEX(tblMoveTypes[Qty?],MATCH($C424,tblMoveTypes[Movement],0)),"?")="No",N($F424)+N($G424)&gt;0),"Leave In and Out blank",IF(AND(IFERROR(INDEX(tblMoveTypes[Courier?],MATCH($C424,tblMoveTypes[Movement],0)),"?")="Yes",$I424=""),"Courier needed",IF(AND(IFERROR(INDEX(tblMoveTypes[Courier?],MATCH($C424,tblMoveTypes[Movement],0)),"?")="No",$I424&lt;&gt;""),"Leave Courier blank",IF(AND(IFERROR(INDEX(tblMoveTypes[Orders?],MATCH($C424,tblMoveTypes[Movement],0)),"?")="Yes",$H424=""),"Orders needed",IF(AND(IFERROR(INDEX(tblMoveTypes[Orders?],MATCH($C424,tblMoveTypes[Movement],0)),"?")="No",$H424&lt;&gt;""),"Leave Orders blank",IF(AND(IFERROR(INDEX(tblMoveTypes[Reason?],MATCH($C424,tblMoveTypes[Movement],0)),"?")="Yes",$J424=""),"Reason needed",IF($A424&lt;_xlfn.MINIFS(tblShipment[Arrival Date],tblShipment[Shipment No],$B424),"Date before arrival",IF(AND($E424&lt;&gt;"",COUNTIFS(tblShipment[Shipment No],$B424,tblShipment[Item Name],$E424)=0),"Item not in this shipment","OK")))))))))))))))))</f>
        <v>OK</v>
      </c>
    </row>
    <row r="425" customFormat="false" ht="15" hidden="false" customHeight="false" outlineLevel="0" collapsed="false">
      <c r="A425" s="32" t="n">
        <v>46256</v>
      </c>
      <c r="B425" s="31" t="s">
        <v>169</v>
      </c>
      <c r="C425" s="31" t="s">
        <v>110</v>
      </c>
      <c r="D425" s="34" t="str">
        <f aca="false">IF($C425="","",IFERROR(IF(IFERROR(INDEX(tblMoveTypes[In / Out],MATCH($C425,tblMoveTypes[Movement],0)),"?")="IN","IN   ",IF(IFERROR(INDEX(tblMoveTypes[In / Out],MATCH($C425,tblMoveTypes[Movement],0)),"?")="OUT","OUT   ","--   "))&amp;"fill: "&amp;IF(IFERROR(INDEX(tblMoveTypes[Item?],MATCH($C425,tblMoveTypes[Movement],0)),"?")="Yes","Item  ","")&amp;IF(AND(IFERROR(INDEX(tblMoveTypes[Qty?],MATCH($C425,tblMoveTypes[Movement],0)),"?")="Yes",IFERROR(INDEX(tblMoveTypes[In / Out],MATCH($C425,tblMoveTypes[Movement],0)),"?")="IN"),"In  ","")&amp;IF(AND(IFERROR(INDEX(tblMoveTypes[Qty?],MATCH($C425,tblMoveTypes[Movement],0)),"?")="Yes",IFERROR(INDEX(tblMoveTypes[In / Out],MATCH($C425,tblMoveTypes[Movement],0)),"?")="OUT"),"Out  ","")&amp;IF(IFERROR(INDEX(tblMoveTypes[Orders?],MATCH($C425,tblMoveTypes[Movement],0)),"?")="Yes","Orders  ","")&amp;IF(IFERROR(INDEX(tblMoveTypes[Courier?],MATCH($C425,tblMoveTypes[Movement],0)),"?")="Yes","Courier  ","")&amp;IF(IFERROR(INDEX(tblMoveTypes[Reason?],MATCH($C425,tblMoveTypes[Movement],0)),"?")="Yes","Reason",""),"unknown movement"))</f>
        <v>--   fill: Orders  Courier  </v>
      </c>
      <c r="E425" s="31"/>
      <c r="F425" s="33"/>
      <c r="G425" s="33"/>
      <c r="H425" s="33" t="n">
        <v>142</v>
      </c>
      <c r="I425" s="31" t="s">
        <v>76</v>
      </c>
      <c r="J425" s="31"/>
      <c r="K425" s="31"/>
      <c r="L425" s="31"/>
      <c r="M425" s="34" t="str">
        <f aca="false">IF($E425="","",IFERROR(INDEX(tblItems[Item Code],MATCH($E425,tblItems[Item Name],0)),"?"))</f>
        <v/>
      </c>
      <c r="N425" s="34" t="str">
        <f aca="false">IF($B425="","",IFERROR(INDEX(tblShipment[Market],MATCH($B425,tblShipment[Shipment No],0)),"?"))</f>
        <v>Qatar</v>
      </c>
      <c r="O425" s="35" t="n">
        <f aca="false">N($F425)+N($G425)</f>
        <v>0</v>
      </c>
      <c r="P425" s="34" t="str">
        <f aca="false">IF($A425="","",IF($L425="Yes","VOID",IF(COUNTIFS(tblMoveTypes[Movement],$C425)=0,"Unknown movement",IF(COUNTIF(tblShipment[Shipment No],$B425)=0,"Unknown shipment",IF(AND(IFERROR(INDEX(tblMoveTypes[Item?],MATCH($C425,tblMoveTypes[Movement],0)),"?")="Yes",$E425=""),"Item needed",IF(AND(IFERROR(INDEX(tblMoveTypes[Item?],MATCH($C425,tblMoveTypes[Movement],0)),"?")="No",$E425&lt;&gt;""),"Leave Item blank",IF(AND(IFERROR(INDEX(tblMoveTypes[In / Out],MATCH($C425,tblMoveTypes[Movement],0)),"?")="IN",$G425&lt;&gt;""),"Use the In column, not Out",IF(AND(IFERROR(INDEX(tblMoveTypes[In / Out],MATCH($C425,tblMoveTypes[Movement],0)),"?")="OUT",$F425&lt;&gt;""),"Use the Out column, not In",IF(AND(IFERROR(INDEX(tblMoveTypes[Qty?],MATCH($C425,tblMoveTypes[Movement],0)),"?")="Yes",N($F425)+N($G425)&lt;=0),"Qty needed",IF(AND(IFERROR(INDEX(tblMoveTypes[Qty?],MATCH($C425,tblMoveTypes[Movement],0)),"?")="No",N($F425)+N($G425)&gt;0),"Leave In and Out blank",IF(AND(IFERROR(INDEX(tblMoveTypes[Courier?],MATCH($C425,tblMoveTypes[Movement],0)),"?")="Yes",$I425=""),"Courier needed",IF(AND(IFERROR(INDEX(tblMoveTypes[Courier?],MATCH($C425,tblMoveTypes[Movement],0)),"?")="No",$I425&lt;&gt;""),"Leave Courier blank",IF(AND(IFERROR(INDEX(tblMoveTypes[Orders?],MATCH($C425,tblMoveTypes[Movement],0)),"?")="Yes",$H425=""),"Orders needed",IF(AND(IFERROR(INDEX(tblMoveTypes[Orders?],MATCH($C425,tblMoveTypes[Movement],0)),"?")="No",$H425&lt;&gt;""),"Leave Orders blank",IF(AND(IFERROR(INDEX(tblMoveTypes[Reason?],MATCH($C425,tblMoveTypes[Movement],0)),"?")="Yes",$J425=""),"Reason needed",IF($A425&lt;_xlfn.MINIFS(tblShipment[Arrival Date],tblShipment[Shipment No],$B425),"Date before arrival",IF(AND($E425&lt;&gt;"",COUNTIFS(tblShipment[Shipment No],$B425,tblShipment[Item Name],$E425)=0),"Item not in this shipment","OK")))))))))))))))))</f>
        <v>OK</v>
      </c>
    </row>
    <row r="426" customFormat="false" ht="15" hidden="false" customHeight="false" outlineLevel="0" collapsed="false">
      <c r="A426" s="32" t="n">
        <v>46256</v>
      </c>
      <c r="B426" s="31" t="s">
        <v>169</v>
      </c>
      <c r="C426" s="31" t="s">
        <v>115</v>
      </c>
      <c r="D426" s="34" t="str">
        <f aca="false">IF($C426="","",IFERROR(IF(IFERROR(INDEX(tblMoveTypes[In / Out],MATCH($C426,tblMoveTypes[Movement],0)),"?")="IN","IN   ",IF(IFERROR(INDEX(tblMoveTypes[In / Out],MATCH($C426,tblMoveTypes[Movement],0)),"?")="OUT","OUT   ","--   "))&amp;"fill: "&amp;IF(IFERROR(INDEX(tblMoveTypes[Item?],MATCH($C426,tblMoveTypes[Movement],0)),"?")="Yes","Item  ","")&amp;IF(AND(IFERROR(INDEX(tblMoveTypes[Qty?],MATCH($C426,tblMoveTypes[Movement],0)),"?")="Yes",IFERROR(INDEX(tblMoveTypes[In / Out],MATCH($C426,tblMoveTypes[Movement],0)),"?")="IN"),"In  ","")&amp;IF(AND(IFERROR(INDEX(tblMoveTypes[Qty?],MATCH($C426,tblMoveTypes[Movement],0)),"?")="Yes",IFERROR(INDEX(tblMoveTypes[In / Out],MATCH($C426,tblMoveTypes[Movement],0)),"?")="OUT"),"Out  ","")&amp;IF(IFERROR(INDEX(tblMoveTypes[Orders?],MATCH($C426,tblMoveTypes[Movement],0)),"?")="Yes","Orders  ","")&amp;IF(IFERROR(INDEX(tblMoveTypes[Courier?],MATCH($C426,tblMoveTypes[Movement],0)),"?")="Yes","Courier  ","")&amp;IF(IFERROR(INDEX(tblMoveTypes[Reason?],MATCH($C426,tblMoveTypes[Movement],0)),"?")="Yes","Reason",""),"unknown movement"))</f>
        <v>OUT   fill: Out  Orders  Courier  </v>
      </c>
      <c r="E426" s="31"/>
      <c r="F426" s="33"/>
      <c r="G426" s="33" t="n">
        <v>102</v>
      </c>
      <c r="H426" s="33" t="n">
        <v>114</v>
      </c>
      <c r="I426" s="31" t="s">
        <v>76</v>
      </c>
      <c r="J426" s="31"/>
      <c r="K426" s="31"/>
      <c r="L426" s="31"/>
      <c r="M426" s="34" t="str">
        <f aca="false">IF($E426="","",IFERROR(INDEX(tblItems[Item Code],MATCH($E426,tblItems[Item Name],0)),"?"))</f>
        <v/>
      </c>
      <c r="N426" s="34" t="str">
        <f aca="false">IF($B426="","",IFERROR(INDEX(tblShipment[Market],MATCH($B426,tblShipment[Shipment No],0)),"?"))</f>
        <v>Qatar</v>
      </c>
      <c r="O426" s="35" t="n">
        <f aca="false">N($F426)+N($G426)</f>
        <v>102</v>
      </c>
      <c r="P426" s="34" t="str">
        <f aca="false">IF($A426="","",IF($L426="Yes","VOID",IF(COUNTIFS(tblMoveTypes[Movement],$C426)=0,"Unknown movement",IF(COUNTIF(tblShipment[Shipment No],$B426)=0,"Unknown shipment",IF(AND(IFERROR(INDEX(tblMoveTypes[Item?],MATCH($C426,tblMoveTypes[Movement],0)),"?")="Yes",$E426=""),"Item needed",IF(AND(IFERROR(INDEX(tblMoveTypes[Item?],MATCH($C426,tblMoveTypes[Movement],0)),"?")="No",$E426&lt;&gt;""),"Leave Item blank",IF(AND(IFERROR(INDEX(tblMoveTypes[In / Out],MATCH($C426,tblMoveTypes[Movement],0)),"?")="IN",$G426&lt;&gt;""),"Use the In column, not Out",IF(AND(IFERROR(INDEX(tblMoveTypes[In / Out],MATCH($C426,tblMoveTypes[Movement],0)),"?")="OUT",$F426&lt;&gt;""),"Use the Out column, not In",IF(AND(IFERROR(INDEX(tblMoveTypes[Qty?],MATCH($C426,tblMoveTypes[Movement],0)),"?")="Yes",N($F426)+N($G426)&lt;=0),"Qty needed",IF(AND(IFERROR(INDEX(tblMoveTypes[Qty?],MATCH($C426,tblMoveTypes[Movement],0)),"?")="No",N($F426)+N($G426)&gt;0),"Leave In and Out blank",IF(AND(IFERROR(INDEX(tblMoveTypes[Courier?],MATCH($C426,tblMoveTypes[Movement],0)),"?")="Yes",$I426=""),"Courier needed",IF(AND(IFERROR(INDEX(tblMoveTypes[Courier?],MATCH($C426,tblMoveTypes[Movement],0)),"?")="No",$I426&lt;&gt;""),"Leave Courier blank",IF(AND(IFERROR(INDEX(tblMoveTypes[Orders?],MATCH($C426,tblMoveTypes[Movement],0)),"?")="Yes",$H426=""),"Orders needed",IF(AND(IFERROR(INDEX(tblMoveTypes[Orders?],MATCH($C426,tblMoveTypes[Movement],0)),"?")="No",$H426&lt;&gt;""),"Leave Orders blank",IF(AND(IFERROR(INDEX(tblMoveTypes[Reason?],MATCH($C426,tblMoveTypes[Movement],0)),"?")="Yes",$J426=""),"Reason needed",IF($A426&lt;_xlfn.MINIFS(tblShipment[Arrival Date],tblShipment[Shipment No],$B426),"Date before arrival",IF(AND($E426&lt;&gt;"",COUNTIFS(tblShipment[Shipment No],$B426,tblShipment[Item Name],$E426)=0),"Item not in this shipment","OK")))))))))))))))))</f>
        <v>OK</v>
      </c>
    </row>
    <row r="427" customFormat="false" ht="15" hidden="false" customHeight="false" outlineLevel="0" collapsed="false">
      <c r="A427" s="32" t="n">
        <v>46256</v>
      </c>
      <c r="B427" s="31" t="s">
        <v>169</v>
      </c>
      <c r="C427" s="31" t="s">
        <v>79</v>
      </c>
      <c r="D427" s="34" t="str">
        <f aca="false">IF($C427="","",IFERROR(IF(IFERROR(INDEX(tblMoveTypes[In / Out],MATCH($C427,tblMoveTypes[Movement],0)),"?")="IN","IN   ",IF(IFERROR(INDEX(tblMoveTypes[In / Out],MATCH($C427,tblMoveTypes[Movement],0)),"?")="OUT","OUT   ","--   "))&amp;"fill: "&amp;IF(IFERROR(INDEX(tblMoveTypes[Item?],MATCH($C427,tblMoveTypes[Movement],0)),"?")="Yes","Item  ","")&amp;IF(AND(IFERROR(INDEX(tblMoveTypes[Qty?],MATCH($C427,tblMoveTypes[Movement],0)),"?")="Yes",IFERROR(INDEX(tblMoveTypes[In / Out],MATCH($C427,tblMoveTypes[Movement],0)),"?")="IN"),"In  ","")&amp;IF(AND(IFERROR(INDEX(tblMoveTypes[Qty?],MATCH($C427,tblMoveTypes[Movement],0)),"?")="Yes",IFERROR(INDEX(tblMoveTypes[In / Out],MATCH($C427,tblMoveTypes[Movement],0)),"?")="OUT"),"Out  ","")&amp;IF(IFERROR(INDEX(tblMoveTypes[Orders?],MATCH($C427,tblMoveTypes[Movement],0)),"?")="Yes","Orders  ","")&amp;IF(IFERROR(INDEX(tblMoveTypes[Courier?],MATCH($C427,tblMoveTypes[Movement],0)),"?")="Yes","Courier  ","")&amp;IF(IFERROR(INDEX(tblMoveTypes[Reason?],MATCH($C427,tblMoveTypes[Movement],0)),"?")="Yes","Reason",""),"unknown movement"))</f>
        <v>IN   fill: Item  In  </v>
      </c>
      <c r="E427" s="31" t="s">
        <v>112</v>
      </c>
      <c r="F427" s="33" t="n">
        <v>999</v>
      </c>
      <c r="G427" s="33"/>
      <c r="H427" s="33"/>
      <c r="I427" s="31"/>
      <c r="J427" s="31"/>
      <c r="K427" s="31" t="s">
        <v>180</v>
      </c>
      <c r="L427" s="31" t="s">
        <v>74</v>
      </c>
      <c r="M427" s="34" t="str">
        <f aca="false">IF($E427="","",IFERROR(INDEX(tblItems[Item Code],MATCH($E427,tblItems[Item Name],0)),"?"))</f>
        <v>BOX-TRIO-01</v>
      </c>
      <c r="N427" s="34" t="str">
        <f aca="false">IF($B427="","",IFERROR(INDEX(tblShipment[Market],MATCH($B427,tblShipment[Shipment No],0)),"?"))</f>
        <v>Qatar</v>
      </c>
      <c r="O427" s="35" t="n">
        <f aca="false">N($F427)+N($G427)</f>
        <v>999</v>
      </c>
      <c r="P427" s="34" t="str">
        <f aca="false">IF($A427="","",IF($L427="Yes","VOID",IF(COUNTIFS(tblMoveTypes[Movement],$C427)=0,"Unknown movement",IF(COUNTIF(tblShipment[Shipment No],$B427)=0,"Unknown shipment",IF(AND(IFERROR(INDEX(tblMoveTypes[Item?],MATCH($C427,tblMoveTypes[Movement],0)),"?")="Yes",$E427=""),"Item needed",IF(AND(IFERROR(INDEX(tblMoveTypes[Item?],MATCH($C427,tblMoveTypes[Movement],0)),"?")="No",$E427&lt;&gt;""),"Leave Item blank",IF(AND(IFERROR(INDEX(tblMoveTypes[In / Out],MATCH($C427,tblMoveTypes[Movement],0)),"?")="IN",$G427&lt;&gt;""),"Use the In column, not Out",IF(AND(IFERROR(INDEX(tblMoveTypes[In / Out],MATCH($C427,tblMoveTypes[Movement],0)),"?")="OUT",$F427&lt;&gt;""),"Use the Out column, not In",IF(AND(IFERROR(INDEX(tblMoveTypes[Qty?],MATCH($C427,tblMoveTypes[Movement],0)),"?")="Yes",N($F427)+N($G427)&lt;=0),"Qty needed",IF(AND(IFERROR(INDEX(tblMoveTypes[Qty?],MATCH($C427,tblMoveTypes[Movement],0)),"?")="No",N($F427)+N($G427)&gt;0),"Leave In and Out blank",IF(AND(IFERROR(INDEX(tblMoveTypes[Courier?],MATCH($C427,tblMoveTypes[Movement],0)),"?")="Yes",$I427=""),"Courier needed",IF(AND(IFERROR(INDEX(tblMoveTypes[Courier?],MATCH($C427,tblMoveTypes[Movement],0)),"?")="No",$I427&lt;&gt;""),"Leave Courier blank",IF(AND(IFERROR(INDEX(tblMoveTypes[Orders?],MATCH($C427,tblMoveTypes[Movement],0)),"?")="Yes",$H427=""),"Orders needed",IF(AND(IFERROR(INDEX(tblMoveTypes[Orders?],MATCH($C427,tblMoveTypes[Movement],0)),"?")="No",$H427&lt;&gt;""),"Leave Orders blank",IF(AND(IFERROR(INDEX(tblMoveTypes[Reason?],MATCH($C427,tblMoveTypes[Movement],0)),"?")="Yes",$J427=""),"Reason needed",IF($A427&lt;_xlfn.MINIFS(tblShipment[Arrival Date],tblShipment[Shipment No],$B427),"Date before arrival",IF(AND($E427&lt;&gt;"",COUNTIFS(tblShipment[Shipment No],$B427,tblShipment[Item Name],$E427)=0),"Item not in this shipment","OK")))))))))))))))))</f>
        <v>VOID</v>
      </c>
    </row>
  </sheetData>
  <conditionalFormatting sqref="P7:P9000">
    <cfRule type="expression" priority="2" aboveAverage="0" equalAverage="0" bottom="0" percent="0" rank="0" text="" dxfId="12">
      <formula>AND(P7&lt;&gt;"",P7&lt;&gt;"OK",P7&lt;&gt;"VOID")</formula>
    </cfRule>
  </conditionalFormatting>
  <conditionalFormatting sqref="D7:D9000">
    <cfRule type="expression" priority="3" aboveAverage="0" equalAverage="0" bottom="0" percent="0" rank="0" text="" dxfId="13">
      <formula>LEFT($D7,2)="IN"</formula>
    </cfRule>
    <cfRule type="expression" priority="4" aboveAverage="0" equalAverage="0" bottom="0" percent="0" rank="0" text="" dxfId="14">
      <formula>LEFT($D7,3)="OUT"</formula>
    </cfRule>
  </conditionalFormatting>
  <conditionalFormatting sqref="F7:F9000">
    <cfRule type="expression" priority="5" aboveAverage="0" equalAverage="0" bottom="0" percent="0" rank="0" text="" dxfId="13">
      <formula>N($F7)&gt;0</formula>
    </cfRule>
  </conditionalFormatting>
  <conditionalFormatting sqref="G7:G9000">
    <cfRule type="expression" priority="6" aboveAverage="0" equalAverage="0" bottom="0" percent="0" rank="0" text="" dxfId="14">
      <formula>N($G7)&gt;0</formula>
    </cfRule>
  </conditionalFormatting>
  <conditionalFormatting sqref="A7:P9000">
    <cfRule type="expression" priority="7" aboveAverage="0" equalAverage="0" bottom="0" percent="0" rank="0" text="" dxfId="15">
      <formula>$L7="Yes"</formula>
    </cfRule>
  </conditionalFormatting>
  <dataValidations count="6">
    <dataValidation allowBlank="true" errorStyle="stop" operator="between" showDropDown="false" showErrorMessage="false" showInputMessage="false" sqref="B7:B1427" type="list">
      <formula1>lstShip</formula1>
      <formula2>0</formula2>
    </dataValidation>
    <dataValidation allowBlank="true" errorStyle="stop" operator="between" showDropDown="false" showErrorMessage="false" showInputMessage="false" sqref="C7:C1427" type="list">
      <formula1>lstMoves</formula1>
      <formula2>0</formula2>
    </dataValidation>
    <dataValidation allowBlank="true" errorStyle="stop" operator="between" showDropDown="false" showErrorMessage="false" showInputMessage="false" sqref="E7:E1427" type="list">
      <formula1>lstItems</formula1>
      <formula2>0</formula2>
    </dataValidation>
    <dataValidation allowBlank="true" errorStyle="stop" operator="between" showDropDown="false" showErrorMessage="false" showInputMessage="false" sqref="I7:I1427" type="list">
      <formula1>lstCouriers</formula1>
      <formula2>0</formula2>
    </dataValidation>
    <dataValidation allowBlank="true" errorStyle="stop" operator="between" showDropDown="false" showErrorMessage="false" showInputMessage="false" sqref="J7:J1427" type="list">
      <formula1>lstReasons</formula1>
      <formula2>0</formula2>
    </dataValidation>
    <dataValidation allowBlank="true" errorStyle="stop" operator="between" showDropDown="false" showErrorMessage="false" showInputMessage="false" sqref="L7:L1427" type="list">
      <formula1>lstVoid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23"/>
    <col collapsed="false" customWidth="true" hidden="false" outlineLevel="0" max="8" min="8" style="0" width="26"/>
  </cols>
  <sheetData>
    <row r="1" customFormat="false" ht="25.5" hidden="false" customHeight="true" outlineLevel="0" collapsed="false">
      <c r="A1" s="1" t="s">
        <v>181</v>
      </c>
    </row>
    <row r="2" customFormat="false" ht="15" hidden="false" customHeight="false" outlineLevel="0" collapsed="false">
      <c r="A2" s="2" t="s">
        <v>182</v>
      </c>
    </row>
    <row r="4" customFormat="false" ht="15" hidden="false" customHeight="false" outlineLevel="0" collapsed="false">
      <c r="A4" s="2" t="s">
        <v>183</v>
      </c>
    </row>
    <row r="6" customFormat="false" ht="31.5" hidden="false" customHeight="true" outlineLevel="0" collapsed="false">
      <c r="A6" s="11" t="s">
        <v>173</v>
      </c>
      <c r="B6" s="11" t="s">
        <v>153</v>
      </c>
      <c r="C6" s="11" t="s">
        <v>55</v>
      </c>
      <c r="D6" s="11" t="s">
        <v>184</v>
      </c>
      <c r="E6" s="11" t="s">
        <v>185</v>
      </c>
      <c r="F6" s="11" t="s">
        <v>156</v>
      </c>
      <c r="G6" s="30" t="s">
        <v>56</v>
      </c>
      <c r="H6" s="30" t="s">
        <v>157</v>
      </c>
    </row>
    <row r="7" customFormat="false" ht="15" hidden="false" customHeight="false" outlineLevel="0" collapsed="false">
      <c r="A7" s="32" t="n">
        <v>46256</v>
      </c>
      <c r="B7" s="31" t="s">
        <v>169</v>
      </c>
      <c r="C7" s="31" t="s">
        <v>132</v>
      </c>
      <c r="D7" s="33" t="n">
        <v>13</v>
      </c>
      <c r="E7" s="31" t="s">
        <v>186</v>
      </c>
      <c r="F7" s="31"/>
      <c r="G7" s="34" t="str">
        <f aca="false">IF($C7="","",IFERROR(INDEX(tblItems[Item Code],MATCH($C7,tblItems[Item Name],0)),"?"))</f>
        <v>EG-FG-MNG-15-02-01-01</v>
      </c>
      <c r="H7" s="34" t="str">
        <f aca="false">IF($A7="","",IF(COUNTIFS(tblShipment[Shipment No],$B7,tblShipment[Item Name],$C7)=0,"Item not in this shipment",IF(COUNTIFS(tblCount[Date],$A7,tblCount[Shipment No],$B7,tblCount[Item Name],$C7)&gt;1,"Counted twice",IF(N($D7)&lt;0,"Cannot be negative","OK"))))</f>
        <v>OK</v>
      </c>
    </row>
    <row r="8" customFormat="false" ht="15" hidden="false" customHeight="false" outlineLevel="0" collapsed="false">
      <c r="A8" s="32" t="n">
        <v>46252</v>
      </c>
      <c r="B8" s="31" t="s">
        <v>168</v>
      </c>
      <c r="C8" s="31" t="s">
        <v>117</v>
      </c>
      <c r="D8" s="33" t="n">
        <v>4</v>
      </c>
      <c r="E8" s="31" t="s">
        <v>187</v>
      </c>
      <c r="F8" s="31"/>
      <c r="G8" s="34" t="str">
        <f aca="false">IF($C8="","",IFERROR(INDEX(tblItems[Item Code],MATCH($C8,tblItems[Item Name],0)),"?"))</f>
        <v>EG-FG-MNG-06-02-01-01</v>
      </c>
      <c r="H8" s="34" t="str">
        <f aca="false">IF($A8="","",IF(COUNTIFS(tblShipment[Shipment No],$B8,tblShipment[Item Name],$C8)=0,"Item not in this shipment",IF(COUNTIFS(tblCount[Date],$A8,tblCount[Shipment No],$B8,tblCount[Item Name],$C8)&gt;1,"Counted twice",IF(N($D8)&lt;0,"Cannot be negative","OK"))))</f>
        <v>OK</v>
      </c>
    </row>
    <row r="9" customFormat="false" ht="15" hidden="false" customHeight="false" outlineLevel="0" collapsed="false">
      <c r="A9" s="32" t="n">
        <v>46252</v>
      </c>
      <c r="B9" s="31" t="s">
        <v>168</v>
      </c>
      <c r="C9" s="31" t="s">
        <v>112</v>
      </c>
      <c r="D9" s="33" t="n">
        <v>6</v>
      </c>
      <c r="E9" s="31"/>
      <c r="F9" s="31"/>
      <c r="G9" s="34" t="str">
        <f aca="false">IF($C9="","",IFERROR(INDEX(tblItems[Item Code],MATCH($C9,tblItems[Item Name],0)),"?"))</f>
        <v>BOX-TRIO-01</v>
      </c>
      <c r="H9" s="34" t="str">
        <f aca="false">IF($A9="","",IF(COUNTIFS(tblShipment[Shipment No],$B9,tblShipment[Item Name],$C9)=0,"Item not in this shipment",IF(COUNTIFS(tblCount[Date],$A9,tblCount[Shipment No],$B9,tblCount[Item Name],$C9)&gt;1,"Counted twice",IF(N($D9)&lt;0,"Cannot be negative","OK"))))</f>
        <v>OK</v>
      </c>
    </row>
    <row r="10" customFormat="false" ht="15" hidden="false" customHeight="false" outlineLevel="0" collapsed="false">
      <c r="A10" s="32" t="n">
        <v>46256</v>
      </c>
      <c r="B10" s="31" t="s">
        <v>169</v>
      </c>
      <c r="C10" s="31" t="s">
        <v>106</v>
      </c>
      <c r="D10" s="33" t="n">
        <v>22</v>
      </c>
      <c r="E10" s="31"/>
      <c r="F10" s="31"/>
      <c r="G10" s="34" t="str">
        <f aca="false">IF($C10="","",IFERROR(INDEX(tblItems[Item Code],MATCH($C10,tblItems[Item Name],0)),"?"))</f>
        <v>EG-FG-DAT-01-02-01-01</v>
      </c>
      <c r="H10" s="34" t="str">
        <f aca="false">IF($A10="","",IF(COUNTIFS(tblShipment[Shipment No],$B10,tblShipment[Item Name],$C10)=0,"Item not in this shipment",IF(COUNTIFS(tblCount[Date],$A10,tblCount[Shipment No],$B10,tblCount[Item Name],$C10)&gt;1,"Counted twice",IF(N($D10)&lt;0,"Cannot be negative","OK"))))</f>
        <v>OK</v>
      </c>
    </row>
    <row r="11" customFormat="false" ht="15" hidden="false" customHeight="false" outlineLevel="0" collapsed="false">
      <c r="A11" s="32" t="n">
        <v>46253</v>
      </c>
      <c r="B11" s="31" t="s">
        <v>168</v>
      </c>
      <c r="C11" s="31" t="s">
        <v>95</v>
      </c>
      <c r="D11" s="33" t="n">
        <v>9</v>
      </c>
      <c r="E11" s="31"/>
      <c r="F11" s="31"/>
      <c r="G11" s="34" t="str">
        <f aca="false">IF($C11="","",IFERROR(INDEX(tblItems[Item Code],MATCH($C11,tblItems[Item Name],0)),"?"))</f>
        <v>EG-FG-GUV-01-02-01-01</v>
      </c>
      <c r="H11" s="34" t="str">
        <f aca="false">IF($A11="","",IF(COUNTIFS(tblShipment[Shipment No],$B11,tblShipment[Item Name],$C11)=0,"Item not in this shipment",IF(COUNTIFS(tblCount[Date],$A11,tblCount[Shipment No],$B11,tblCount[Item Name],$C11)&gt;1,"Counted twice",IF(N($D11)&lt;0,"Cannot be negative","OK"))))</f>
        <v>OK</v>
      </c>
    </row>
    <row r="12" customFormat="false" ht="15" hidden="false" customHeight="false" outlineLevel="0" collapsed="false">
      <c r="A12" s="32" t="n">
        <v>46253</v>
      </c>
      <c r="B12" s="31" t="s">
        <v>168</v>
      </c>
      <c r="C12" s="31" t="s">
        <v>106</v>
      </c>
      <c r="D12" s="33" t="n">
        <v>8</v>
      </c>
      <c r="E12" s="31"/>
      <c r="F12" s="31"/>
      <c r="G12" s="34" t="str">
        <f aca="false">IF($C12="","",IFERROR(INDEX(tblItems[Item Code],MATCH($C12,tblItems[Item Name],0)),"?"))</f>
        <v>EG-FG-DAT-01-02-01-01</v>
      </c>
      <c r="H12" s="34" t="str">
        <f aca="false">IF($A12="","",IF(COUNTIFS(tblShipment[Shipment No],$B12,tblShipment[Item Name],$C12)=0,"Item not in this shipment",IF(COUNTIFS(tblCount[Date],$A12,tblCount[Shipment No],$B12,tblCount[Item Name],$C12)&gt;1,"Counted twice",IF(N($D12)&lt;0,"Cannot be negative","OK"))))</f>
        <v>OK</v>
      </c>
    </row>
    <row r="13" customFormat="false" ht="15" hidden="false" customHeight="false" outlineLevel="0" collapsed="false">
      <c r="A13" s="32" t="n">
        <v>46255</v>
      </c>
      <c r="B13" s="31" t="s">
        <v>169</v>
      </c>
      <c r="C13" s="31" t="s">
        <v>146</v>
      </c>
      <c r="D13" s="33" t="n">
        <v>14</v>
      </c>
      <c r="E13" s="31" t="s">
        <v>187</v>
      </c>
      <c r="F13" s="31"/>
      <c r="G13" s="34" t="str">
        <f aca="false">IF($C13="","",IFERROR(INDEX(tblItems[Item Code],MATCH($C13,tblItems[Item Name],0)),"?"))</f>
        <v>EG-FG-MNG-19-02-01-01</v>
      </c>
      <c r="H13" s="34" t="str">
        <f aca="false">IF($A13="","",IF(COUNTIFS(tblShipment[Shipment No],$B13,tblShipment[Item Name],$C13)=0,"Item not in this shipment",IF(COUNTIFS(tblCount[Date],$A13,tblCount[Shipment No],$B13,tblCount[Item Name],$C13)&gt;1,"Counted twice",IF(N($D13)&lt;0,"Cannot be negative","OK"))))</f>
        <v>OK</v>
      </c>
    </row>
    <row r="14" customFormat="false" ht="15" hidden="false" customHeight="false" outlineLevel="0" collapsed="false">
      <c r="A14" s="32" t="n">
        <v>46256</v>
      </c>
      <c r="B14" s="31" t="s">
        <v>168</v>
      </c>
      <c r="C14" s="31" t="s">
        <v>84</v>
      </c>
      <c r="D14" s="33" t="n">
        <v>17</v>
      </c>
      <c r="E14" s="31" t="s">
        <v>186</v>
      </c>
      <c r="F14" s="31"/>
      <c r="G14" s="34" t="str">
        <f aca="false">IF($C14="","",IFERROR(INDEX(tblItems[Item Code],MATCH($C14,tblItems[Item Name],0)),"?"))</f>
        <v>EG-FG-MNG-12-02-01-01</v>
      </c>
      <c r="H14" s="34" t="str">
        <f aca="false">IF($A14="","",IF(COUNTIFS(tblShipment[Shipment No],$B14,tblShipment[Item Name],$C14)=0,"Item not in this shipment",IF(COUNTIFS(tblCount[Date],$A14,tblCount[Shipment No],$B14,tblCount[Item Name],$C14)&gt;1,"Counted twice",IF(N($D14)&lt;0,"Cannot be negative","OK"))))</f>
        <v>OK</v>
      </c>
    </row>
    <row r="15" customFormat="false" ht="15" hidden="false" customHeight="false" outlineLevel="0" collapsed="false">
      <c r="A15" s="32" t="n">
        <v>46253</v>
      </c>
      <c r="B15" s="31" t="s">
        <v>169</v>
      </c>
      <c r="C15" s="31" t="s">
        <v>100</v>
      </c>
      <c r="D15" s="33" t="n">
        <v>19</v>
      </c>
      <c r="E15" s="31"/>
      <c r="F15" s="31"/>
      <c r="G15" s="34" t="str">
        <f aca="false">IF($C15="","",IFERROR(INDEX(tblItems[Item Code],MATCH($C15,tblItems[Item Name],0)),"?"))</f>
        <v>EG-FG-MNG-18-02-01-01</v>
      </c>
      <c r="H15" s="34" t="str">
        <f aca="false">IF($A15="","",IF(COUNTIFS(tblShipment[Shipment No],$B15,tblShipment[Item Name],$C15)=0,"Item not in this shipment",IF(COUNTIFS(tblCount[Date],$A15,tblCount[Shipment No],$B15,tblCount[Item Name],$C15)&gt;1,"Counted twice",IF(N($D15)&lt;0,"Cannot be negative","OK"))))</f>
        <v>OK</v>
      </c>
    </row>
    <row r="16" customFormat="false" ht="15" hidden="false" customHeight="false" outlineLevel="0" collapsed="false">
      <c r="A16" s="32" t="n">
        <v>46254</v>
      </c>
      <c r="B16" s="31" t="s">
        <v>168</v>
      </c>
      <c r="C16" s="31" t="s">
        <v>91</v>
      </c>
      <c r="D16" s="33" t="n">
        <v>18</v>
      </c>
      <c r="E16" s="31" t="s">
        <v>186</v>
      </c>
      <c r="F16" s="31"/>
      <c r="G16" s="34" t="str">
        <f aca="false">IF($C16="","",IFERROR(INDEX(tblItems[Item Code],MATCH($C16,tblItems[Item Name],0)),"?"))</f>
        <v>EG-FG-FIG-01-02-01-01</v>
      </c>
      <c r="H16" s="34" t="str">
        <f aca="false">IF($A16="","",IF(COUNTIFS(tblShipment[Shipment No],$B16,tblShipment[Item Name],$C16)=0,"Item not in this shipment",IF(COUNTIFS(tblCount[Date],$A16,tblCount[Shipment No],$B16,tblCount[Item Name],$C16)&gt;1,"Counted twice",IF(N($D16)&lt;0,"Cannot be negative","OK"))))</f>
        <v>OK</v>
      </c>
    </row>
  </sheetData>
  <conditionalFormatting sqref="H7:H9000">
    <cfRule type="expression" priority="2" aboveAverage="0" equalAverage="0" bottom="0" percent="0" rank="0" text="" dxfId="12">
      <formula>AND(H7&lt;&gt;"",H7&lt;&gt;"OK",H7&lt;&gt;"VOID")</formula>
    </cfRule>
  </conditionalFormatting>
  <dataValidations count="2">
    <dataValidation allowBlank="true" errorStyle="stop" operator="between" showDropDown="false" showErrorMessage="false" showInputMessage="false" sqref="B7:B1016" type="list">
      <formula1>lstShip</formula1>
      <formula2>0</formula2>
    </dataValidation>
    <dataValidation allowBlank="true" errorStyle="stop" operator="between" showDropDown="false" showErrorMessage="false" showInputMessage="false" sqref="C7:C1016" type="list">
      <formula1>lstItems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8" min="8" style="0" width="23"/>
    <col collapsed="false" customWidth="true" hidden="false" outlineLevel="0" max="9" min="9" style="0" width="26"/>
  </cols>
  <sheetData>
    <row r="1" customFormat="false" ht="25.5" hidden="false" customHeight="true" outlineLevel="0" collapsed="false">
      <c r="A1" s="1" t="s">
        <v>188</v>
      </c>
    </row>
    <row r="2" customFormat="false" ht="15" hidden="false" customHeight="false" outlineLevel="0" collapsed="false">
      <c r="A2" s="2" t="s">
        <v>189</v>
      </c>
    </row>
    <row r="4" customFormat="false" ht="15" hidden="false" customHeight="false" outlineLevel="0" collapsed="false">
      <c r="A4" s="2" t="s">
        <v>190</v>
      </c>
    </row>
    <row r="6" customFormat="false" ht="31.5" hidden="false" customHeight="true" outlineLevel="0" collapsed="false">
      <c r="A6" s="11" t="s">
        <v>173</v>
      </c>
      <c r="B6" s="11" t="s">
        <v>58</v>
      </c>
      <c r="C6" s="11" t="s">
        <v>191</v>
      </c>
      <c r="D6" s="11" t="s">
        <v>153</v>
      </c>
      <c r="E6" s="11" t="s">
        <v>55</v>
      </c>
      <c r="F6" s="11" t="s">
        <v>178</v>
      </c>
      <c r="G6" s="11" t="s">
        <v>59</v>
      </c>
      <c r="H6" s="30" t="s">
        <v>56</v>
      </c>
      <c r="I6" s="30" t="s">
        <v>157</v>
      </c>
    </row>
    <row r="7" customFormat="false" ht="15" hidden="false" customHeight="false" outlineLevel="0" collapsed="false">
      <c r="A7" s="36" t="n">
        <v>46256</v>
      </c>
      <c r="B7" s="37" t="s">
        <v>75</v>
      </c>
      <c r="C7" s="37" t="s">
        <v>192</v>
      </c>
      <c r="D7" s="37" t="s">
        <v>169</v>
      </c>
      <c r="E7" s="37" t="s">
        <v>112</v>
      </c>
      <c r="F7" s="38" t="n">
        <v>1</v>
      </c>
      <c r="G7" s="37" t="s">
        <v>76</v>
      </c>
      <c r="H7" s="34" t="str">
        <f aca="false">IF($E7="","",IFERROR(INDEX(tblItems[Item Code],MATCH($E7,tblItems[Item Name],0)),"?"))</f>
        <v>BOX-TRIO-01</v>
      </c>
      <c r="I7" s="34" t="str">
        <f aca="false">IF($A7="","",IF(COUNTIFS(tblShipment[Shipment No],$D7,tblShipment[Item Name],$E7)=0,"Item not in this shipment",IF(N($F7)&lt;=0,"Qty must be more than 0","OK")))</f>
        <v>OK</v>
      </c>
    </row>
  </sheetData>
  <conditionalFormatting sqref="I7:I9000">
    <cfRule type="expression" priority="2" aboveAverage="0" equalAverage="0" bottom="0" percent="0" rank="0" text="" dxfId="12">
      <formula>AND(I7&lt;&gt;"",I7&lt;&gt;"OK",I7&lt;&gt;"VOID")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2026-08-23T00:43:04Z</dcterms:created>
  <dc:creator>openpyxl</dc:creator>
  <dc:description/>
  <dc:language>en-US</dc:language>
  <cp:lastModifiedBy/>
  <dcterms:modified xsi:type="dcterms:W3CDTF">2026-08-23T00:43:05Z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